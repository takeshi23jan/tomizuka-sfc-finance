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omments2.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64011"/>
  <mc:AlternateContent xmlns:mc="http://schemas.openxmlformats.org/markup-compatibility/2006">
    <mc:Choice Requires="x15">
      <x15ac:absPath xmlns:x15ac="http://schemas.microsoft.com/office/spreadsheetml/2010/11/ac" url="\\KYOIKU-SV01.int.city.hamamatsu-szo.ed.jp\学校・地域連携課$\02 部活動地域展開G\R8\100_補助金業務関係(支出)★★★\100_地域クラブ活動支援補助★\７月１５日掲載予定資料\"/>
    </mc:Choice>
  </mc:AlternateContent>
  <bookViews>
    <workbookView xWindow="-120" yWindow="-120" windowWidth="20730" windowHeight="11760"/>
  </bookViews>
  <sheets>
    <sheet name="基本事項" sheetId="6" r:id="rId1"/>
    <sheet name="領収証内訳" sheetId="1" r:id="rId2"/>
    <sheet name="領収証" sheetId="2" r:id="rId3"/>
    <sheet name="集金袋" sheetId="5" r:id="rId4"/>
    <sheet name="集金袋２" sheetId="7" r:id="rId5"/>
    <sheet name="記載例" sheetId="8" r:id="rId6"/>
  </sheets>
  <definedNames>
    <definedName name="_xlnm.Print_Area" localSheetId="3">集金袋!$A$1:$D$19</definedName>
    <definedName name="_xlnm.Print_Area" localSheetId="4">集金袋２!$A$1:$W$21</definedName>
    <definedName name="_xlnm.Print_Area" localSheetId="2">領収証!$A$1:$V$476</definedName>
    <definedName name="集金袋">集金袋!$A$1:$D$19</definedName>
  </definedNames>
  <calcPr calcId="162913"/>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 xmlns:xlwcv="http://schemas.microsoft.com/office/spreadsheetml/2024/workbookCompatibilityVersion" uri="{D14903EA-33C4-47F7-8F05-3474C54BE107}">
      <xlwcv:version setVersion="1"/>
    </ext>
  </extLst>
</workbook>
</file>

<file path=xl/calcChain.xml><?xml version="1.0" encoding="utf-8"?>
<calcChain xmlns="http://schemas.openxmlformats.org/spreadsheetml/2006/main">
  <c r="X4" i="1" l="1"/>
  <c r="C19" i="7" l="1"/>
  <c r="AC1" i="7"/>
  <c r="AC3" i="7" s="1"/>
  <c r="AX52" i="7"/>
  <c r="AW52" i="7"/>
  <c r="AV52" i="7"/>
  <c r="AU52" i="7"/>
  <c r="AT52" i="7"/>
  <c r="AS52" i="7"/>
  <c r="AR52" i="7"/>
  <c r="AQ52" i="7"/>
  <c r="AP52" i="7"/>
  <c r="AO52" i="7"/>
  <c r="AN52" i="7"/>
  <c r="AM52" i="7"/>
  <c r="AL52" i="7"/>
  <c r="AK52" i="7"/>
  <c r="AJ52" i="7"/>
  <c r="AX51" i="7"/>
  <c r="AW51" i="7"/>
  <c r="AV51" i="7"/>
  <c r="AU51" i="7"/>
  <c r="AT51" i="7"/>
  <c r="AS51" i="7"/>
  <c r="AR51" i="7"/>
  <c r="AQ51" i="7"/>
  <c r="AP51" i="7"/>
  <c r="AO51" i="7"/>
  <c r="AN51" i="7"/>
  <c r="AM51" i="7"/>
  <c r="AL51" i="7"/>
  <c r="AK51" i="7"/>
  <c r="AJ51" i="7"/>
  <c r="AX50" i="7"/>
  <c r="AW50" i="7"/>
  <c r="AV50" i="7"/>
  <c r="AU50" i="7"/>
  <c r="AT50" i="7"/>
  <c r="AS50" i="7"/>
  <c r="AR50" i="7"/>
  <c r="AQ50" i="7"/>
  <c r="AP50" i="7"/>
  <c r="AO50" i="7"/>
  <c r="AN50" i="7"/>
  <c r="AM50" i="7"/>
  <c r="AL50" i="7"/>
  <c r="AK50" i="7"/>
  <c r="AJ50" i="7"/>
  <c r="AX49" i="7"/>
  <c r="AW49" i="7"/>
  <c r="AV49" i="7"/>
  <c r="AU49" i="7"/>
  <c r="AT49" i="7"/>
  <c r="AS49" i="7"/>
  <c r="AR49" i="7"/>
  <c r="AQ49" i="7"/>
  <c r="AP49" i="7"/>
  <c r="AO49" i="7"/>
  <c r="AN49" i="7"/>
  <c r="AM49" i="7"/>
  <c r="AL49" i="7"/>
  <c r="AK49" i="7"/>
  <c r="AJ49" i="7"/>
  <c r="AX48" i="7"/>
  <c r="AW48" i="7"/>
  <c r="AV48" i="7"/>
  <c r="AU48" i="7"/>
  <c r="AT48" i="7"/>
  <c r="AS48" i="7"/>
  <c r="AR48" i="7"/>
  <c r="AQ48" i="7"/>
  <c r="AP48" i="7"/>
  <c r="AO48" i="7"/>
  <c r="AN48" i="7"/>
  <c r="AM48" i="7"/>
  <c r="AL48" i="7"/>
  <c r="AK48" i="7"/>
  <c r="AJ48" i="7"/>
  <c r="AX47" i="7"/>
  <c r="AW47" i="7"/>
  <c r="AV47" i="7"/>
  <c r="AU47" i="7"/>
  <c r="AT47" i="7"/>
  <c r="AS47" i="7"/>
  <c r="AR47" i="7"/>
  <c r="AQ47" i="7"/>
  <c r="AP47" i="7"/>
  <c r="AO47" i="7"/>
  <c r="AN47" i="7"/>
  <c r="AM47" i="7"/>
  <c r="AL47" i="7"/>
  <c r="AK47" i="7"/>
  <c r="AJ47" i="7"/>
  <c r="AX46" i="7"/>
  <c r="AW46" i="7"/>
  <c r="AV46" i="7"/>
  <c r="AU46" i="7"/>
  <c r="AT46" i="7"/>
  <c r="AS46" i="7"/>
  <c r="AR46" i="7"/>
  <c r="AQ46" i="7"/>
  <c r="AP46" i="7"/>
  <c r="AO46" i="7"/>
  <c r="AN46" i="7"/>
  <c r="AM46" i="7"/>
  <c r="AL46" i="7"/>
  <c r="AK46" i="7"/>
  <c r="AJ46" i="7"/>
  <c r="AX45" i="7"/>
  <c r="AW45" i="7"/>
  <c r="AV45" i="7"/>
  <c r="AU45" i="7"/>
  <c r="AT45" i="7"/>
  <c r="AS45" i="7"/>
  <c r="AR45" i="7"/>
  <c r="AQ45" i="7"/>
  <c r="AP45" i="7"/>
  <c r="AO45" i="7"/>
  <c r="AN45" i="7"/>
  <c r="AM45" i="7"/>
  <c r="AL45" i="7"/>
  <c r="AK45" i="7"/>
  <c r="AJ45" i="7"/>
  <c r="AX44" i="7"/>
  <c r="AW44" i="7"/>
  <c r="AV44" i="7"/>
  <c r="AU44" i="7"/>
  <c r="AT44" i="7"/>
  <c r="AS44" i="7"/>
  <c r="AR44" i="7"/>
  <c r="AQ44" i="7"/>
  <c r="AP44" i="7"/>
  <c r="AO44" i="7"/>
  <c r="AN44" i="7"/>
  <c r="AM44" i="7"/>
  <c r="AL44" i="7"/>
  <c r="AK44" i="7"/>
  <c r="AJ44" i="7"/>
  <c r="AX43" i="7"/>
  <c r="AW43" i="7"/>
  <c r="AV43" i="7"/>
  <c r="AU43" i="7"/>
  <c r="AT43" i="7"/>
  <c r="AS43" i="7"/>
  <c r="AR43" i="7"/>
  <c r="AQ43" i="7"/>
  <c r="AP43" i="7"/>
  <c r="AO43" i="7"/>
  <c r="AN43" i="7"/>
  <c r="AM43" i="7"/>
  <c r="AL43" i="7"/>
  <c r="AK43" i="7"/>
  <c r="AJ43" i="7"/>
  <c r="AX42" i="7"/>
  <c r="AW42" i="7"/>
  <c r="AV42" i="7"/>
  <c r="AU42" i="7"/>
  <c r="AT42" i="7"/>
  <c r="AS42" i="7"/>
  <c r="AR42" i="7"/>
  <c r="AQ42" i="7"/>
  <c r="AP42" i="7"/>
  <c r="AO42" i="7"/>
  <c r="AN42" i="7"/>
  <c r="AM42" i="7"/>
  <c r="AL42" i="7"/>
  <c r="AK42" i="7"/>
  <c r="AJ42" i="7"/>
  <c r="AX41" i="7"/>
  <c r="AW41" i="7"/>
  <c r="AV41" i="7"/>
  <c r="AU41" i="7"/>
  <c r="AT41" i="7"/>
  <c r="AS41" i="7"/>
  <c r="AR41" i="7"/>
  <c r="AQ41" i="7"/>
  <c r="AP41" i="7"/>
  <c r="AO41" i="7"/>
  <c r="AN41" i="7"/>
  <c r="AM41" i="7"/>
  <c r="AL41" i="7"/>
  <c r="AK41" i="7"/>
  <c r="AJ41" i="7"/>
  <c r="AX40" i="7"/>
  <c r="AW40" i="7"/>
  <c r="AV40" i="7"/>
  <c r="AU40" i="7"/>
  <c r="AT40" i="7"/>
  <c r="AS40" i="7"/>
  <c r="AR40" i="7"/>
  <c r="AQ40" i="7"/>
  <c r="AP40" i="7"/>
  <c r="AO40" i="7"/>
  <c r="AN40" i="7"/>
  <c r="AM40" i="7"/>
  <c r="AL40" i="7"/>
  <c r="AK40" i="7"/>
  <c r="AJ40" i="7"/>
  <c r="AX39" i="7"/>
  <c r="AW39" i="7"/>
  <c r="AV39" i="7"/>
  <c r="AU39" i="7"/>
  <c r="AT39" i="7"/>
  <c r="AS39" i="7"/>
  <c r="AR39" i="7"/>
  <c r="AQ39" i="7"/>
  <c r="AP39" i="7"/>
  <c r="AO39" i="7"/>
  <c r="AN39" i="7"/>
  <c r="AM39" i="7"/>
  <c r="AL39" i="7"/>
  <c r="AK39" i="7"/>
  <c r="AJ39" i="7"/>
  <c r="AX38" i="7"/>
  <c r="AW38" i="7"/>
  <c r="AV38" i="7"/>
  <c r="AU38" i="7"/>
  <c r="AT38" i="7"/>
  <c r="AS38" i="7"/>
  <c r="AR38" i="7"/>
  <c r="AQ38" i="7"/>
  <c r="AP38" i="7"/>
  <c r="AO38" i="7"/>
  <c r="AN38" i="7"/>
  <c r="AM38" i="7"/>
  <c r="AL38" i="7"/>
  <c r="AK38" i="7"/>
  <c r="AJ38" i="7"/>
  <c r="AX37" i="7"/>
  <c r="AW37" i="7"/>
  <c r="AV37" i="7"/>
  <c r="AU37" i="7"/>
  <c r="AT37" i="7"/>
  <c r="AS37" i="7"/>
  <c r="AR37" i="7"/>
  <c r="AQ37" i="7"/>
  <c r="AP37" i="7"/>
  <c r="AO37" i="7"/>
  <c r="AN37" i="7"/>
  <c r="AM37" i="7"/>
  <c r="AL37" i="7"/>
  <c r="AK37" i="7"/>
  <c r="AJ37" i="7"/>
  <c r="AX36" i="7"/>
  <c r="AW36" i="7"/>
  <c r="AV36" i="7"/>
  <c r="AU36" i="7"/>
  <c r="AT36" i="7"/>
  <c r="AS36" i="7"/>
  <c r="AR36" i="7"/>
  <c r="AQ36" i="7"/>
  <c r="AP36" i="7"/>
  <c r="AO36" i="7"/>
  <c r="AN36" i="7"/>
  <c r="AM36" i="7"/>
  <c r="AL36" i="7"/>
  <c r="AK36" i="7"/>
  <c r="AJ36" i="7"/>
  <c r="AX35" i="7"/>
  <c r="AW35" i="7"/>
  <c r="AV35" i="7"/>
  <c r="AU35" i="7"/>
  <c r="AT35" i="7"/>
  <c r="AS35" i="7"/>
  <c r="AR35" i="7"/>
  <c r="AQ35" i="7"/>
  <c r="AP35" i="7"/>
  <c r="AO35" i="7"/>
  <c r="AN35" i="7"/>
  <c r="AM35" i="7"/>
  <c r="AL35" i="7"/>
  <c r="AK35" i="7"/>
  <c r="AJ35" i="7"/>
  <c r="AX34" i="7"/>
  <c r="AW34" i="7"/>
  <c r="AV34" i="7"/>
  <c r="AU34" i="7"/>
  <c r="AT34" i="7"/>
  <c r="AS34" i="7"/>
  <c r="AR34" i="7"/>
  <c r="AQ34" i="7"/>
  <c r="AP34" i="7"/>
  <c r="AO34" i="7"/>
  <c r="AN34" i="7"/>
  <c r="AM34" i="7"/>
  <c r="AL34" i="7"/>
  <c r="AK34" i="7"/>
  <c r="AJ34" i="7"/>
  <c r="AX33" i="7"/>
  <c r="AW33" i="7"/>
  <c r="AV33" i="7"/>
  <c r="AU33" i="7"/>
  <c r="AT33" i="7"/>
  <c r="AS33" i="7"/>
  <c r="AR33" i="7"/>
  <c r="AQ33" i="7"/>
  <c r="AP33" i="7"/>
  <c r="AO33" i="7"/>
  <c r="AN33" i="7"/>
  <c r="AM33" i="7"/>
  <c r="AL33" i="7"/>
  <c r="AK33" i="7"/>
  <c r="AJ33" i="7"/>
  <c r="AX32" i="7"/>
  <c r="AW32" i="7"/>
  <c r="AV32" i="7"/>
  <c r="AU32" i="7"/>
  <c r="AT32" i="7"/>
  <c r="AS32" i="7"/>
  <c r="AR32" i="7"/>
  <c r="AQ32" i="7"/>
  <c r="AP32" i="7"/>
  <c r="AO32" i="7"/>
  <c r="AN32" i="7"/>
  <c r="AM32" i="7"/>
  <c r="AL32" i="7"/>
  <c r="AK32" i="7"/>
  <c r="AJ32" i="7"/>
  <c r="AX31" i="7"/>
  <c r="AW31" i="7"/>
  <c r="AV31" i="7"/>
  <c r="AU31" i="7"/>
  <c r="AT31" i="7"/>
  <c r="AS31" i="7"/>
  <c r="AR31" i="7"/>
  <c r="AQ31" i="7"/>
  <c r="AP31" i="7"/>
  <c r="AO31" i="7"/>
  <c r="AN31" i="7"/>
  <c r="AM31" i="7"/>
  <c r="AL31" i="7"/>
  <c r="AK31" i="7"/>
  <c r="AJ31" i="7"/>
  <c r="AX30" i="7"/>
  <c r="AW30" i="7"/>
  <c r="AV30" i="7"/>
  <c r="AU30" i="7"/>
  <c r="AT30" i="7"/>
  <c r="AS30" i="7"/>
  <c r="AR30" i="7"/>
  <c r="AQ30" i="7"/>
  <c r="AP30" i="7"/>
  <c r="AO30" i="7"/>
  <c r="AN30" i="7"/>
  <c r="AM30" i="7"/>
  <c r="AL30" i="7"/>
  <c r="AK30" i="7"/>
  <c r="AJ30" i="7"/>
  <c r="AX29" i="7"/>
  <c r="AW29" i="7"/>
  <c r="AV29" i="7"/>
  <c r="AU29" i="7"/>
  <c r="AT29" i="7"/>
  <c r="AS29" i="7"/>
  <c r="AR29" i="7"/>
  <c r="AQ29" i="7"/>
  <c r="AP29" i="7"/>
  <c r="AO29" i="7"/>
  <c r="AN29" i="7"/>
  <c r="AM29" i="7"/>
  <c r="AL29" i="7"/>
  <c r="AK29" i="7"/>
  <c r="AJ29" i="7"/>
  <c r="AX28" i="7"/>
  <c r="AW28" i="7"/>
  <c r="AV28" i="7"/>
  <c r="AU28" i="7"/>
  <c r="AT28" i="7"/>
  <c r="AS28" i="7"/>
  <c r="AR28" i="7"/>
  <c r="AQ28" i="7"/>
  <c r="AP28" i="7"/>
  <c r="AO28" i="7"/>
  <c r="AN28" i="7"/>
  <c r="AM28" i="7"/>
  <c r="AL28" i="7"/>
  <c r="AK28" i="7"/>
  <c r="AJ28" i="7"/>
  <c r="AX27" i="7"/>
  <c r="AW27" i="7"/>
  <c r="AV27" i="7"/>
  <c r="AU27" i="7"/>
  <c r="AT27" i="7"/>
  <c r="AS27" i="7"/>
  <c r="AR27" i="7"/>
  <c r="AQ27" i="7"/>
  <c r="AP27" i="7"/>
  <c r="AO27" i="7"/>
  <c r="AN27" i="7"/>
  <c r="AM27" i="7"/>
  <c r="AL27" i="7"/>
  <c r="AK27" i="7"/>
  <c r="AJ27" i="7"/>
  <c r="AX26" i="7"/>
  <c r="AW26" i="7"/>
  <c r="AV26" i="7"/>
  <c r="AU26" i="7"/>
  <c r="AT26" i="7"/>
  <c r="AS26" i="7"/>
  <c r="AR26" i="7"/>
  <c r="AQ26" i="7"/>
  <c r="AP26" i="7"/>
  <c r="AO26" i="7"/>
  <c r="AN26" i="7"/>
  <c r="AM26" i="7"/>
  <c r="AL26" i="7"/>
  <c r="AK26" i="7"/>
  <c r="AJ26" i="7"/>
  <c r="AX25" i="7"/>
  <c r="AW25" i="7"/>
  <c r="AV25" i="7"/>
  <c r="AU25" i="7"/>
  <c r="AT25" i="7"/>
  <c r="AS25" i="7"/>
  <c r="AR25" i="7"/>
  <c r="AQ25" i="7"/>
  <c r="AP25" i="7"/>
  <c r="AO25" i="7"/>
  <c r="AN25" i="7"/>
  <c r="AM25" i="7"/>
  <c r="AL25" i="7"/>
  <c r="AK25" i="7"/>
  <c r="AJ25" i="7"/>
  <c r="AX24" i="7"/>
  <c r="AW24" i="7"/>
  <c r="AV24" i="7"/>
  <c r="AU24" i="7"/>
  <c r="AT24" i="7"/>
  <c r="AS24" i="7"/>
  <c r="AR24" i="7"/>
  <c r="AQ24" i="7"/>
  <c r="AP24" i="7"/>
  <c r="AO24" i="7"/>
  <c r="AN24" i="7"/>
  <c r="AM24" i="7"/>
  <c r="AL24" i="7"/>
  <c r="AK24" i="7"/>
  <c r="AJ24" i="7"/>
  <c r="AX23" i="7"/>
  <c r="AW23" i="7"/>
  <c r="AV23" i="7"/>
  <c r="AU23" i="7"/>
  <c r="AT23" i="7"/>
  <c r="AS23" i="7"/>
  <c r="AR23" i="7"/>
  <c r="AQ23" i="7"/>
  <c r="AP23" i="7"/>
  <c r="AO23" i="7"/>
  <c r="AN23" i="7"/>
  <c r="AM23" i="7"/>
  <c r="AL23" i="7"/>
  <c r="AK23" i="7"/>
  <c r="AJ23" i="7"/>
  <c r="AX22" i="7"/>
  <c r="AW22" i="7"/>
  <c r="AV22" i="7"/>
  <c r="AU22" i="7"/>
  <c r="AT22" i="7"/>
  <c r="AS22" i="7"/>
  <c r="AR22" i="7"/>
  <c r="AQ22" i="7"/>
  <c r="AP22" i="7"/>
  <c r="AO22" i="7"/>
  <c r="AN22" i="7"/>
  <c r="AM22" i="7"/>
  <c r="AL22" i="7"/>
  <c r="AK22" i="7"/>
  <c r="AJ22" i="7"/>
  <c r="AX21" i="7"/>
  <c r="AW21" i="7"/>
  <c r="AV21" i="7"/>
  <c r="AU21" i="7"/>
  <c r="AT21" i="7"/>
  <c r="AS21" i="7"/>
  <c r="AR21" i="7"/>
  <c r="AQ21" i="7"/>
  <c r="AP21" i="7"/>
  <c r="AO21" i="7"/>
  <c r="AN21" i="7"/>
  <c r="AM21" i="7"/>
  <c r="AL21" i="7"/>
  <c r="AK21" i="7"/>
  <c r="AJ21" i="7"/>
  <c r="AX20" i="7"/>
  <c r="AW20" i="7"/>
  <c r="AV20" i="7"/>
  <c r="AU20" i="7"/>
  <c r="AT20" i="7"/>
  <c r="AS20" i="7"/>
  <c r="AR20" i="7"/>
  <c r="AQ20" i="7"/>
  <c r="AP20" i="7"/>
  <c r="AO20" i="7"/>
  <c r="AN20" i="7"/>
  <c r="AM20" i="7"/>
  <c r="AL20" i="7"/>
  <c r="AK20" i="7"/>
  <c r="AJ20" i="7"/>
  <c r="AX19" i="7"/>
  <c r="AW19" i="7"/>
  <c r="AV19" i="7"/>
  <c r="AU19" i="7"/>
  <c r="AT19" i="7"/>
  <c r="AS19" i="7"/>
  <c r="AR19" i="7"/>
  <c r="AQ19" i="7"/>
  <c r="AP19" i="7"/>
  <c r="AO19" i="7"/>
  <c r="AN19" i="7"/>
  <c r="AM19" i="7"/>
  <c r="AL19" i="7"/>
  <c r="AK19" i="7"/>
  <c r="AJ19" i="7"/>
  <c r="AX18" i="7"/>
  <c r="AW18" i="7"/>
  <c r="AV18" i="7"/>
  <c r="AU18" i="7"/>
  <c r="AT18" i="7"/>
  <c r="AS18" i="7"/>
  <c r="AR18" i="7"/>
  <c r="AQ18" i="7"/>
  <c r="AP18" i="7"/>
  <c r="AO18" i="7"/>
  <c r="AN18" i="7"/>
  <c r="AM18" i="7"/>
  <c r="AL18" i="7"/>
  <c r="AK18" i="7"/>
  <c r="AJ18" i="7"/>
  <c r="AX17" i="7"/>
  <c r="AW17" i="7"/>
  <c r="AV17" i="7"/>
  <c r="AU17" i="7"/>
  <c r="AT17" i="7"/>
  <c r="AS17" i="7"/>
  <c r="AR17" i="7"/>
  <c r="AQ17" i="7"/>
  <c r="AP17" i="7"/>
  <c r="AO17" i="7"/>
  <c r="AN17" i="7"/>
  <c r="AM17" i="7"/>
  <c r="AL17" i="7"/>
  <c r="AK17" i="7"/>
  <c r="AJ17" i="7"/>
  <c r="AX16" i="7"/>
  <c r="AW16" i="7"/>
  <c r="AV16" i="7"/>
  <c r="AU16" i="7"/>
  <c r="AT16" i="7"/>
  <c r="AS16" i="7"/>
  <c r="AR16" i="7"/>
  <c r="AQ16" i="7"/>
  <c r="AP16" i="7"/>
  <c r="AO16" i="7"/>
  <c r="AN16" i="7"/>
  <c r="AM16" i="7"/>
  <c r="AL16" i="7"/>
  <c r="AK16" i="7"/>
  <c r="AJ16" i="7"/>
  <c r="AX15" i="7"/>
  <c r="AW15" i="7"/>
  <c r="AV15" i="7"/>
  <c r="AU15" i="7"/>
  <c r="AT15" i="7"/>
  <c r="AS15" i="7"/>
  <c r="AR15" i="7"/>
  <c r="AQ15" i="7"/>
  <c r="AP15" i="7"/>
  <c r="AO15" i="7"/>
  <c r="AN15" i="7"/>
  <c r="AM15" i="7"/>
  <c r="AL15" i="7"/>
  <c r="AK15" i="7"/>
  <c r="AJ15" i="7"/>
  <c r="AX14" i="7"/>
  <c r="AW14" i="7"/>
  <c r="AV14" i="7"/>
  <c r="AU14" i="7"/>
  <c r="AT14" i="7"/>
  <c r="AS14" i="7"/>
  <c r="AR14" i="7"/>
  <c r="AQ14" i="7"/>
  <c r="AP14" i="7"/>
  <c r="AO14" i="7"/>
  <c r="AN14" i="7"/>
  <c r="AM14" i="7"/>
  <c r="AL14" i="7"/>
  <c r="AK14" i="7"/>
  <c r="AJ14" i="7"/>
  <c r="AX13" i="7"/>
  <c r="AW13" i="7"/>
  <c r="AV13" i="7"/>
  <c r="AU13" i="7"/>
  <c r="AT13" i="7"/>
  <c r="AS13" i="7"/>
  <c r="AR13" i="7"/>
  <c r="AQ13" i="7"/>
  <c r="AP13" i="7"/>
  <c r="AO13" i="7"/>
  <c r="AN13" i="7"/>
  <c r="AM13" i="7"/>
  <c r="AL13" i="7"/>
  <c r="AK13" i="7"/>
  <c r="AJ13" i="7"/>
  <c r="AX12" i="7"/>
  <c r="AW12" i="7"/>
  <c r="AV12" i="7"/>
  <c r="AU12" i="7"/>
  <c r="AT12" i="7"/>
  <c r="AS12" i="7"/>
  <c r="AR12" i="7"/>
  <c r="AQ12" i="7"/>
  <c r="AP12" i="7"/>
  <c r="AO12" i="7"/>
  <c r="AN12" i="7"/>
  <c r="AM12" i="7"/>
  <c r="AL12" i="7"/>
  <c r="AK12" i="7"/>
  <c r="AJ12" i="7"/>
  <c r="AX11" i="7"/>
  <c r="AW11" i="7"/>
  <c r="AV11" i="7"/>
  <c r="AU11" i="7"/>
  <c r="AT11" i="7"/>
  <c r="AS11" i="7"/>
  <c r="AR11" i="7"/>
  <c r="AQ11" i="7"/>
  <c r="AP11" i="7"/>
  <c r="AO11" i="7"/>
  <c r="AN11" i="7"/>
  <c r="AM11" i="7"/>
  <c r="AL11" i="7"/>
  <c r="AK11" i="7"/>
  <c r="AJ11" i="7"/>
  <c r="AX10" i="7"/>
  <c r="AW10" i="7"/>
  <c r="AV10" i="7"/>
  <c r="AU10" i="7"/>
  <c r="AT10" i="7"/>
  <c r="AS10" i="7"/>
  <c r="AR10" i="7"/>
  <c r="AQ10" i="7"/>
  <c r="AP10" i="7"/>
  <c r="AO10" i="7"/>
  <c r="AN10" i="7"/>
  <c r="AM10" i="7"/>
  <c r="AL10" i="7"/>
  <c r="AK10" i="7"/>
  <c r="AJ10" i="7"/>
  <c r="AX9" i="7"/>
  <c r="AW9" i="7"/>
  <c r="AV9" i="7"/>
  <c r="AU9" i="7"/>
  <c r="AT9" i="7"/>
  <c r="AS9" i="7"/>
  <c r="AR9" i="7"/>
  <c r="AQ9" i="7"/>
  <c r="AP9" i="7"/>
  <c r="AO9" i="7"/>
  <c r="AN9" i="7"/>
  <c r="AM9" i="7"/>
  <c r="AL9" i="7"/>
  <c r="AK9" i="7"/>
  <c r="AJ9" i="7"/>
  <c r="AX8" i="7"/>
  <c r="AW8" i="7"/>
  <c r="AV8" i="7"/>
  <c r="AU8" i="7"/>
  <c r="AT8" i="7"/>
  <c r="AS8" i="7"/>
  <c r="AR8" i="7"/>
  <c r="AQ8" i="7"/>
  <c r="AP8" i="7"/>
  <c r="AO8" i="7"/>
  <c r="AN8" i="7"/>
  <c r="AM8" i="7"/>
  <c r="AL8" i="7"/>
  <c r="AK8" i="7"/>
  <c r="AJ8" i="7"/>
  <c r="AX7" i="7"/>
  <c r="AW7" i="7"/>
  <c r="AV7" i="7"/>
  <c r="AU7" i="7"/>
  <c r="AT7" i="7"/>
  <c r="AS7" i="7"/>
  <c r="AR7" i="7"/>
  <c r="AQ7" i="7"/>
  <c r="AP7" i="7"/>
  <c r="AO7" i="7"/>
  <c r="AN7" i="7"/>
  <c r="AM7" i="7"/>
  <c r="AL7" i="7"/>
  <c r="AK7" i="7"/>
  <c r="AJ7" i="7"/>
  <c r="AX6" i="7"/>
  <c r="AW6" i="7"/>
  <c r="AV6" i="7"/>
  <c r="AU6" i="7"/>
  <c r="AT6" i="7"/>
  <c r="AS6" i="7"/>
  <c r="AR6" i="7"/>
  <c r="AQ6" i="7"/>
  <c r="AP6" i="7"/>
  <c r="AO6" i="7"/>
  <c r="AN6" i="7"/>
  <c r="AM6" i="7"/>
  <c r="AL6" i="7"/>
  <c r="AK6" i="7"/>
  <c r="AJ6" i="7"/>
  <c r="AX5" i="7"/>
  <c r="AW5" i="7"/>
  <c r="AV5" i="7"/>
  <c r="S17" i="7" s="1"/>
  <c r="AU5" i="7"/>
  <c r="AT5" i="7"/>
  <c r="S15" i="7" s="1"/>
  <c r="AS5" i="7"/>
  <c r="S14" i="7" s="1"/>
  <c r="AR5" i="7"/>
  <c r="S13" i="7" s="1"/>
  <c r="AQ5" i="7"/>
  <c r="AP5" i="7"/>
  <c r="AO5" i="7"/>
  <c r="AN5" i="7"/>
  <c r="AM5" i="7"/>
  <c r="AL5" i="7"/>
  <c r="AK5" i="7"/>
  <c r="AJ5" i="7"/>
  <c r="S5" i="7" s="1"/>
  <c r="AX4" i="7"/>
  <c r="AW4" i="7"/>
  <c r="K18" i="7" s="1"/>
  <c r="AV4" i="7"/>
  <c r="K17" i="7" s="1"/>
  <c r="AU4" i="7"/>
  <c r="K16" i="7" s="1"/>
  <c r="AT4" i="7"/>
  <c r="AS4" i="7"/>
  <c r="AR4" i="7"/>
  <c r="AQ4" i="7"/>
  <c r="AP4" i="7"/>
  <c r="AO4" i="7"/>
  <c r="AN4" i="7"/>
  <c r="AM4" i="7"/>
  <c r="K8" i="7" s="1"/>
  <c r="AL4" i="7"/>
  <c r="K7" i="7" s="1"/>
  <c r="AK4" i="7"/>
  <c r="AJ4" i="7"/>
  <c r="AX3" i="7"/>
  <c r="AW3" i="7"/>
  <c r="AV3" i="7"/>
  <c r="AU3" i="7"/>
  <c r="AT3" i="7"/>
  <c r="AS3" i="7"/>
  <c r="AR3" i="7"/>
  <c r="AQ3" i="7"/>
  <c r="AP3" i="7"/>
  <c r="C11" i="7" s="1"/>
  <c r="AO3" i="7"/>
  <c r="AN3" i="7"/>
  <c r="AM3" i="7"/>
  <c r="AL3" i="7"/>
  <c r="AK3" i="7"/>
  <c r="AJ3" i="7"/>
  <c r="AI52" i="7"/>
  <c r="AI51" i="7"/>
  <c r="AI50" i="7"/>
  <c r="AI49" i="7"/>
  <c r="AI48" i="7"/>
  <c r="AI47" i="7"/>
  <c r="AI46" i="7"/>
  <c r="AI45" i="7"/>
  <c r="AI44" i="7"/>
  <c r="AI43" i="7"/>
  <c r="AI42" i="7"/>
  <c r="AI41" i="7"/>
  <c r="AI40" i="7"/>
  <c r="AI39" i="7"/>
  <c r="AI38" i="7"/>
  <c r="AI37" i="7"/>
  <c r="AI36" i="7"/>
  <c r="AI35" i="7"/>
  <c r="AI34" i="7"/>
  <c r="AI33" i="7"/>
  <c r="AI32" i="7"/>
  <c r="AI31" i="7"/>
  <c r="AI30" i="7"/>
  <c r="AI29" i="7"/>
  <c r="AI28" i="7"/>
  <c r="AI27" i="7"/>
  <c r="AI26" i="7"/>
  <c r="AI25" i="7"/>
  <c r="AI24" i="7"/>
  <c r="AI23" i="7"/>
  <c r="AI22" i="7"/>
  <c r="AI21" i="7"/>
  <c r="AI20" i="7"/>
  <c r="AI19" i="7"/>
  <c r="AI18" i="7"/>
  <c r="AI17" i="7"/>
  <c r="AI16" i="7"/>
  <c r="AI15" i="7"/>
  <c r="AI14" i="7"/>
  <c r="AI13" i="7"/>
  <c r="AI12" i="7"/>
  <c r="AI11" i="7"/>
  <c r="AI10" i="7"/>
  <c r="AI9" i="7"/>
  <c r="AI8" i="7"/>
  <c r="AI7" i="7"/>
  <c r="AI6" i="7"/>
  <c r="AI5" i="7"/>
  <c r="AI4" i="7"/>
  <c r="AI3" i="7"/>
  <c r="K5" i="7" l="1"/>
  <c r="C13" i="7"/>
  <c r="C7" i="7"/>
  <c r="C14" i="7"/>
  <c r="K11" i="7"/>
  <c r="S8" i="7"/>
  <c r="C8" i="7"/>
  <c r="C12" i="7"/>
  <c r="K9" i="7"/>
  <c r="S6" i="7"/>
  <c r="S18" i="7"/>
  <c r="K19" i="7"/>
  <c r="K10" i="7"/>
  <c r="S7" i="7"/>
  <c r="C15" i="7"/>
  <c r="K12" i="7"/>
  <c r="S9" i="7"/>
  <c r="C9" i="7"/>
  <c r="C16" i="7"/>
  <c r="K13" i="7"/>
  <c r="S10" i="7"/>
  <c r="C10" i="7"/>
  <c r="C5" i="7"/>
  <c r="K14" i="7"/>
  <c r="S11" i="7"/>
  <c r="C17" i="7"/>
  <c r="C6" i="7"/>
  <c r="K15" i="7"/>
  <c r="S12" i="7"/>
  <c r="C18" i="7"/>
  <c r="S16" i="7"/>
  <c r="S19" i="7"/>
  <c r="K6" i="7"/>
  <c r="AC6" i="7"/>
  <c r="AC7" i="7"/>
  <c r="AC8" i="7"/>
  <c r="AA3" i="1"/>
  <c r="AA2" i="1"/>
  <c r="X2" i="1"/>
  <c r="V2" i="1"/>
  <c r="B18" i="5"/>
  <c r="B17" i="5"/>
  <c r="B8" i="5"/>
  <c r="B7" i="5"/>
  <c r="B6" i="5"/>
  <c r="AF52" i="5"/>
  <c r="AE52" i="5"/>
  <c r="AD52" i="5"/>
  <c r="AC52" i="5"/>
  <c r="AB52" i="5"/>
  <c r="AA52" i="5"/>
  <c r="Z52" i="5"/>
  <c r="Y52" i="5"/>
  <c r="X52" i="5"/>
  <c r="W52" i="5"/>
  <c r="V52" i="5"/>
  <c r="U52" i="5"/>
  <c r="T52" i="5"/>
  <c r="S52" i="5"/>
  <c r="R52" i="5"/>
  <c r="AF51" i="5"/>
  <c r="AE51" i="5"/>
  <c r="AD51" i="5"/>
  <c r="AC51" i="5"/>
  <c r="AB51" i="5"/>
  <c r="AA51" i="5"/>
  <c r="Z51" i="5"/>
  <c r="Y51" i="5"/>
  <c r="X51" i="5"/>
  <c r="W51" i="5"/>
  <c r="V51" i="5"/>
  <c r="U51" i="5"/>
  <c r="T51" i="5"/>
  <c r="S51" i="5"/>
  <c r="R51" i="5"/>
  <c r="AF50" i="5"/>
  <c r="AE50" i="5"/>
  <c r="AD50" i="5"/>
  <c r="AC50" i="5"/>
  <c r="AB50" i="5"/>
  <c r="AA50" i="5"/>
  <c r="Z50" i="5"/>
  <c r="Y50" i="5"/>
  <c r="X50" i="5"/>
  <c r="W50" i="5"/>
  <c r="V50" i="5"/>
  <c r="U50" i="5"/>
  <c r="T50" i="5"/>
  <c r="S50" i="5"/>
  <c r="R50" i="5"/>
  <c r="AF49" i="5"/>
  <c r="AE49" i="5"/>
  <c r="AD49" i="5"/>
  <c r="AC49" i="5"/>
  <c r="AB49" i="5"/>
  <c r="AA49" i="5"/>
  <c r="Z49" i="5"/>
  <c r="Y49" i="5"/>
  <c r="X49" i="5"/>
  <c r="W49" i="5"/>
  <c r="V49" i="5"/>
  <c r="U49" i="5"/>
  <c r="T49" i="5"/>
  <c r="S49" i="5"/>
  <c r="R49" i="5"/>
  <c r="AF48" i="5"/>
  <c r="AE48" i="5"/>
  <c r="AD48" i="5"/>
  <c r="AC48" i="5"/>
  <c r="AB48" i="5"/>
  <c r="AA48" i="5"/>
  <c r="Z48" i="5"/>
  <c r="Y48" i="5"/>
  <c r="X48" i="5"/>
  <c r="W48" i="5"/>
  <c r="V48" i="5"/>
  <c r="U48" i="5"/>
  <c r="T48" i="5"/>
  <c r="S48" i="5"/>
  <c r="R48" i="5"/>
  <c r="AF47" i="5"/>
  <c r="AE47" i="5"/>
  <c r="AD47" i="5"/>
  <c r="AC47" i="5"/>
  <c r="AB47" i="5"/>
  <c r="AA47" i="5"/>
  <c r="Z47" i="5"/>
  <c r="Y47" i="5"/>
  <c r="X47" i="5"/>
  <c r="W47" i="5"/>
  <c r="V47" i="5"/>
  <c r="U47" i="5"/>
  <c r="T47" i="5"/>
  <c r="S47" i="5"/>
  <c r="R47" i="5"/>
  <c r="AF46" i="5"/>
  <c r="AE46" i="5"/>
  <c r="AD46" i="5"/>
  <c r="AC46" i="5"/>
  <c r="AB46" i="5"/>
  <c r="AA46" i="5"/>
  <c r="Z46" i="5"/>
  <c r="Y46" i="5"/>
  <c r="X46" i="5"/>
  <c r="W46" i="5"/>
  <c r="V46" i="5"/>
  <c r="U46" i="5"/>
  <c r="T46" i="5"/>
  <c r="S46" i="5"/>
  <c r="R46" i="5"/>
  <c r="AF45" i="5"/>
  <c r="AE45" i="5"/>
  <c r="AD45" i="5"/>
  <c r="AC45" i="5"/>
  <c r="AB45" i="5"/>
  <c r="AA45" i="5"/>
  <c r="Z45" i="5"/>
  <c r="Y45" i="5"/>
  <c r="X45" i="5"/>
  <c r="W45" i="5"/>
  <c r="V45" i="5"/>
  <c r="U45" i="5"/>
  <c r="T45" i="5"/>
  <c r="S45" i="5"/>
  <c r="R45" i="5"/>
  <c r="AF44" i="5"/>
  <c r="AE44" i="5"/>
  <c r="AD44" i="5"/>
  <c r="AC44" i="5"/>
  <c r="AB44" i="5"/>
  <c r="AA44" i="5"/>
  <c r="Z44" i="5"/>
  <c r="Y44" i="5"/>
  <c r="X44" i="5"/>
  <c r="W44" i="5"/>
  <c r="V44" i="5"/>
  <c r="U44" i="5"/>
  <c r="T44" i="5"/>
  <c r="S44" i="5"/>
  <c r="R44" i="5"/>
  <c r="AF43" i="5"/>
  <c r="AE43" i="5"/>
  <c r="AD43" i="5"/>
  <c r="AC43" i="5"/>
  <c r="AB43" i="5"/>
  <c r="AA43" i="5"/>
  <c r="Z43" i="5"/>
  <c r="Y43" i="5"/>
  <c r="X43" i="5"/>
  <c r="W43" i="5"/>
  <c r="V43" i="5"/>
  <c r="U43" i="5"/>
  <c r="T43" i="5"/>
  <c r="S43" i="5"/>
  <c r="R43" i="5"/>
  <c r="AF42" i="5"/>
  <c r="AE42" i="5"/>
  <c r="AD42" i="5"/>
  <c r="AC42" i="5"/>
  <c r="AB42" i="5"/>
  <c r="AA42" i="5"/>
  <c r="Z42" i="5"/>
  <c r="Y42" i="5"/>
  <c r="X42" i="5"/>
  <c r="W42" i="5"/>
  <c r="V42" i="5"/>
  <c r="U42" i="5"/>
  <c r="T42" i="5"/>
  <c r="S42" i="5"/>
  <c r="R42" i="5"/>
  <c r="AF41" i="5"/>
  <c r="AE41" i="5"/>
  <c r="AD41" i="5"/>
  <c r="AC41" i="5"/>
  <c r="AB41" i="5"/>
  <c r="AA41" i="5"/>
  <c r="Z41" i="5"/>
  <c r="Y41" i="5"/>
  <c r="X41" i="5"/>
  <c r="W41" i="5"/>
  <c r="V41" i="5"/>
  <c r="U41" i="5"/>
  <c r="T41" i="5"/>
  <c r="S41" i="5"/>
  <c r="R41" i="5"/>
  <c r="AF40" i="5"/>
  <c r="AE40" i="5"/>
  <c r="AD40" i="5"/>
  <c r="AC40" i="5"/>
  <c r="AB40" i="5"/>
  <c r="AA40" i="5"/>
  <c r="Z40" i="5"/>
  <c r="Y40" i="5"/>
  <c r="X40" i="5"/>
  <c r="W40" i="5"/>
  <c r="V40" i="5"/>
  <c r="U40" i="5"/>
  <c r="T40" i="5"/>
  <c r="S40" i="5"/>
  <c r="R40" i="5"/>
  <c r="AF39" i="5"/>
  <c r="AE39" i="5"/>
  <c r="AD39" i="5"/>
  <c r="AC39" i="5"/>
  <c r="AB39" i="5"/>
  <c r="AA39" i="5"/>
  <c r="Z39" i="5"/>
  <c r="Y39" i="5"/>
  <c r="X39" i="5"/>
  <c r="W39" i="5"/>
  <c r="V39" i="5"/>
  <c r="U39" i="5"/>
  <c r="T39" i="5"/>
  <c r="S39" i="5"/>
  <c r="R39" i="5"/>
  <c r="AF38" i="5"/>
  <c r="AE38" i="5"/>
  <c r="AD38" i="5"/>
  <c r="AC38" i="5"/>
  <c r="AB38" i="5"/>
  <c r="AA38" i="5"/>
  <c r="Z38" i="5"/>
  <c r="Y38" i="5"/>
  <c r="X38" i="5"/>
  <c r="W38" i="5"/>
  <c r="V38" i="5"/>
  <c r="U38" i="5"/>
  <c r="T38" i="5"/>
  <c r="S38" i="5"/>
  <c r="R38" i="5"/>
  <c r="AF37" i="5"/>
  <c r="AE37" i="5"/>
  <c r="AD37" i="5"/>
  <c r="AC37" i="5"/>
  <c r="AB37" i="5"/>
  <c r="AA37" i="5"/>
  <c r="Z37" i="5"/>
  <c r="Y37" i="5"/>
  <c r="X37" i="5"/>
  <c r="W37" i="5"/>
  <c r="V37" i="5"/>
  <c r="U37" i="5"/>
  <c r="T37" i="5"/>
  <c r="S37" i="5"/>
  <c r="R37" i="5"/>
  <c r="AF36" i="5"/>
  <c r="AE36" i="5"/>
  <c r="AD36" i="5"/>
  <c r="AC36" i="5"/>
  <c r="AB36" i="5"/>
  <c r="AA36" i="5"/>
  <c r="Z36" i="5"/>
  <c r="Y36" i="5"/>
  <c r="X36" i="5"/>
  <c r="W36" i="5"/>
  <c r="V36" i="5"/>
  <c r="U36" i="5"/>
  <c r="T36" i="5"/>
  <c r="S36" i="5"/>
  <c r="R36" i="5"/>
  <c r="AF35" i="5"/>
  <c r="AE35" i="5"/>
  <c r="AD35" i="5"/>
  <c r="AC35" i="5"/>
  <c r="AB35" i="5"/>
  <c r="AA35" i="5"/>
  <c r="Z35" i="5"/>
  <c r="Y35" i="5"/>
  <c r="X35" i="5"/>
  <c r="W35" i="5"/>
  <c r="V35" i="5"/>
  <c r="U35" i="5"/>
  <c r="T35" i="5"/>
  <c r="S35" i="5"/>
  <c r="R35" i="5"/>
  <c r="AF34" i="5"/>
  <c r="AE34" i="5"/>
  <c r="AD34" i="5"/>
  <c r="AC34" i="5"/>
  <c r="AB34" i="5"/>
  <c r="AA34" i="5"/>
  <c r="Z34" i="5"/>
  <c r="Y34" i="5"/>
  <c r="X34" i="5"/>
  <c r="W34" i="5"/>
  <c r="V34" i="5"/>
  <c r="U34" i="5"/>
  <c r="T34" i="5"/>
  <c r="S34" i="5"/>
  <c r="R34" i="5"/>
  <c r="AF33" i="5"/>
  <c r="AE33" i="5"/>
  <c r="AD33" i="5"/>
  <c r="AC33" i="5"/>
  <c r="AB33" i="5"/>
  <c r="AA33" i="5"/>
  <c r="Z33" i="5"/>
  <c r="Y33" i="5"/>
  <c r="X33" i="5"/>
  <c r="W33" i="5"/>
  <c r="V33" i="5"/>
  <c r="U33" i="5"/>
  <c r="T33" i="5"/>
  <c r="S33" i="5"/>
  <c r="R33" i="5"/>
  <c r="AF32" i="5"/>
  <c r="AE32" i="5"/>
  <c r="AD32" i="5"/>
  <c r="AC32" i="5"/>
  <c r="AB32" i="5"/>
  <c r="AA32" i="5"/>
  <c r="Z32" i="5"/>
  <c r="Y32" i="5"/>
  <c r="X32" i="5"/>
  <c r="W32" i="5"/>
  <c r="V32" i="5"/>
  <c r="U32" i="5"/>
  <c r="T32" i="5"/>
  <c r="S32" i="5"/>
  <c r="R32" i="5"/>
  <c r="AF31" i="5"/>
  <c r="AE31" i="5"/>
  <c r="AD31" i="5"/>
  <c r="AC31" i="5"/>
  <c r="AB31" i="5"/>
  <c r="AA31" i="5"/>
  <c r="Z31" i="5"/>
  <c r="Y31" i="5"/>
  <c r="X31" i="5"/>
  <c r="W31" i="5"/>
  <c r="V31" i="5"/>
  <c r="U31" i="5"/>
  <c r="T31" i="5"/>
  <c r="S31" i="5"/>
  <c r="R31" i="5"/>
  <c r="AF30" i="5"/>
  <c r="AE30" i="5"/>
  <c r="AD30" i="5"/>
  <c r="AC30" i="5"/>
  <c r="AB30" i="5"/>
  <c r="AA30" i="5"/>
  <c r="Z30" i="5"/>
  <c r="Y30" i="5"/>
  <c r="X30" i="5"/>
  <c r="W30" i="5"/>
  <c r="V30" i="5"/>
  <c r="U30" i="5"/>
  <c r="T30" i="5"/>
  <c r="S30" i="5"/>
  <c r="R30" i="5"/>
  <c r="AF29" i="5"/>
  <c r="AE29" i="5"/>
  <c r="AD29" i="5"/>
  <c r="AC29" i="5"/>
  <c r="AB29" i="5"/>
  <c r="AA29" i="5"/>
  <c r="Z29" i="5"/>
  <c r="Y29" i="5"/>
  <c r="X29" i="5"/>
  <c r="W29" i="5"/>
  <c r="V29" i="5"/>
  <c r="U29" i="5"/>
  <c r="T29" i="5"/>
  <c r="S29" i="5"/>
  <c r="R29" i="5"/>
  <c r="AF28" i="5"/>
  <c r="AE28" i="5"/>
  <c r="AD28" i="5"/>
  <c r="AC28" i="5"/>
  <c r="AB28" i="5"/>
  <c r="AA28" i="5"/>
  <c r="Z28" i="5"/>
  <c r="Y28" i="5"/>
  <c r="X28" i="5"/>
  <c r="W28" i="5"/>
  <c r="V28" i="5"/>
  <c r="U28" i="5"/>
  <c r="T28" i="5"/>
  <c r="S28" i="5"/>
  <c r="R28" i="5"/>
  <c r="AF27" i="5"/>
  <c r="AE27" i="5"/>
  <c r="AD27" i="5"/>
  <c r="AC27" i="5"/>
  <c r="AB27" i="5"/>
  <c r="AA27" i="5"/>
  <c r="Z27" i="5"/>
  <c r="Y27" i="5"/>
  <c r="X27" i="5"/>
  <c r="W27" i="5"/>
  <c r="V27" i="5"/>
  <c r="U27" i="5"/>
  <c r="T27" i="5"/>
  <c r="S27" i="5"/>
  <c r="R27" i="5"/>
  <c r="AF26" i="5"/>
  <c r="AE26" i="5"/>
  <c r="AD26" i="5"/>
  <c r="AC26" i="5"/>
  <c r="AB26" i="5"/>
  <c r="AA26" i="5"/>
  <c r="Z26" i="5"/>
  <c r="Y26" i="5"/>
  <c r="X26" i="5"/>
  <c r="W26" i="5"/>
  <c r="V26" i="5"/>
  <c r="U26" i="5"/>
  <c r="T26" i="5"/>
  <c r="S26" i="5"/>
  <c r="R26" i="5"/>
  <c r="AF25" i="5"/>
  <c r="AE25" i="5"/>
  <c r="AD25" i="5"/>
  <c r="AC25" i="5"/>
  <c r="AB25" i="5"/>
  <c r="AA25" i="5"/>
  <c r="Z25" i="5"/>
  <c r="Y25" i="5"/>
  <c r="X25" i="5"/>
  <c r="W25" i="5"/>
  <c r="V25" i="5"/>
  <c r="U25" i="5"/>
  <c r="T25" i="5"/>
  <c r="S25" i="5"/>
  <c r="R25" i="5"/>
  <c r="AF24" i="5"/>
  <c r="AE24" i="5"/>
  <c r="AD24" i="5"/>
  <c r="AC24" i="5"/>
  <c r="AB24" i="5"/>
  <c r="AA24" i="5"/>
  <c r="Z24" i="5"/>
  <c r="Y24" i="5"/>
  <c r="X24" i="5"/>
  <c r="W24" i="5"/>
  <c r="V24" i="5"/>
  <c r="U24" i="5"/>
  <c r="T24" i="5"/>
  <c r="S24" i="5"/>
  <c r="R24" i="5"/>
  <c r="AF23" i="5"/>
  <c r="AE23" i="5"/>
  <c r="AD23" i="5"/>
  <c r="AC23" i="5"/>
  <c r="AB23" i="5"/>
  <c r="AA23" i="5"/>
  <c r="Z23" i="5"/>
  <c r="Y23" i="5"/>
  <c r="X23" i="5"/>
  <c r="W23" i="5"/>
  <c r="V23" i="5"/>
  <c r="U23" i="5"/>
  <c r="T23" i="5"/>
  <c r="S23" i="5"/>
  <c r="R23" i="5"/>
  <c r="AF22" i="5"/>
  <c r="AE22" i="5"/>
  <c r="AD22" i="5"/>
  <c r="AC22" i="5"/>
  <c r="AB22" i="5"/>
  <c r="AA22" i="5"/>
  <c r="Z22" i="5"/>
  <c r="Y22" i="5"/>
  <c r="X22" i="5"/>
  <c r="W22" i="5"/>
  <c r="V22" i="5"/>
  <c r="U22" i="5"/>
  <c r="T22" i="5"/>
  <c r="S22" i="5"/>
  <c r="R22" i="5"/>
  <c r="AF21" i="5"/>
  <c r="AE21" i="5"/>
  <c r="AD21" i="5"/>
  <c r="AC21" i="5"/>
  <c r="AB21" i="5"/>
  <c r="AA21" i="5"/>
  <c r="Z21" i="5"/>
  <c r="Y21" i="5"/>
  <c r="X21" i="5"/>
  <c r="W21" i="5"/>
  <c r="V21" i="5"/>
  <c r="U21" i="5"/>
  <c r="T21" i="5"/>
  <c r="S21" i="5"/>
  <c r="R21" i="5"/>
  <c r="AF20" i="5"/>
  <c r="AE20" i="5"/>
  <c r="AD20" i="5"/>
  <c r="AC20" i="5"/>
  <c r="AB20" i="5"/>
  <c r="AA20" i="5"/>
  <c r="Z20" i="5"/>
  <c r="Y20" i="5"/>
  <c r="X20" i="5"/>
  <c r="W20" i="5"/>
  <c r="V20" i="5"/>
  <c r="U20" i="5"/>
  <c r="T20" i="5"/>
  <c r="S20" i="5"/>
  <c r="R20" i="5"/>
  <c r="AF19" i="5"/>
  <c r="AE19" i="5"/>
  <c r="AD19" i="5"/>
  <c r="AC19" i="5"/>
  <c r="AB19" i="5"/>
  <c r="AA19" i="5"/>
  <c r="Z19" i="5"/>
  <c r="Y19" i="5"/>
  <c r="X19" i="5"/>
  <c r="W19" i="5"/>
  <c r="V19" i="5"/>
  <c r="U19" i="5"/>
  <c r="T19" i="5"/>
  <c r="S19" i="5"/>
  <c r="R19" i="5"/>
  <c r="AF18" i="5"/>
  <c r="AE18" i="5"/>
  <c r="AD18" i="5"/>
  <c r="AC18" i="5"/>
  <c r="AB18" i="5"/>
  <c r="AA18" i="5"/>
  <c r="Z18" i="5"/>
  <c r="Y18" i="5"/>
  <c r="X18" i="5"/>
  <c r="W18" i="5"/>
  <c r="V18" i="5"/>
  <c r="U18" i="5"/>
  <c r="T18" i="5"/>
  <c r="S18" i="5"/>
  <c r="R18" i="5"/>
  <c r="AF17" i="5"/>
  <c r="AE17" i="5"/>
  <c r="AD17" i="5"/>
  <c r="AC17" i="5"/>
  <c r="AB17" i="5"/>
  <c r="AA17" i="5"/>
  <c r="Z17" i="5"/>
  <c r="Y17" i="5"/>
  <c r="X17" i="5"/>
  <c r="W17" i="5"/>
  <c r="V17" i="5"/>
  <c r="U17" i="5"/>
  <c r="T17" i="5"/>
  <c r="S17" i="5"/>
  <c r="R17" i="5"/>
  <c r="AF16" i="5"/>
  <c r="AE16" i="5"/>
  <c r="AD16" i="5"/>
  <c r="AC16" i="5"/>
  <c r="AB16" i="5"/>
  <c r="AA16" i="5"/>
  <c r="Z16" i="5"/>
  <c r="Y16" i="5"/>
  <c r="X16" i="5"/>
  <c r="W16" i="5"/>
  <c r="V16" i="5"/>
  <c r="U16" i="5"/>
  <c r="T16" i="5"/>
  <c r="S16" i="5"/>
  <c r="R16" i="5"/>
  <c r="AF15" i="5"/>
  <c r="AE15" i="5"/>
  <c r="AD15" i="5"/>
  <c r="AC15" i="5"/>
  <c r="AB15" i="5"/>
  <c r="AA15" i="5"/>
  <c r="Z15" i="5"/>
  <c r="Y15" i="5"/>
  <c r="X15" i="5"/>
  <c r="W15" i="5"/>
  <c r="V15" i="5"/>
  <c r="U15" i="5"/>
  <c r="T15" i="5"/>
  <c r="S15" i="5"/>
  <c r="R15" i="5"/>
  <c r="AF14" i="5"/>
  <c r="AE14" i="5"/>
  <c r="AD14" i="5"/>
  <c r="AC14" i="5"/>
  <c r="AB14" i="5"/>
  <c r="AA14" i="5"/>
  <c r="Z14" i="5"/>
  <c r="Y14" i="5"/>
  <c r="X14" i="5"/>
  <c r="W14" i="5"/>
  <c r="V14" i="5"/>
  <c r="U14" i="5"/>
  <c r="T14" i="5"/>
  <c r="S14" i="5"/>
  <c r="R14" i="5"/>
  <c r="AF13" i="5"/>
  <c r="AE13" i="5"/>
  <c r="AD13" i="5"/>
  <c r="AC13" i="5"/>
  <c r="AB13" i="5"/>
  <c r="AA13" i="5"/>
  <c r="Z13" i="5"/>
  <c r="Y13" i="5"/>
  <c r="X13" i="5"/>
  <c r="W13" i="5"/>
  <c r="V13" i="5"/>
  <c r="U13" i="5"/>
  <c r="T13" i="5"/>
  <c r="S13" i="5"/>
  <c r="R13" i="5"/>
  <c r="AF12" i="5"/>
  <c r="AE12" i="5"/>
  <c r="AD12" i="5"/>
  <c r="AC12" i="5"/>
  <c r="AB12" i="5"/>
  <c r="AA12" i="5"/>
  <c r="Z12" i="5"/>
  <c r="Y12" i="5"/>
  <c r="X12" i="5"/>
  <c r="W12" i="5"/>
  <c r="V12" i="5"/>
  <c r="U12" i="5"/>
  <c r="T12" i="5"/>
  <c r="S12" i="5"/>
  <c r="R12" i="5"/>
  <c r="AF11" i="5"/>
  <c r="AE11" i="5"/>
  <c r="AD11" i="5"/>
  <c r="AC11" i="5"/>
  <c r="AB11" i="5"/>
  <c r="AA11" i="5"/>
  <c r="Z11" i="5"/>
  <c r="Y11" i="5"/>
  <c r="X11" i="5"/>
  <c r="W11" i="5"/>
  <c r="V11" i="5"/>
  <c r="U11" i="5"/>
  <c r="T11" i="5"/>
  <c r="S11" i="5"/>
  <c r="R11" i="5"/>
  <c r="AF10" i="5"/>
  <c r="AE10" i="5"/>
  <c r="AD10" i="5"/>
  <c r="AC10" i="5"/>
  <c r="AB10" i="5"/>
  <c r="AA10" i="5"/>
  <c r="Z10" i="5"/>
  <c r="Y10" i="5"/>
  <c r="X10" i="5"/>
  <c r="W10" i="5"/>
  <c r="V10" i="5"/>
  <c r="U10" i="5"/>
  <c r="T10" i="5"/>
  <c r="S10" i="5"/>
  <c r="R10" i="5"/>
  <c r="AF9" i="5"/>
  <c r="AE9" i="5"/>
  <c r="AD9" i="5"/>
  <c r="AC9" i="5"/>
  <c r="AB9" i="5"/>
  <c r="AA9" i="5"/>
  <c r="Z9" i="5"/>
  <c r="Y9" i="5"/>
  <c r="X9" i="5"/>
  <c r="W9" i="5"/>
  <c r="V9" i="5"/>
  <c r="U9" i="5"/>
  <c r="T9" i="5"/>
  <c r="S9" i="5"/>
  <c r="R9" i="5"/>
  <c r="AF8" i="5"/>
  <c r="AE8" i="5"/>
  <c r="AD8" i="5"/>
  <c r="AC8" i="5"/>
  <c r="AB8" i="5"/>
  <c r="AA8" i="5"/>
  <c r="Z8" i="5"/>
  <c r="Y8" i="5"/>
  <c r="X8" i="5"/>
  <c r="W8" i="5"/>
  <c r="V8" i="5"/>
  <c r="U8" i="5"/>
  <c r="T8" i="5"/>
  <c r="S8" i="5"/>
  <c r="R8" i="5"/>
  <c r="AF7" i="5"/>
  <c r="AE7" i="5"/>
  <c r="AD7" i="5"/>
  <c r="AC7" i="5"/>
  <c r="AB7" i="5"/>
  <c r="AA7" i="5"/>
  <c r="Z7" i="5"/>
  <c r="Y7" i="5"/>
  <c r="X7" i="5"/>
  <c r="W7" i="5"/>
  <c r="V7" i="5"/>
  <c r="U7" i="5"/>
  <c r="T7" i="5"/>
  <c r="S7" i="5"/>
  <c r="R7" i="5"/>
  <c r="AF6" i="5"/>
  <c r="AE6" i="5"/>
  <c r="AD6" i="5"/>
  <c r="AC6" i="5"/>
  <c r="AB6" i="5"/>
  <c r="AA6" i="5"/>
  <c r="Z6" i="5"/>
  <c r="Y6" i="5"/>
  <c r="X6" i="5"/>
  <c r="W6" i="5"/>
  <c r="V6" i="5"/>
  <c r="U6" i="5"/>
  <c r="T6" i="5"/>
  <c r="S6" i="5"/>
  <c r="R6" i="5"/>
  <c r="AF5" i="5"/>
  <c r="AE5" i="5"/>
  <c r="AD5" i="5"/>
  <c r="AC5" i="5"/>
  <c r="AB5" i="5"/>
  <c r="AA5" i="5"/>
  <c r="Z5" i="5"/>
  <c r="Y5" i="5"/>
  <c r="X5" i="5"/>
  <c r="W5" i="5"/>
  <c r="V5" i="5"/>
  <c r="U5" i="5"/>
  <c r="T5" i="5"/>
  <c r="S5" i="5"/>
  <c r="R5" i="5"/>
  <c r="AF4" i="5"/>
  <c r="AE4" i="5"/>
  <c r="AD4" i="5"/>
  <c r="AC4" i="5"/>
  <c r="AB4" i="5"/>
  <c r="AA4" i="5"/>
  <c r="Z4" i="5"/>
  <c r="Y4" i="5"/>
  <c r="X4" i="5"/>
  <c r="W4" i="5"/>
  <c r="V4" i="5"/>
  <c r="U4" i="5"/>
  <c r="T4" i="5"/>
  <c r="S4" i="5"/>
  <c r="R4" i="5"/>
  <c r="AF3" i="5"/>
  <c r="AE3" i="5"/>
  <c r="AD3" i="5"/>
  <c r="B16" i="5" s="1"/>
  <c r="AC3" i="5"/>
  <c r="B15" i="5" s="1"/>
  <c r="AB3" i="5"/>
  <c r="B14" i="5" s="1"/>
  <c r="AA3" i="5"/>
  <c r="B13" i="5" s="1"/>
  <c r="Z3" i="5"/>
  <c r="B12" i="5" s="1"/>
  <c r="Y3" i="5"/>
  <c r="B11" i="5" s="1"/>
  <c r="X3" i="5"/>
  <c r="B10" i="5" s="1"/>
  <c r="W3" i="5"/>
  <c r="B9" i="5" s="1"/>
  <c r="V3" i="5"/>
  <c r="U3" i="5"/>
  <c r="T3" i="5"/>
  <c r="S3" i="5"/>
  <c r="B5" i="5" s="1"/>
  <c r="R3" i="5"/>
  <c r="B4" i="5" s="1"/>
  <c r="C2" i="5"/>
  <c r="Q52" i="5"/>
  <c r="Q51" i="5"/>
  <c r="Q50" i="5"/>
  <c r="Q49" i="5"/>
  <c r="Q48" i="5"/>
  <c r="Q47" i="5"/>
  <c r="Q46" i="5"/>
  <c r="Q45" i="5"/>
  <c r="Q44" i="5"/>
  <c r="Q43" i="5"/>
  <c r="Q42" i="5"/>
  <c r="Q41" i="5"/>
  <c r="Q40" i="5"/>
  <c r="Q39" i="5"/>
  <c r="Q38" i="5"/>
  <c r="Q37" i="5"/>
  <c r="Q36" i="5"/>
  <c r="Q35" i="5"/>
  <c r="Q34" i="5"/>
  <c r="Q33" i="5"/>
  <c r="Q32" i="5"/>
  <c r="Q31" i="5"/>
  <c r="Q30" i="5"/>
  <c r="Q29" i="5"/>
  <c r="Q28" i="5"/>
  <c r="Q27" i="5"/>
  <c r="Q26" i="5"/>
  <c r="Q25" i="5"/>
  <c r="Q24" i="5"/>
  <c r="Q23" i="5"/>
  <c r="Q22" i="5"/>
  <c r="Q21" i="5"/>
  <c r="Q20" i="5"/>
  <c r="Q19" i="5"/>
  <c r="Q18" i="5"/>
  <c r="Q17" i="5"/>
  <c r="Q16" i="5"/>
  <c r="Q15" i="5"/>
  <c r="Q14" i="5"/>
  <c r="Q13" i="5"/>
  <c r="Q12" i="5"/>
  <c r="Q11" i="5"/>
  <c r="Q10" i="5"/>
  <c r="Q9" i="5"/>
  <c r="Q8" i="5"/>
  <c r="Q7" i="5"/>
  <c r="Q6" i="5"/>
  <c r="Q5" i="5"/>
  <c r="Q4" i="5"/>
  <c r="Q3" i="5"/>
  <c r="K6" i="5"/>
  <c r="C1" i="5"/>
  <c r="T2" i="7"/>
  <c r="L2" i="7"/>
  <c r="D2" i="7"/>
  <c r="L3" i="7" l="1"/>
  <c r="D3" i="7"/>
  <c r="T3" i="7"/>
  <c r="B2" i="1"/>
  <c r="C20" i="7"/>
  <c r="K20" i="7"/>
  <c r="S20" i="7"/>
  <c r="B19" i="5"/>
  <c r="S475" i="2"/>
  <c r="H475" i="2"/>
  <c r="S458" i="2"/>
  <c r="H458" i="2"/>
  <c r="S441" i="2"/>
  <c r="H441" i="2"/>
  <c r="S424" i="2"/>
  <c r="H424" i="2"/>
  <c r="S407" i="2"/>
  <c r="H407" i="2"/>
  <c r="S390" i="2"/>
  <c r="H390" i="2"/>
  <c r="S373" i="2"/>
  <c r="H373" i="2"/>
  <c r="H356" i="2"/>
  <c r="S339" i="2"/>
  <c r="H339" i="2"/>
  <c r="S322" i="2"/>
  <c r="H322" i="2"/>
  <c r="S305" i="2"/>
  <c r="H305" i="2"/>
  <c r="S288" i="2"/>
  <c r="H288" i="2"/>
  <c r="S271" i="2"/>
  <c r="H271" i="2"/>
  <c r="S254" i="2"/>
  <c r="H254" i="2"/>
  <c r="S237" i="2"/>
  <c r="H237" i="2"/>
  <c r="S220" i="2"/>
  <c r="H220" i="2"/>
  <c r="S203" i="2"/>
  <c r="H203" i="2"/>
  <c r="S186" i="2"/>
  <c r="H186" i="2"/>
  <c r="S169" i="2"/>
  <c r="H169" i="2"/>
  <c r="S152" i="2"/>
  <c r="H152" i="2"/>
  <c r="S135" i="2"/>
  <c r="H135" i="2"/>
  <c r="S118" i="2"/>
  <c r="H118" i="2"/>
  <c r="S101" i="2"/>
  <c r="H101" i="2"/>
  <c r="S84" i="2"/>
  <c r="H84" i="2"/>
  <c r="S67" i="2"/>
  <c r="H67" i="2"/>
  <c r="S50" i="2"/>
  <c r="H50" i="2"/>
  <c r="S33" i="2"/>
  <c r="H33" i="2"/>
  <c r="S16" i="2"/>
  <c r="Q463" i="2"/>
  <c r="F463" i="2"/>
  <c r="Q446" i="2"/>
  <c r="F446" i="2"/>
  <c r="Q429" i="2"/>
  <c r="F429" i="2"/>
  <c r="Q412" i="2"/>
  <c r="F412" i="2"/>
  <c r="Q395" i="2"/>
  <c r="F395" i="2"/>
  <c r="Q378" i="2"/>
  <c r="F378" i="2"/>
  <c r="Q361" i="2"/>
  <c r="F361" i="2"/>
  <c r="Q344" i="2"/>
  <c r="F344" i="2"/>
  <c r="Q327" i="2"/>
  <c r="F327" i="2"/>
  <c r="Q310" i="2"/>
  <c r="F310" i="2"/>
  <c r="Q293" i="2"/>
  <c r="F293" i="2"/>
  <c r="Q276" i="2"/>
  <c r="F276" i="2"/>
  <c r="Q259" i="2"/>
  <c r="F259" i="2"/>
  <c r="Q242" i="2"/>
  <c r="F242" i="2"/>
  <c r="Q225" i="2"/>
  <c r="F225" i="2"/>
  <c r="Q208" i="2"/>
  <c r="F208" i="2"/>
  <c r="Q191" i="2"/>
  <c r="F191" i="2"/>
  <c r="Q174" i="2"/>
  <c r="F174" i="2"/>
  <c r="Q157" i="2"/>
  <c r="F157" i="2"/>
  <c r="Q140" i="2"/>
  <c r="F140" i="2"/>
  <c r="Q123" i="2"/>
  <c r="F123" i="2"/>
  <c r="Q106" i="2"/>
  <c r="F106" i="2"/>
  <c r="Q89" i="2"/>
  <c r="F89" i="2"/>
  <c r="Q72" i="2"/>
  <c r="F72" i="2"/>
  <c r="Q55" i="2"/>
  <c r="F55" i="2"/>
  <c r="Q38" i="2"/>
  <c r="F38" i="2"/>
  <c r="Q21" i="2"/>
  <c r="F21" i="2"/>
  <c r="Q4" i="2"/>
  <c r="F4" i="2"/>
  <c r="S474" i="2"/>
  <c r="H474" i="2"/>
  <c r="O470" i="2"/>
  <c r="D470" i="2"/>
  <c r="S457" i="2"/>
  <c r="H457" i="2"/>
  <c r="O453" i="2"/>
  <c r="D453" i="2"/>
  <c r="S440" i="2"/>
  <c r="H440" i="2"/>
  <c r="O436" i="2"/>
  <c r="D436" i="2"/>
  <c r="S423" i="2"/>
  <c r="H423" i="2"/>
  <c r="O419" i="2"/>
  <c r="D419" i="2"/>
  <c r="X410" i="2"/>
  <c r="S406" i="2"/>
  <c r="H406" i="2"/>
  <c r="O402" i="2"/>
  <c r="D402" i="2"/>
  <c r="S389" i="2"/>
  <c r="H389" i="2"/>
  <c r="O385" i="2"/>
  <c r="D385" i="2"/>
  <c r="S372" i="2"/>
  <c r="H372" i="2"/>
  <c r="O368" i="2"/>
  <c r="D368" i="2"/>
  <c r="S356" i="2"/>
  <c r="S355" i="2"/>
  <c r="H355" i="2"/>
  <c r="O351" i="2"/>
  <c r="D351" i="2"/>
  <c r="X342" i="2"/>
  <c r="U54" i="1"/>
  <c r="U53" i="1"/>
  <c r="U52" i="1"/>
  <c r="U51" i="1"/>
  <c r="U50" i="1"/>
  <c r="U49" i="1"/>
  <c r="U48" i="1"/>
  <c r="U47" i="1"/>
  <c r="U46" i="1"/>
  <c r="U45" i="1"/>
  <c r="U44" i="1"/>
  <c r="U43" i="1"/>
  <c r="U42" i="1"/>
  <c r="U41" i="1"/>
  <c r="U40" i="1"/>
  <c r="U39" i="1"/>
  <c r="U38" i="1"/>
  <c r="U37" i="1"/>
  <c r="S338" i="2"/>
  <c r="H338" i="2"/>
  <c r="O334" i="2"/>
  <c r="D334" i="2"/>
  <c r="S321" i="2"/>
  <c r="H321" i="2"/>
  <c r="O317" i="2"/>
  <c r="D317" i="2"/>
  <c r="S304" i="2"/>
  <c r="H304" i="2"/>
  <c r="O300" i="2"/>
  <c r="D300" i="2"/>
  <c r="S287" i="2"/>
  <c r="H287" i="2"/>
  <c r="O283" i="2"/>
  <c r="D283" i="2"/>
  <c r="S270" i="2"/>
  <c r="H270" i="2"/>
  <c r="O266" i="2"/>
  <c r="D266" i="2"/>
  <c r="S253" i="2"/>
  <c r="H253" i="2"/>
  <c r="O249" i="2"/>
  <c r="D249" i="2"/>
  <c r="S236" i="2"/>
  <c r="H236" i="2"/>
  <c r="O232" i="2"/>
  <c r="D232" i="2"/>
  <c r="S219" i="2"/>
  <c r="H219" i="2"/>
  <c r="O215" i="2"/>
  <c r="D215" i="2"/>
  <c r="S202" i="2"/>
  <c r="H202" i="2"/>
  <c r="O198" i="2"/>
  <c r="D198" i="2"/>
  <c r="S185" i="2"/>
  <c r="H185" i="2"/>
  <c r="O181" i="2"/>
  <c r="D181" i="2"/>
  <c r="S168" i="2"/>
  <c r="H168" i="2"/>
  <c r="O164" i="2"/>
  <c r="D164" i="2"/>
  <c r="S151" i="2"/>
  <c r="H151" i="2"/>
  <c r="O147" i="2"/>
  <c r="D147" i="2"/>
  <c r="S134" i="2"/>
  <c r="H134" i="2"/>
  <c r="O130" i="2"/>
  <c r="D130" i="2"/>
  <c r="S117" i="2"/>
  <c r="H117" i="2"/>
  <c r="O113" i="2"/>
  <c r="D113" i="2"/>
  <c r="S100" i="2"/>
  <c r="H100" i="2"/>
  <c r="O96" i="2"/>
  <c r="D96" i="2"/>
  <c r="S83" i="2"/>
  <c r="H83" i="2"/>
  <c r="O79" i="2"/>
  <c r="D79" i="2"/>
  <c r="S66" i="2"/>
  <c r="H66" i="2"/>
  <c r="S49" i="2"/>
  <c r="H49" i="2"/>
  <c r="S32" i="2"/>
  <c r="H32" i="2"/>
  <c r="S15" i="2"/>
  <c r="H16" i="2"/>
  <c r="H15" i="2"/>
  <c r="O62" i="2"/>
  <c r="D62" i="2"/>
  <c r="O45" i="2"/>
  <c r="D45" i="2"/>
  <c r="O28" i="2"/>
  <c r="D28" i="2"/>
  <c r="O11" i="2"/>
  <c r="M57" i="2"/>
  <c r="B397" i="2"/>
  <c r="M159" i="2"/>
  <c r="B40" i="2"/>
  <c r="M6" i="2"/>
  <c r="B295" i="2"/>
  <c r="B465" i="2"/>
  <c r="M244" i="2"/>
  <c r="B312" i="2"/>
  <c r="M397" i="2"/>
  <c r="B108" i="2"/>
  <c r="B227" i="2"/>
  <c r="B125" i="2"/>
  <c r="B74" i="2"/>
  <c r="M176" i="2"/>
  <c r="B142" i="2"/>
  <c r="B210" i="2"/>
  <c r="E468" i="2"/>
  <c r="M210" i="2"/>
  <c r="M108" i="2"/>
  <c r="M23" i="2"/>
  <c r="B23" i="2"/>
  <c r="M74" i="2"/>
  <c r="P468" i="2"/>
  <c r="B176" i="2"/>
  <c r="M448" i="2"/>
  <c r="B159" i="2"/>
  <c r="B380" i="2"/>
  <c r="B91" i="2"/>
  <c r="B278" i="2"/>
  <c r="M91" i="2"/>
  <c r="E451" i="2"/>
  <c r="M312" i="2"/>
  <c r="M278" i="2"/>
  <c r="M261" i="2"/>
  <c r="M227" i="2"/>
  <c r="B6" i="2"/>
  <c r="B431" i="2"/>
  <c r="M125" i="2"/>
  <c r="B57" i="2"/>
  <c r="B193" i="2"/>
  <c r="B363" i="2"/>
  <c r="M193" i="2"/>
  <c r="M295" i="2"/>
  <c r="M329" i="2"/>
  <c r="M465" i="2"/>
  <c r="M142" i="2"/>
  <c r="B448" i="2"/>
  <c r="B244" i="2"/>
  <c r="B261" i="2"/>
  <c r="B329" i="2"/>
  <c r="M380" i="2"/>
  <c r="M40" i="2"/>
  <c r="D11" i="2" l="1"/>
  <c r="X3" i="1"/>
  <c r="G55" i="1"/>
  <c r="F55" i="1"/>
  <c r="U36" i="1"/>
  <c r="U35" i="1"/>
  <c r="U34" i="1"/>
  <c r="U33" i="1"/>
  <c r="U32" i="1"/>
  <c r="U31" i="1"/>
  <c r="U30" i="1"/>
  <c r="U29" i="1"/>
  <c r="U28" i="1"/>
  <c r="U27" i="1"/>
  <c r="U26" i="1"/>
  <c r="U25" i="1"/>
  <c r="U24" i="1"/>
  <c r="U23" i="1"/>
  <c r="U22" i="1"/>
  <c r="U21" i="1"/>
  <c r="U20" i="1"/>
  <c r="U19" i="1"/>
  <c r="U18" i="1"/>
  <c r="U17" i="1"/>
  <c r="U16" i="1"/>
  <c r="U15" i="1"/>
  <c r="U14" i="1"/>
  <c r="U13" i="1"/>
  <c r="U12" i="1"/>
  <c r="U11" i="1"/>
  <c r="U10" i="1"/>
  <c r="U9" i="1"/>
  <c r="U8" i="1"/>
  <c r="U7" i="1"/>
  <c r="U6" i="1"/>
  <c r="U5" i="1"/>
  <c r="M346" i="2"/>
  <c r="P451" i="2"/>
  <c r="B346" i="2"/>
  <c r="E434" i="2"/>
  <c r="B414" i="2"/>
  <c r="M414" i="2"/>
  <c r="P434" i="2"/>
  <c r="M431" i="2"/>
  <c r="M363" i="2"/>
  <c r="X46" i="1" l="1"/>
  <c r="X34" i="1"/>
  <c r="X22" i="1"/>
  <c r="X10" i="1"/>
  <c r="X45" i="1"/>
  <c r="X33" i="1"/>
  <c r="X21" i="1"/>
  <c r="X9" i="1"/>
  <c r="X51" i="1"/>
  <c r="X27" i="1"/>
  <c r="X50" i="1"/>
  <c r="X26" i="1"/>
  <c r="X49" i="1"/>
  <c r="X25" i="1"/>
  <c r="X13" i="1"/>
  <c r="X36" i="1"/>
  <c r="X35" i="1"/>
  <c r="X44" i="1"/>
  <c r="X32" i="1"/>
  <c r="X20" i="1"/>
  <c r="X8" i="1"/>
  <c r="X43" i="1"/>
  <c r="X31" i="1"/>
  <c r="X19" i="1"/>
  <c r="X7" i="1"/>
  <c r="X54" i="1"/>
  <c r="X42" i="1"/>
  <c r="X30" i="1"/>
  <c r="X18" i="1"/>
  <c r="X6" i="1"/>
  <c r="X53" i="1"/>
  <c r="X41" i="1"/>
  <c r="X29" i="1"/>
  <c r="X17" i="1"/>
  <c r="X5" i="1"/>
  <c r="X52" i="1"/>
  <c r="X40" i="1"/>
  <c r="X28" i="1"/>
  <c r="X16" i="1"/>
  <c r="X39" i="1"/>
  <c r="X15" i="1"/>
  <c r="X38" i="1"/>
  <c r="X14" i="1"/>
  <c r="X37" i="1"/>
  <c r="X48" i="1"/>
  <c r="X24" i="1"/>
  <c r="X12" i="1"/>
  <c r="X47" i="1"/>
  <c r="X23" i="1"/>
  <c r="X11" i="1"/>
  <c r="P55" i="1"/>
  <c r="T56" i="1"/>
  <c r="E196" i="2"/>
  <c r="E417" i="2"/>
  <c r="P247" i="2"/>
  <c r="E281" i="2"/>
  <c r="P111" i="2"/>
  <c r="P145" i="2"/>
  <c r="P264" i="2"/>
  <c r="P230" i="2"/>
  <c r="P128" i="2"/>
  <c r="P281" i="2"/>
  <c r="E128" i="2"/>
  <c r="P315" i="2"/>
  <c r="P298" i="2"/>
  <c r="E179" i="2"/>
  <c r="P94" i="2"/>
  <c r="P383" i="2"/>
  <c r="E264" i="2"/>
  <c r="E247" i="2"/>
  <c r="P196" i="2"/>
  <c r="E315" i="2"/>
  <c r="E162" i="2"/>
  <c r="E298" i="2"/>
  <c r="P332" i="2"/>
  <c r="E349" i="2"/>
  <c r="P213" i="2"/>
  <c r="E94" i="2"/>
  <c r="E77" i="2"/>
  <c r="E332" i="2"/>
  <c r="P162" i="2"/>
  <c r="E383" i="2"/>
  <c r="P77" i="2"/>
  <c r="E111" i="2"/>
  <c r="E145" i="2"/>
  <c r="P366" i="2"/>
  <c r="P400" i="2"/>
  <c r="E213" i="2"/>
  <c r="E230" i="2"/>
  <c r="P179" i="2"/>
  <c r="P417" i="2"/>
  <c r="E400" i="2"/>
  <c r="E366" i="2"/>
  <c r="P349" i="2"/>
  <c r="Q56" i="1" l="1"/>
  <c r="P56" i="1"/>
  <c r="O56" i="1"/>
  <c r="N56" i="1"/>
  <c r="K56" i="1"/>
  <c r="J56" i="1"/>
  <c r="I56" i="1"/>
  <c r="H56" i="1"/>
  <c r="U58" i="1" l="1"/>
  <c r="K55" i="1" l="1"/>
  <c r="J55" i="1"/>
  <c r="I55" i="1"/>
  <c r="H55" i="1"/>
  <c r="Q55" i="1" l="1"/>
  <c r="O55" i="1"/>
  <c r="N55" i="1"/>
  <c r="T55" i="1" l="1"/>
  <c r="R56" i="1" l="1"/>
  <c r="M56" i="1"/>
  <c r="L56" i="1"/>
  <c r="S56" i="1"/>
  <c r="S55" i="1" l="1"/>
  <c r="R55" i="1"/>
  <c r="M55" i="1"/>
  <c r="X70" i="2" l="1"/>
  <c r="X138" i="2" l="1"/>
  <c r="X206" i="2" l="1"/>
  <c r="L55" i="1"/>
  <c r="U55" i="1" s="1"/>
  <c r="X274" i="2" l="1"/>
  <c r="P60" i="2"/>
  <c r="P26" i="2"/>
  <c r="E26" i="2"/>
  <c r="P43" i="2"/>
  <c r="E60" i="2"/>
  <c r="E9" i="2"/>
  <c r="E43" i="2"/>
  <c r="P9" i="2"/>
</calcChain>
</file>

<file path=xl/comments1.xml><?xml version="1.0" encoding="utf-8"?>
<comments xmlns="http://schemas.openxmlformats.org/spreadsheetml/2006/main">
  <authors>
    <author>Windows ユーザー</author>
  </authors>
  <commentList>
    <comment ref="D10" authorId="0" shapeId="0">
      <text>
        <r>
          <rPr>
            <b/>
            <sz val="9"/>
            <color indexed="81"/>
            <rFont val="MS P ゴシック"/>
            <family val="3"/>
            <charset val="128"/>
          </rPr>
          <t>竜証書を発行する月をプルダウンから選択します</t>
        </r>
      </text>
    </comment>
    <comment ref="D12" authorId="0" shapeId="0">
      <text>
        <r>
          <rPr>
            <b/>
            <sz val="9"/>
            <color indexed="81"/>
            <rFont val="MS P ゴシック"/>
            <family val="3"/>
            <charset val="128"/>
          </rPr>
          <t>R8.9.10もしくは
2026/9/10のように入力</t>
        </r>
      </text>
    </comment>
  </commentList>
</comments>
</file>

<file path=xl/comments2.xml><?xml version="1.0" encoding="utf-8"?>
<comments xmlns="http://schemas.openxmlformats.org/spreadsheetml/2006/main">
  <authors>
    <author>Windows ユーザー</author>
  </authors>
  <commentList>
    <comment ref="E4" authorId="0" shapeId="0">
      <text>
        <r>
          <rPr>
            <b/>
            <sz val="9"/>
            <color indexed="81"/>
            <rFont val="MS P ゴシック"/>
            <family val="3"/>
            <charset val="128"/>
          </rPr>
          <t>クラブ員名簿等からコピー・貼付けでも可</t>
        </r>
      </text>
    </comment>
    <comment ref="H4" authorId="0" shapeId="0">
      <text>
        <r>
          <rPr>
            <b/>
            <sz val="9"/>
            <color indexed="81"/>
            <rFont val="MS P ゴシック"/>
            <family val="3"/>
            <charset val="128"/>
          </rPr>
          <t>集金した月に集金額を入力する</t>
        </r>
      </text>
    </comment>
  </commentList>
</comments>
</file>

<file path=xl/sharedStrings.xml><?xml version="1.0" encoding="utf-8"?>
<sst xmlns="http://schemas.openxmlformats.org/spreadsheetml/2006/main" count="733" uniqueCount="126">
  <si>
    <t>No.</t>
    <phoneticPr fontId="1"/>
  </si>
  <si>
    <t>組</t>
    <rPh sb="0" eb="1">
      <t>クミ</t>
    </rPh>
    <phoneticPr fontId="1"/>
  </si>
  <si>
    <t>氏　名</t>
    <rPh sb="0" eb="1">
      <t>シ</t>
    </rPh>
    <rPh sb="2" eb="3">
      <t>ナ</t>
    </rPh>
    <phoneticPr fontId="1"/>
  </si>
  <si>
    <t>計</t>
    <rPh sb="0" eb="1">
      <t>ケイ</t>
    </rPh>
    <phoneticPr fontId="1"/>
  </si>
  <si>
    <t xml:space="preserve">        領  　 収   　証</t>
  </si>
  <si>
    <t xml:space="preserve"> 金</t>
  </si>
  <si>
    <t>円　也</t>
  </si>
  <si>
    <t>上記正に領収しました。</t>
  </si>
  <si>
    <t xml:space="preserve"> 印</t>
  </si>
  <si>
    <t>カウンタ</t>
  </si>
  <si>
    <t>名</t>
  </si>
  <si>
    <t>開始番号</t>
    <rPh sb="0" eb="2">
      <t>カイシ</t>
    </rPh>
    <rPh sb="2" eb="4">
      <t>バンゴウ</t>
    </rPh>
    <phoneticPr fontId="4"/>
  </si>
  <si>
    <t>終了番号</t>
    <rPh sb="0" eb="2">
      <t>シュウリョウ</t>
    </rPh>
    <rPh sb="2" eb="4">
      <t>バンゴウ</t>
    </rPh>
    <phoneticPr fontId="4"/>
  </si>
  <si>
    <t>P</t>
    <phoneticPr fontId="1"/>
  </si>
  <si>
    <t>年</t>
    <rPh sb="0" eb="1">
      <t>ネン</t>
    </rPh>
    <phoneticPr fontId="1"/>
  </si>
  <si>
    <t>E</t>
    <phoneticPr fontId="1"/>
  </si>
  <si>
    <t>Ｘ</t>
    <phoneticPr fontId="1"/>
  </si>
  <si>
    <t>合計</t>
    <rPh sb="0" eb="2">
      <t>ゴウケイ</t>
    </rPh>
    <phoneticPr fontId="1"/>
  </si>
  <si>
    <t>４月</t>
    <rPh sb="1" eb="2">
      <t>ガツ</t>
    </rPh>
    <phoneticPr fontId="1"/>
  </si>
  <si>
    <t>５月</t>
    <rPh sb="1" eb="2">
      <t>ガツ</t>
    </rPh>
    <phoneticPr fontId="1"/>
  </si>
  <si>
    <t>６月</t>
  </si>
  <si>
    <t>７月</t>
  </si>
  <si>
    <t>８月</t>
  </si>
  <si>
    <t>９月</t>
  </si>
  <si>
    <t>１０月</t>
  </si>
  <si>
    <t>１１月</t>
  </si>
  <si>
    <t>１２月</t>
  </si>
  <si>
    <t>１月</t>
  </si>
  <si>
    <t>２月</t>
  </si>
  <si>
    <t>３月</t>
  </si>
  <si>
    <t>年会費</t>
    <rPh sb="0" eb="3">
      <t>ネンカイヒ</t>
    </rPh>
    <phoneticPr fontId="1"/>
  </si>
  <si>
    <t>入会費</t>
    <rPh sb="0" eb="2">
      <t>ニュウカイ</t>
    </rPh>
    <rPh sb="2" eb="3">
      <t>ヒ</t>
    </rPh>
    <phoneticPr fontId="1"/>
  </si>
  <si>
    <t>都度集金</t>
    <rPh sb="0" eb="2">
      <t>ツド</t>
    </rPh>
    <rPh sb="2" eb="4">
      <t>シュウキン</t>
    </rPh>
    <phoneticPr fontId="1"/>
  </si>
  <si>
    <t>あ</t>
    <phoneticPr fontId="1"/>
  </si>
  <si>
    <t>い</t>
    <phoneticPr fontId="1"/>
  </si>
  <si>
    <t>え</t>
    <phoneticPr fontId="1"/>
  </si>
  <si>
    <t>う</t>
    <phoneticPr fontId="1"/>
  </si>
  <si>
    <t>お</t>
    <phoneticPr fontId="1"/>
  </si>
  <si>
    <t>か</t>
    <phoneticPr fontId="1"/>
  </si>
  <si>
    <t>き</t>
    <phoneticPr fontId="1"/>
  </si>
  <si>
    <t>く</t>
    <phoneticPr fontId="1"/>
  </si>
  <si>
    <t>け</t>
    <phoneticPr fontId="1"/>
  </si>
  <si>
    <t>こ</t>
    <phoneticPr fontId="1"/>
  </si>
  <si>
    <t>さ</t>
    <phoneticPr fontId="1"/>
  </si>
  <si>
    <t>し</t>
    <phoneticPr fontId="1"/>
  </si>
  <si>
    <t>す</t>
    <phoneticPr fontId="1"/>
  </si>
  <si>
    <t>せ</t>
    <phoneticPr fontId="1"/>
  </si>
  <si>
    <t>そ</t>
    <phoneticPr fontId="1"/>
  </si>
  <si>
    <t>た</t>
    <phoneticPr fontId="1"/>
  </si>
  <si>
    <t>ち</t>
    <phoneticPr fontId="1"/>
  </si>
  <si>
    <t>つ</t>
    <phoneticPr fontId="1"/>
  </si>
  <si>
    <t>て</t>
    <phoneticPr fontId="1"/>
  </si>
  <si>
    <t>と</t>
    <phoneticPr fontId="1"/>
  </si>
  <si>
    <t>な</t>
    <phoneticPr fontId="1"/>
  </si>
  <si>
    <t>に</t>
    <phoneticPr fontId="1"/>
  </si>
  <si>
    <t>ぬ</t>
    <phoneticPr fontId="1"/>
  </si>
  <si>
    <t>ね</t>
    <phoneticPr fontId="1"/>
  </si>
  <si>
    <t>の</t>
    <phoneticPr fontId="1"/>
  </si>
  <si>
    <t>は</t>
    <phoneticPr fontId="1"/>
  </si>
  <si>
    <t>ひ</t>
    <phoneticPr fontId="1"/>
  </si>
  <si>
    <t>ふ</t>
    <phoneticPr fontId="1"/>
  </si>
  <si>
    <t>へ</t>
    <phoneticPr fontId="1"/>
  </si>
  <si>
    <t>ほ</t>
    <phoneticPr fontId="1"/>
  </si>
  <si>
    <t>ま</t>
    <phoneticPr fontId="1"/>
  </si>
  <si>
    <t>み</t>
    <phoneticPr fontId="1"/>
  </si>
  <si>
    <t>クラブ名</t>
    <rPh sb="3" eb="4">
      <t>メイ</t>
    </rPh>
    <phoneticPr fontId="1"/>
  </si>
  <si>
    <t>代表者名</t>
    <rPh sb="0" eb="3">
      <t>ダイヒョウシャ</t>
    </rPh>
    <rPh sb="3" eb="4">
      <t>メイ</t>
    </rPh>
    <phoneticPr fontId="1"/>
  </si>
  <si>
    <t>代表者氏名</t>
    <rPh sb="0" eb="3">
      <t>ダイヒョウシャ</t>
    </rPh>
    <rPh sb="3" eb="5">
      <t>シメイ</t>
    </rPh>
    <phoneticPr fontId="4"/>
  </si>
  <si>
    <t>クラブ名</t>
    <rPh sb="3" eb="4">
      <t>メイ</t>
    </rPh>
    <phoneticPr fontId="4"/>
  </si>
  <si>
    <t>む</t>
    <phoneticPr fontId="1"/>
  </si>
  <si>
    <t>め</t>
    <phoneticPr fontId="1"/>
  </si>
  <si>
    <t>も</t>
    <phoneticPr fontId="1"/>
  </si>
  <si>
    <t>や</t>
    <phoneticPr fontId="1"/>
  </si>
  <si>
    <t>よ</t>
    <phoneticPr fontId="1"/>
  </si>
  <si>
    <t>ら</t>
    <phoneticPr fontId="1"/>
  </si>
  <si>
    <t>り</t>
    <phoneticPr fontId="1"/>
  </si>
  <si>
    <t>る</t>
    <phoneticPr fontId="1"/>
  </si>
  <si>
    <t>れ</t>
    <phoneticPr fontId="1"/>
  </si>
  <si>
    <t>ろ</t>
    <phoneticPr fontId="1"/>
  </si>
  <si>
    <t>わ</t>
    <phoneticPr fontId="1"/>
  </si>
  <si>
    <t>を</t>
    <phoneticPr fontId="1"/>
  </si>
  <si>
    <t>領収日</t>
    <rPh sb="0" eb="3">
      <t>リョウシュウビ</t>
    </rPh>
    <phoneticPr fontId="1"/>
  </si>
  <si>
    <t>参加者氏名</t>
    <rPh sb="0" eb="3">
      <t>サンカシャ</t>
    </rPh>
    <rPh sb="3" eb="5">
      <t>シメイ</t>
    </rPh>
    <phoneticPr fontId="1"/>
  </si>
  <si>
    <t>領収者</t>
    <rPh sb="0" eb="3">
      <t>リョウシュウシャ</t>
    </rPh>
    <phoneticPr fontId="1"/>
  </si>
  <si>
    <t>領収年月日</t>
    <rPh sb="0" eb="2">
      <t>リョウシュウ</t>
    </rPh>
    <rPh sb="2" eb="5">
      <t>ネンガッピ</t>
    </rPh>
    <phoneticPr fontId="4"/>
  </si>
  <si>
    <t>金額</t>
    <rPh sb="0" eb="2">
      <t>キンガク</t>
    </rPh>
    <phoneticPr fontId="4"/>
  </si>
  <si>
    <t>内容</t>
    <rPh sb="0" eb="2">
      <t>ナイヨウ</t>
    </rPh>
    <phoneticPr fontId="1"/>
  </si>
  <si>
    <t>受領サイン</t>
    <rPh sb="0" eb="2">
      <t>ジュリョウ</t>
    </rPh>
    <phoneticPr fontId="1"/>
  </si>
  <si>
    <t>/　/</t>
    <phoneticPr fontId="1"/>
  </si>
  <si>
    <t>４月分参加費等</t>
    <rPh sb="1" eb="2">
      <t>ガツ</t>
    </rPh>
    <rPh sb="2" eb="3">
      <t>ブン</t>
    </rPh>
    <rPh sb="3" eb="7">
      <t>サンカヒトウ</t>
    </rPh>
    <phoneticPr fontId="1"/>
  </si>
  <si>
    <t>５月分参加費等</t>
    <rPh sb="1" eb="2">
      <t>ガツ</t>
    </rPh>
    <rPh sb="2" eb="3">
      <t>ブン</t>
    </rPh>
    <rPh sb="3" eb="7">
      <t>サンカヒトウ</t>
    </rPh>
    <phoneticPr fontId="1"/>
  </si>
  <si>
    <t>６月分参加費等</t>
    <rPh sb="1" eb="2">
      <t>ガツ</t>
    </rPh>
    <rPh sb="2" eb="3">
      <t>ブン</t>
    </rPh>
    <rPh sb="3" eb="7">
      <t>サンカヒトウ</t>
    </rPh>
    <phoneticPr fontId="1"/>
  </si>
  <si>
    <t>７月分参加費等</t>
    <rPh sb="1" eb="2">
      <t>ガツ</t>
    </rPh>
    <rPh sb="2" eb="3">
      <t>ブン</t>
    </rPh>
    <rPh sb="3" eb="7">
      <t>サンカヒトウ</t>
    </rPh>
    <phoneticPr fontId="1"/>
  </si>
  <si>
    <t>８月分参加費等</t>
    <rPh sb="1" eb="2">
      <t>ガツ</t>
    </rPh>
    <rPh sb="2" eb="3">
      <t>ブン</t>
    </rPh>
    <rPh sb="3" eb="7">
      <t>サンカヒトウ</t>
    </rPh>
    <phoneticPr fontId="1"/>
  </si>
  <si>
    <t>９月分参加費等</t>
    <rPh sb="1" eb="2">
      <t>ガツ</t>
    </rPh>
    <rPh sb="2" eb="3">
      <t>ブン</t>
    </rPh>
    <rPh sb="3" eb="7">
      <t>サンカヒトウ</t>
    </rPh>
    <phoneticPr fontId="1"/>
  </si>
  <si>
    <t>１０月分参加費等</t>
    <rPh sb="2" eb="3">
      <t>ガツ</t>
    </rPh>
    <rPh sb="3" eb="4">
      <t>ブン</t>
    </rPh>
    <rPh sb="4" eb="8">
      <t>サンカヒトウ</t>
    </rPh>
    <phoneticPr fontId="1"/>
  </si>
  <si>
    <t>１１月分参加費等</t>
    <rPh sb="2" eb="3">
      <t>ガツ</t>
    </rPh>
    <rPh sb="3" eb="4">
      <t>ブン</t>
    </rPh>
    <rPh sb="4" eb="8">
      <t>サンカヒトウ</t>
    </rPh>
    <phoneticPr fontId="1"/>
  </si>
  <si>
    <t>１２月分参加費等</t>
    <rPh sb="2" eb="3">
      <t>ガツ</t>
    </rPh>
    <rPh sb="3" eb="4">
      <t>ブン</t>
    </rPh>
    <rPh sb="4" eb="8">
      <t>サンカヒトウ</t>
    </rPh>
    <phoneticPr fontId="1"/>
  </si>
  <si>
    <t>１月分参加費等</t>
    <rPh sb="1" eb="2">
      <t>ガツ</t>
    </rPh>
    <rPh sb="2" eb="3">
      <t>ブン</t>
    </rPh>
    <rPh sb="3" eb="7">
      <t>サンカヒトウ</t>
    </rPh>
    <phoneticPr fontId="1"/>
  </si>
  <si>
    <t>２月分参加費等</t>
    <phoneticPr fontId="1"/>
  </si>
  <si>
    <t>３月分参加費等</t>
    <phoneticPr fontId="1"/>
  </si>
  <si>
    <t>氏名</t>
    <rPh sb="0" eb="2">
      <t>シメイ</t>
    </rPh>
    <phoneticPr fontId="1"/>
  </si>
  <si>
    <t>年度</t>
    <rPh sb="0" eb="2">
      <t>ネンド</t>
    </rPh>
    <phoneticPr fontId="1"/>
  </si>
  <si>
    <t>クラブ代表者</t>
    <rPh sb="3" eb="6">
      <t>ダイヒョウシャ</t>
    </rPh>
    <phoneticPr fontId="1"/>
  </si>
  <si>
    <t>領収書発行日</t>
    <rPh sb="0" eb="3">
      <t>リョウシュウショ</t>
    </rPh>
    <rPh sb="3" eb="6">
      <t>ハッコウビ</t>
    </rPh>
    <phoneticPr fontId="1"/>
  </si>
  <si>
    <t>△△△△</t>
  </si>
  <si>
    <t>開始番号</t>
  </si>
  <si>
    <t>終了番号</t>
  </si>
  <si>
    <t>氏名</t>
  </si>
  <si>
    <t>４月</t>
  </si>
  <si>
    <t>５月</t>
  </si>
  <si>
    <t>年会費</t>
  </si>
  <si>
    <t>入会費</t>
  </si>
  <si>
    <t>都度集金</t>
  </si>
  <si>
    <t>受領
サイン</t>
    <rPh sb="0" eb="2">
      <t>ジュリョウ</t>
    </rPh>
    <phoneticPr fontId="1"/>
  </si>
  <si>
    <t>集金袋</t>
    <rPh sb="0" eb="3">
      <t>シュウキンブクロ</t>
    </rPh>
    <phoneticPr fontId="1"/>
  </si>
  <si>
    <t>入会金</t>
    <rPh sb="0" eb="3">
      <t>ニュウカイキン</t>
    </rPh>
    <phoneticPr fontId="1"/>
  </si>
  <si>
    <t>２月分参加費等</t>
  </si>
  <si>
    <t>３月分参加費等</t>
  </si>
  <si>
    <t>ver.1.0</t>
    <phoneticPr fontId="1"/>
  </si>
  <si>
    <t>会費等納入管理（領収書）システム</t>
    <rPh sb="0" eb="2">
      <t>カイヒ</t>
    </rPh>
    <rPh sb="2" eb="3">
      <t>トウ</t>
    </rPh>
    <rPh sb="3" eb="5">
      <t>ノウニュウ</t>
    </rPh>
    <rPh sb="5" eb="7">
      <t>カンリ</t>
    </rPh>
    <rPh sb="8" eb="10">
      <t>リョウシュウ</t>
    </rPh>
    <rPh sb="10" eb="11">
      <t>ショ</t>
    </rPh>
    <phoneticPr fontId="1"/>
  </si>
  <si>
    <t>領収書発行月</t>
    <rPh sb="0" eb="3">
      <t>リョウシュウショ</t>
    </rPh>
    <rPh sb="3" eb="5">
      <t>ハッコウ</t>
    </rPh>
    <rPh sb="5" eb="6">
      <t>ツキ</t>
    </rPh>
    <phoneticPr fontId="1"/>
  </si>
  <si>
    <t>↑</t>
    <phoneticPr fontId="1"/>
  </si>
  <si>
    <t>令和8年度　〇〇中学校▲▲クラブ参加費等集金額一覧</t>
  </si>
  <si>
    <t>〇〇中学校▲▲クラブ</t>
  </si>
  <si>
    <t>NO.1～No.3は１を入力して印刷
No.4～No.6は２を入力して印刷
以下1づつ加算し入力して印刷</t>
    <rPh sb="12" eb="14">
      <t>ニュウリョク</t>
    </rPh>
    <rPh sb="16" eb="18">
      <t>インサツ</t>
    </rPh>
    <rPh sb="32" eb="34">
      <t>ニュウリョク</t>
    </rPh>
    <rPh sb="36" eb="38">
      <t>インサツ</t>
    </rPh>
    <rPh sb="40" eb="42">
      <t>イカ</t>
    </rPh>
    <rPh sb="45" eb="47">
      <t>カサン</t>
    </rPh>
    <rPh sb="48" eb="50">
      <t>ニュウリョク</t>
    </rPh>
    <rPh sb="52" eb="54">
      <t>インサツ</t>
    </rPh>
    <phoneticPr fontId="1"/>
  </si>
</sst>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4">
    <numFmt numFmtId="176" formatCode="#,##0_ "/>
    <numFmt numFmtId="177" formatCode="#&quot;組&quot;"/>
    <numFmt numFmtId="178" formatCode="#&quot;年&quot;"/>
    <numFmt numFmtId="179" formatCode="[$-411]ggge&quot;年&quot;m&quot;月&quot;d&quot;日&quot;;@"/>
  </numFmts>
  <fonts count="39">
    <font>
      <sz val="11"/>
      <color theme="1"/>
      <name val="游ゴシック"/>
      <family val="2"/>
      <charset val="128"/>
      <scheme val="minor"/>
    </font>
    <font>
      <sz val="6"/>
      <name val="游ゴシック"/>
      <family val="2"/>
      <charset val="128"/>
      <scheme val="minor"/>
    </font>
    <font>
      <sz val="11"/>
      <name val="ＭＳ Ｐゴシック"/>
      <family val="3"/>
      <charset val="128"/>
    </font>
    <font>
      <sz val="18"/>
      <name val="ＭＳ Ｐゴシック"/>
      <family val="3"/>
      <charset val="128"/>
    </font>
    <font>
      <sz val="6"/>
      <name val="ＭＳ Ｐゴシック"/>
      <family val="3"/>
      <charset val="128"/>
    </font>
    <font>
      <b/>
      <sz val="18"/>
      <name val="ＭＳ Ｐゴシック"/>
      <family val="3"/>
      <charset val="128"/>
    </font>
    <font>
      <sz val="11"/>
      <name val="游ゴシック"/>
      <family val="3"/>
      <charset val="128"/>
      <scheme val="minor"/>
    </font>
    <font>
      <sz val="10"/>
      <color indexed="64"/>
      <name val="ＭＳ 明朝"/>
      <family val="1"/>
      <charset val="128"/>
    </font>
    <font>
      <b/>
      <sz val="14"/>
      <color rgb="FF000000"/>
      <name val="ＭＳ Ｐゴシック"/>
      <family val="3"/>
      <charset val="128"/>
    </font>
    <font>
      <sz val="12"/>
      <color theme="1"/>
      <name val="游ゴシック"/>
      <family val="2"/>
      <charset val="128"/>
      <scheme val="minor"/>
    </font>
    <font>
      <sz val="12"/>
      <color theme="1"/>
      <name val="游ゴシック"/>
      <family val="3"/>
      <charset val="128"/>
      <scheme val="minor"/>
    </font>
    <font>
      <sz val="10"/>
      <color theme="1"/>
      <name val="游ゴシック"/>
      <family val="3"/>
      <charset val="128"/>
      <scheme val="minor"/>
    </font>
    <font>
      <sz val="10"/>
      <color theme="1"/>
      <name val="游ゴシック"/>
      <family val="2"/>
      <charset val="128"/>
      <scheme val="minor"/>
    </font>
    <font>
      <sz val="14"/>
      <color theme="1"/>
      <name val="游ゴシック"/>
      <family val="3"/>
      <charset val="128"/>
      <scheme val="minor"/>
    </font>
    <font>
      <sz val="16"/>
      <color theme="1"/>
      <name val="游ゴシック"/>
      <family val="2"/>
      <charset val="128"/>
      <scheme val="minor"/>
    </font>
    <font>
      <sz val="11"/>
      <color theme="1"/>
      <name val="游ゴシック"/>
      <family val="3"/>
      <charset val="128"/>
      <scheme val="minor"/>
    </font>
    <font>
      <sz val="8"/>
      <color theme="1"/>
      <name val="游ゴシック"/>
      <family val="3"/>
      <charset val="128"/>
      <scheme val="minor"/>
    </font>
    <font>
      <sz val="12"/>
      <name val="ＭＳ Ｐゴシック"/>
      <family val="3"/>
      <charset val="128"/>
    </font>
    <font>
      <sz val="14"/>
      <name val="ＭＳ Ｐゴシック"/>
      <family val="3"/>
      <charset val="128"/>
    </font>
    <font>
      <b/>
      <sz val="22"/>
      <color theme="1"/>
      <name val="游ゴシック"/>
      <family val="3"/>
      <charset val="128"/>
      <scheme val="minor"/>
    </font>
    <font>
      <b/>
      <sz val="11"/>
      <color theme="1"/>
      <name val="BIZ UDPゴシック"/>
      <family val="3"/>
      <charset val="128"/>
    </font>
    <font>
      <sz val="11"/>
      <name val="HG丸ｺﾞｼｯｸM-PRO"/>
      <family val="3"/>
      <charset val="128"/>
    </font>
    <font>
      <b/>
      <sz val="14"/>
      <name val="HG丸ｺﾞｼｯｸM-PRO"/>
      <family val="3"/>
      <charset val="128"/>
    </font>
    <font>
      <b/>
      <sz val="16"/>
      <name val="HG丸ｺﾞｼｯｸM-PRO"/>
      <family val="3"/>
      <charset val="128"/>
    </font>
    <font>
      <sz val="12"/>
      <name val="HG丸ｺﾞｼｯｸM-PRO"/>
      <family val="3"/>
      <charset val="128"/>
    </font>
    <font>
      <sz val="20"/>
      <name val="HG丸ｺﾞｼｯｸM-PRO"/>
      <family val="3"/>
      <charset val="128"/>
    </font>
    <font>
      <sz val="10"/>
      <name val="HG丸ｺﾞｼｯｸM-PRO"/>
      <family val="3"/>
      <charset val="128"/>
    </font>
    <font>
      <sz val="11"/>
      <name val="ＭＳ 明朝"/>
      <family val="1"/>
      <charset val="128"/>
    </font>
    <font>
      <sz val="16"/>
      <name val="ＭＳ Ｐゴシック"/>
      <family val="3"/>
      <charset val="128"/>
    </font>
    <font>
      <sz val="24"/>
      <name val="HG丸ｺﾞｼｯｸM-PRO"/>
      <family val="3"/>
      <charset val="128"/>
    </font>
    <font>
      <sz val="24"/>
      <color theme="1"/>
      <name val="游ゴシック"/>
      <family val="2"/>
      <charset val="128"/>
      <scheme val="minor"/>
    </font>
    <font>
      <b/>
      <sz val="11"/>
      <color theme="1"/>
      <name val="游ゴシック"/>
      <family val="3"/>
      <charset val="128"/>
      <scheme val="minor"/>
    </font>
    <font>
      <b/>
      <sz val="16"/>
      <color theme="1"/>
      <name val="游ゴシック"/>
      <family val="3"/>
      <charset val="128"/>
      <scheme val="minor"/>
    </font>
    <font>
      <sz val="14"/>
      <name val="HG丸ｺﾞｼｯｸM-PRO"/>
      <family val="3"/>
      <charset val="128"/>
    </font>
    <font>
      <sz val="14"/>
      <color theme="1"/>
      <name val="游ゴシック"/>
      <family val="2"/>
      <charset val="128"/>
      <scheme val="minor"/>
    </font>
    <font>
      <b/>
      <sz val="9"/>
      <color indexed="81"/>
      <name val="MS P ゴシック"/>
      <family val="3"/>
      <charset val="128"/>
    </font>
    <font>
      <sz val="12"/>
      <color rgb="FFFF0000"/>
      <name val="游ゴシック"/>
      <family val="2"/>
      <charset val="128"/>
      <scheme val="minor"/>
    </font>
    <font>
      <sz val="10"/>
      <color rgb="FFFF0000"/>
      <name val="游ゴシック"/>
      <family val="3"/>
      <charset val="128"/>
      <scheme val="minor"/>
    </font>
    <font>
      <sz val="12"/>
      <color rgb="FFFF0000"/>
      <name val="游ゴシック"/>
      <family val="3"/>
      <charset val="128"/>
      <scheme val="minor"/>
    </font>
  </fonts>
  <fills count="4">
    <fill>
      <patternFill patternType="none"/>
    </fill>
    <fill>
      <patternFill patternType="gray125"/>
    </fill>
    <fill>
      <patternFill patternType="solid">
        <fgColor theme="6" tint="0.79998168889431442"/>
        <bgColor indexed="64"/>
      </patternFill>
    </fill>
    <fill>
      <patternFill patternType="solid">
        <fgColor theme="4" tint="0.79998168889431442"/>
        <bgColor indexed="64"/>
      </patternFill>
    </fill>
  </fills>
  <borders count="26">
    <border>
      <left/>
      <right/>
      <top/>
      <bottom/>
      <diagonal/>
    </border>
    <border>
      <left style="thin">
        <color auto="1"/>
      </left>
      <right style="thin">
        <color auto="1"/>
      </right>
      <top style="thin">
        <color auto="1"/>
      </top>
      <bottom style="thin">
        <color auto="1"/>
      </bottom>
      <diagonal/>
    </border>
    <border>
      <left style="hair">
        <color indexed="64"/>
      </left>
      <right/>
      <top/>
      <bottom/>
      <diagonal/>
    </border>
    <border>
      <left/>
      <right/>
      <top/>
      <bottom style="hair">
        <color indexed="64"/>
      </bottom>
      <diagonal/>
    </border>
    <border>
      <left style="hair">
        <color indexed="64"/>
      </left>
      <right/>
      <top/>
      <bottom style="hair">
        <color indexed="64"/>
      </bottom>
      <diagonal/>
    </border>
    <border>
      <left style="thin">
        <color indexed="8"/>
      </left>
      <right style="thin">
        <color indexed="8"/>
      </right>
      <top style="thin">
        <color indexed="8"/>
      </top>
      <bottom style="thin">
        <color indexed="8"/>
      </bottom>
      <diagonal/>
    </border>
    <border>
      <left/>
      <right/>
      <top/>
      <bottom style="thin">
        <color indexed="64"/>
      </bottom>
      <diagonal/>
    </border>
    <border>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right style="thin">
        <color auto="1"/>
      </right>
      <top style="thin">
        <color auto="1"/>
      </top>
      <bottom style="thin">
        <color auto="1"/>
      </bottom>
      <diagonal/>
    </border>
    <border>
      <left/>
      <right style="hair">
        <color indexed="64"/>
      </right>
      <top/>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style="thin">
        <color indexed="8"/>
      </right>
      <top/>
      <bottom/>
      <diagonal/>
    </border>
    <border>
      <left style="thin">
        <color indexed="64"/>
      </left>
      <right style="thin">
        <color indexed="64"/>
      </right>
      <top/>
      <bottom style="thin">
        <color indexed="64"/>
      </bottom>
      <diagonal/>
    </border>
    <border>
      <left style="medium">
        <color auto="1"/>
      </left>
      <right style="medium">
        <color auto="1"/>
      </right>
      <top style="medium">
        <color auto="1"/>
      </top>
      <bottom style="medium">
        <color auto="1"/>
      </bottom>
      <diagonal/>
    </border>
    <border>
      <left style="medium">
        <color auto="1"/>
      </left>
      <right/>
      <top style="medium">
        <color auto="1"/>
      </top>
      <bottom style="medium">
        <color auto="1"/>
      </bottom>
      <diagonal/>
    </border>
    <border>
      <left/>
      <right/>
      <top style="medium">
        <color auto="1"/>
      </top>
      <bottom style="medium">
        <color auto="1"/>
      </bottom>
      <diagonal/>
    </border>
    <border>
      <left/>
      <right style="medium">
        <color auto="1"/>
      </right>
      <top style="medium">
        <color auto="1"/>
      </top>
      <bottom style="medium">
        <color auto="1"/>
      </bottom>
      <diagonal/>
    </border>
    <border>
      <left/>
      <right style="medium">
        <color auto="1"/>
      </right>
      <top style="thin">
        <color auto="1"/>
      </top>
      <bottom style="thin">
        <color auto="1"/>
      </bottom>
      <diagonal/>
    </border>
    <border>
      <left/>
      <right/>
      <top style="thin">
        <color indexed="64"/>
      </top>
      <bottom/>
      <diagonal/>
    </border>
    <border>
      <left/>
      <right style="thin">
        <color indexed="64"/>
      </right>
      <top style="thin">
        <color indexed="64"/>
      </top>
      <bottom/>
      <diagonal/>
    </border>
    <border>
      <left/>
      <right/>
      <top style="thin">
        <color indexed="64"/>
      </top>
      <bottom style="thin">
        <color indexed="64"/>
      </bottom>
      <diagonal/>
    </border>
    <border>
      <left style="thin">
        <color indexed="64"/>
      </left>
      <right/>
      <top style="thin">
        <color indexed="64"/>
      </top>
      <bottom/>
      <diagonal/>
    </border>
    <border>
      <left style="thin">
        <color indexed="64"/>
      </left>
      <right/>
      <top/>
      <bottom style="thin">
        <color indexed="64"/>
      </bottom>
      <diagonal/>
    </border>
    <border>
      <left/>
      <right/>
      <top style="medium">
        <color auto="1"/>
      </top>
      <bottom/>
      <diagonal/>
    </border>
  </borders>
  <cellStyleXfs count="5">
    <xf numFmtId="0" fontId="0" fillId="0" borderId="0">
      <alignment vertical="center"/>
    </xf>
    <xf numFmtId="0" fontId="2" fillId="0" borderId="0">
      <alignment vertical="center"/>
    </xf>
    <xf numFmtId="0" fontId="2" fillId="0" borderId="0">
      <alignment vertical="center"/>
    </xf>
    <xf numFmtId="38" fontId="2" fillId="0" borderId="0" applyFont="0" applyFill="0" applyBorder="0" applyAlignment="0" applyProtection="0">
      <alignment vertical="center"/>
    </xf>
    <xf numFmtId="0" fontId="2" fillId="0" borderId="0"/>
  </cellStyleXfs>
  <cellXfs count="198">
    <xf numFmtId="0" fontId="0" fillId="0" borderId="0" xfId="0">
      <alignment vertical="center"/>
    </xf>
    <xf numFmtId="0" fontId="2" fillId="0" borderId="0" xfId="1" applyBorder="1">
      <alignment vertical="center"/>
    </xf>
    <xf numFmtId="0" fontId="2" fillId="0" borderId="2" xfId="1" applyBorder="1">
      <alignment vertical="center"/>
    </xf>
    <xf numFmtId="0" fontId="2" fillId="0" borderId="0" xfId="2">
      <alignment vertical="center"/>
    </xf>
    <xf numFmtId="0" fontId="3" fillId="0" borderId="0" xfId="1" applyFont="1" applyBorder="1">
      <alignment vertical="center"/>
    </xf>
    <xf numFmtId="0" fontId="2" fillId="0" borderId="0" xfId="2" applyBorder="1">
      <alignment vertical="center"/>
    </xf>
    <xf numFmtId="176" fontId="5" fillId="0" borderId="0" xfId="1" applyNumberFormat="1" applyFont="1" applyBorder="1" applyAlignment="1">
      <alignment horizontal="left" vertical="center" shrinkToFit="1"/>
    </xf>
    <xf numFmtId="176" fontId="3" fillId="0" borderId="0" xfId="1" applyNumberFormat="1" applyFont="1" applyBorder="1" applyAlignment="1">
      <alignment horizontal="left" vertical="center"/>
    </xf>
    <xf numFmtId="0" fontId="3" fillId="0" borderId="0" xfId="1" applyFont="1" applyBorder="1" applyAlignment="1">
      <alignment horizontal="left" vertical="center" shrinkToFit="1"/>
    </xf>
    <xf numFmtId="176" fontId="2" fillId="0" borderId="0" xfId="1" applyNumberFormat="1" applyFont="1" applyBorder="1" applyAlignment="1">
      <alignment horizontal="left" vertical="center"/>
    </xf>
    <xf numFmtId="0" fontId="2" fillId="0" borderId="3" xfId="1" applyBorder="1">
      <alignment vertical="center"/>
    </xf>
    <xf numFmtId="176" fontId="2" fillId="0" borderId="3" xfId="1" applyNumberFormat="1" applyFont="1" applyBorder="1" applyAlignment="1">
      <alignment horizontal="left" vertical="center"/>
    </xf>
    <xf numFmtId="176" fontId="2" fillId="0" borderId="2" xfId="1" applyNumberFormat="1" applyFont="1" applyBorder="1" applyAlignment="1">
      <alignment horizontal="left" vertical="center"/>
    </xf>
    <xf numFmtId="176" fontId="2" fillId="0" borderId="3" xfId="1" applyNumberFormat="1" applyFont="1" applyBorder="1" applyAlignment="1">
      <alignment horizontal="distributed" vertical="center" justifyLastLine="1"/>
    </xf>
    <xf numFmtId="0" fontId="2" fillId="0" borderId="3" xfId="2" applyBorder="1">
      <alignment vertical="center"/>
    </xf>
    <xf numFmtId="176" fontId="2" fillId="0" borderId="4" xfId="1" applyNumberFormat="1" applyFont="1" applyBorder="1" applyAlignment="1">
      <alignment horizontal="left" vertical="center"/>
    </xf>
    <xf numFmtId="176" fontId="2" fillId="0" borderId="0" xfId="1" applyNumberFormat="1" applyFont="1" applyBorder="1" applyAlignment="1">
      <alignment horizontal="distributed" vertical="center" justifyLastLine="1"/>
    </xf>
    <xf numFmtId="176" fontId="6" fillId="0" borderId="0" xfId="1" applyNumberFormat="1" applyFont="1" applyBorder="1" applyAlignment="1">
      <alignment horizontal="left" vertical="center"/>
    </xf>
    <xf numFmtId="38" fontId="12" fillId="0" borderId="8" xfId="0" applyNumberFormat="1" applyFont="1" applyFill="1" applyBorder="1" applyAlignment="1">
      <alignment horizontal="center" vertical="center" shrinkToFit="1"/>
    </xf>
    <xf numFmtId="38" fontId="12" fillId="0" borderId="9" xfId="0" applyNumberFormat="1" applyFont="1" applyFill="1" applyBorder="1" applyAlignment="1">
      <alignment vertical="center" shrinkToFit="1"/>
    </xf>
    <xf numFmtId="38" fontId="12" fillId="0" borderId="8" xfId="0" applyNumberFormat="1" applyFont="1" applyFill="1" applyBorder="1" applyAlignment="1">
      <alignment vertical="center" shrinkToFit="1"/>
    </xf>
    <xf numFmtId="0" fontId="10" fillId="0" borderId="1" xfId="0" applyFont="1" applyFill="1" applyBorder="1" applyAlignment="1">
      <alignment horizontal="center" vertical="center" shrinkToFit="1"/>
    </xf>
    <xf numFmtId="38" fontId="12" fillId="0" borderId="1" xfId="0" applyNumberFormat="1" applyFont="1" applyFill="1" applyBorder="1" applyAlignment="1">
      <alignment vertical="center" shrinkToFit="1"/>
    </xf>
    <xf numFmtId="0" fontId="10" fillId="0" borderId="8" xfId="0" applyFont="1" applyFill="1" applyBorder="1" applyAlignment="1">
      <alignment horizontal="center" vertical="center" shrinkToFit="1"/>
    </xf>
    <xf numFmtId="0" fontId="2" fillId="2" borderId="0" xfId="2" applyFill="1">
      <alignment vertical="center"/>
    </xf>
    <xf numFmtId="0" fontId="2" fillId="2" borderId="0" xfId="2" applyFill="1" applyAlignment="1">
      <alignment horizontal="center" vertical="center"/>
    </xf>
    <xf numFmtId="0" fontId="2" fillId="2" borderId="0" xfId="2" applyFill="1" applyAlignment="1">
      <alignment horizontal="center"/>
    </xf>
    <xf numFmtId="0" fontId="7" fillId="2" borderId="5" xfId="2" applyFont="1" applyFill="1" applyBorder="1" applyAlignment="1" applyProtection="1">
      <alignment horizontal="center" vertical="center"/>
      <protection locked="0"/>
    </xf>
    <xf numFmtId="38" fontId="2" fillId="2" borderId="0" xfId="2" applyNumberFormat="1" applyFill="1">
      <alignment vertical="center"/>
    </xf>
    <xf numFmtId="0" fontId="7" fillId="2" borderId="0" xfId="2" applyFont="1" applyFill="1" applyProtection="1">
      <alignment vertical="center"/>
      <protection locked="0"/>
    </xf>
    <xf numFmtId="0" fontId="7" fillId="2" borderId="0" xfId="2" applyFont="1" applyFill="1" applyAlignment="1">
      <alignment horizontal="center" vertical="center"/>
    </xf>
    <xf numFmtId="0" fontId="7" fillId="2" borderId="0" xfId="2" applyFont="1" applyFill="1" applyAlignment="1" applyProtection="1">
      <alignment horizontal="center" vertical="center"/>
      <protection locked="0"/>
    </xf>
    <xf numFmtId="0" fontId="2" fillId="2" borderId="0" xfId="2" applyFill="1" applyAlignment="1">
      <alignment vertical="center" shrinkToFit="1"/>
    </xf>
    <xf numFmtId="0" fontId="17" fillId="2" borderId="0" xfId="2" applyFont="1" applyFill="1">
      <alignment vertical="center"/>
    </xf>
    <xf numFmtId="0" fontId="2" fillId="0" borderId="8" xfId="2" applyFill="1" applyBorder="1" applyAlignment="1">
      <alignment horizontal="center" vertical="center" wrapText="1"/>
    </xf>
    <xf numFmtId="0" fontId="2" fillId="0" borderId="11" xfId="2" applyFill="1" applyBorder="1" applyAlignment="1">
      <alignment horizontal="center" vertical="center" wrapText="1"/>
    </xf>
    <xf numFmtId="0" fontId="2" fillId="0" borderId="12" xfId="2" applyFill="1" applyBorder="1" applyAlignment="1">
      <alignment vertical="center" wrapText="1" shrinkToFit="1"/>
    </xf>
    <xf numFmtId="0" fontId="2" fillId="0" borderId="8" xfId="2" applyFill="1" applyBorder="1" applyAlignment="1">
      <alignment horizontal="center" vertical="center"/>
    </xf>
    <xf numFmtId="3" fontId="2" fillId="0" borderId="14" xfId="2" applyNumberFormat="1" applyFill="1" applyBorder="1" applyAlignment="1">
      <alignment vertical="center" shrinkToFit="1"/>
    </xf>
    <xf numFmtId="0" fontId="9" fillId="0" borderId="1" xfId="0" applyFont="1" applyFill="1" applyBorder="1" applyAlignment="1">
      <alignment horizontal="center" vertical="center" wrapText="1" shrinkToFit="1"/>
    </xf>
    <xf numFmtId="0" fontId="10" fillId="0" borderId="1" xfId="0" applyFont="1" applyFill="1" applyBorder="1" applyAlignment="1">
      <alignment horizontal="center" vertical="center" wrapText="1" shrinkToFit="1"/>
    </xf>
    <xf numFmtId="3" fontId="2" fillId="0" borderId="8" xfId="2" applyNumberFormat="1" applyFill="1" applyBorder="1" applyAlignment="1">
      <alignment vertical="center" shrinkToFit="1"/>
    </xf>
    <xf numFmtId="0" fontId="16" fillId="0" borderId="8" xfId="0" applyFont="1" applyFill="1" applyBorder="1" applyAlignment="1">
      <alignment horizontal="center" vertical="center" wrapText="1" shrinkToFit="1"/>
    </xf>
    <xf numFmtId="0" fontId="21" fillId="0" borderId="0" xfId="4" applyFont="1" applyAlignment="1"/>
    <xf numFmtId="0" fontId="22" fillId="0" borderId="0" xfId="4" applyFont="1" applyAlignment="1">
      <alignment horizontal="center" vertical="center"/>
    </xf>
    <xf numFmtId="0" fontId="23" fillId="0" borderId="0" xfId="4" applyFont="1" applyAlignment="1">
      <alignment horizontal="center" vertical="center"/>
    </xf>
    <xf numFmtId="0" fontId="25" fillId="0" borderId="0" xfId="4" applyFont="1" applyBorder="1" applyAlignment="1">
      <alignment horizontal="center"/>
    </xf>
    <xf numFmtId="0" fontId="21" fillId="0" borderId="0" xfId="4" applyFont="1" applyBorder="1" applyAlignment="1"/>
    <xf numFmtId="0" fontId="2" fillId="0" borderId="0" xfId="4" applyBorder="1" applyAlignment="1"/>
    <xf numFmtId="0" fontId="21" fillId="0" borderId="0" xfId="4" quotePrefix="1" applyFont="1" applyBorder="1" applyAlignment="1">
      <alignment horizontal="left"/>
    </xf>
    <xf numFmtId="0" fontId="2" fillId="0" borderId="0" xfId="4" applyFont="1" applyBorder="1" applyAlignment="1"/>
    <xf numFmtId="0" fontId="22" fillId="0" borderId="0" xfId="4" applyFont="1" applyBorder="1" applyAlignment="1">
      <alignment horizontal="center" vertical="center"/>
    </xf>
    <xf numFmtId="0" fontId="21" fillId="0" borderId="0" xfId="4" applyFont="1" applyBorder="1" applyAlignment="1">
      <alignment horizontal="center" vertical="center"/>
    </xf>
    <xf numFmtId="0" fontId="23" fillId="0" borderId="0" xfId="4" applyFont="1" applyBorder="1" applyAlignment="1">
      <alignment horizontal="center" vertical="center"/>
    </xf>
    <xf numFmtId="0" fontId="23" fillId="0" borderId="10" xfId="4" applyFont="1" applyBorder="1" applyAlignment="1">
      <alignment horizontal="center" vertical="center"/>
    </xf>
    <xf numFmtId="0" fontId="22" fillId="0" borderId="10" xfId="4" applyFont="1" applyBorder="1" applyAlignment="1">
      <alignment horizontal="center" vertical="center"/>
    </xf>
    <xf numFmtId="0" fontId="24" fillId="0" borderId="10" xfId="4" applyFont="1" applyBorder="1" applyAlignment="1">
      <alignment vertical="center"/>
    </xf>
    <xf numFmtId="0" fontId="25" fillId="0" borderId="10" xfId="4" applyFont="1" applyBorder="1" applyAlignment="1">
      <alignment horizontal="center"/>
    </xf>
    <xf numFmtId="0" fontId="21" fillId="0" borderId="0" xfId="4" applyFont="1" applyBorder="1" applyAlignment="1">
      <alignment horizontal="center"/>
    </xf>
    <xf numFmtId="0" fontId="21" fillId="0" borderId="0" xfId="4" applyFont="1" applyBorder="1" applyAlignment="1">
      <alignment horizontal="left"/>
    </xf>
    <xf numFmtId="0" fontId="26" fillId="0" borderId="0" xfId="4" applyFont="1" applyBorder="1" applyAlignment="1">
      <alignment horizontal="center"/>
    </xf>
    <xf numFmtId="0" fontId="21" fillId="0" borderId="10" xfId="4" applyFont="1" applyBorder="1" applyAlignment="1"/>
    <xf numFmtId="0" fontId="22" fillId="0" borderId="0" xfId="4" applyFont="1" applyBorder="1" applyAlignment="1"/>
    <xf numFmtId="0" fontId="22" fillId="0" borderId="0" xfId="4" applyFont="1" applyAlignment="1"/>
    <xf numFmtId="0" fontId="24" fillId="0" borderId="0" xfId="4" applyFont="1" applyBorder="1" applyAlignment="1">
      <alignment horizontal="distributed" vertical="center"/>
    </xf>
    <xf numFmtId="0" fontId="21" fillId="0" borderId="0" xfId="4" applyFont="1" applyBorder="1" applyAlignment="1">
      <alignment horizontal="left" vertical="top"/>
    </xf>
    <xf numFmtId="0" fontId="16" fillId="0" borderId="8" xfId="0" applyFont="1" applyFill="1" applyBorder="1" applyAlignment="1">
      <alignment horizontal="center" vertical="center" shrinkToFit="1"/>
    </xf>
    <xf numFmtId="0" fontId="27" fillId="0" borderId="0" xfId="4" applyFont="1" applyAlignment="1"/>
    <xf numFmtId="0" fontId="2" fillId="0" borderId="12" xfId="2" applyFill="1" applyBorder="1" applyAlignment="1">
      <alignment horizontal="center" vertical="center" wrapText="1" shrinkToFit="1"/>
    </xf>
    <xf numFmtId="3" fontId="28" fillId="0" borderId="14" xfId="2" applyNumberFormat="1" applyFont="1" applyFill="1" applyBorder="1" applyAlignment="1">
      <alignment vertical="center" shrinkToFit="1"/>
    </xf>
    <xf numFmtId="0" fontId="2" fillId="0" borderId="24" xfId="2" applyFill="1" applyBorder="1" applyAlignment="1">
      <alignment horizontal="center" vertical="center" wrapText="1"/>
    </xf>
    <xf numFmtId="0" fontId="9" fillId="0" borderId="1" xfId="0" applyFont="1" applyFill="1" applyBorder="1" applyAlignment="1">
      <alignment horizontal="center" vertical="center" shrinkToFit="1"/>
    </xf>
    <xf numFmtId="3" fontId="28" fillId="0" borderId="7" xfId="2" applyNumberFormat="1" applyFont="1" applyFill="1" applyBorder="1" applyAlignment="1">
      <alignment vertical="center" shrinkToFit="1"/>
    </xf>
    <xf numFmtId="0" fontId="21" fillId="0" borderId="6" xfId="4" applyFont="1" applyBorder="1" applyAlignment="1"/>
    <xf numFmtId="0" fontId="0" fillId="0" borderId="8" xfId="0" applyFill="1" applyBorder="1" applyAlignment="1">
      <alignment horizontal="center" vertical="center" shrinkToFit="1"/>
    </xf>
    <xf numFmtId="0" fontId="0" fillId="0" borderId="0" xfId="0" applyFill="1" applyAlignment="1">
      <alignment horizontal="center" vertical="center"/>
    </xf>
    <xf numFmtId="0" fontId="0" fillId="0" borderId="0" xfId="0" applyFill="1">
      <alignment vertical="center"/>
    </xf>
    <xf numFmtId="0" fontId="32" fillId="0" borderId="0" xfId="0" applyFont="1" applyFill="1">
      <alignment vertical="center"/>
    </xf>
    <xf numFmtId="0" fontId="31" fillId="0" borderId="0" xfId="0" applyFont="1" applyFill="1">
      <alignment vertical="center"/>
    </xf>
    <xf numFmtId="0" fontId="20" fillId="0" borderId="11" xfId="0" applyFont="1" applyFill="1" applyBorder="1" applyAlignment="1">
      <alignment horizontal="center" vertical="center"/>
    </xf>
    <xf numFmtId="0" fontId="20" fillId="0" borderId="19" xfId="0" applyFont="1" applyFill="1" applyBorder="1">
      <alignment vertical="center"/>
    </xf>
    <xf numFmtId="0" fontId="20" fillId="0" borderId="12" xfId="0" applyFont="1" applyFill="1" applyBorder="1">
      <alignment vertical="center"/>
    </xf>
    <xf numFmtId="0" fontId="20" fillId="0" borderId="0" xfId="0" applyFont="1" applyFill="1" applyAlignment="1">
      <alignment horizontal="center" vertical="center"/>
    </xf>
    <xf numFmtId="0" fontId="20" fillId="0" borderId="0" xfId="0" applyFont="1" applyFill="1">
      <alignment vertical="center"/>
    </xf>
    <xf numFmtId="0" fontId="31" fillId="3" borderId="15" xfId="0" applyFont="1" applyFill="1" applyBorder="1" applyAlignment="1" applyProtection="1">
      <alignment horizontal="center" vertical="center"/>
      <protection locked="0"/>
    </xf>
    <xf numFmtId="57" fontId="31" fillId="3" borderId="15" xfId="0" applyNumberFormat="1" applyFont="1" applyFill="1" applyBorder="1" applyAlignment="1" applyProtection="1">
      <alignment horizontal="center" vertical="center"/>
      <protection locked="0"/>
    </xf>
    <xf numFmtId="0" fontId="0" fillId="0" borderId="0" xfId="0" applyFill="1" applyAlignment="1">
      <alignment horizontal="right" vertical="center"/>
    </xf>
    <xf numFmtId="0" fontId="0" fillId="0" borderId="0" xfId="0" applyFill="1" applyAlignment="1">
      <alignment vertical="center" shrinkToFit="1"/>
    </xf>
    <xf numFmtId="0" fontId="13" fillId="0" borderId="0" xfId="0" applyFont="1" applyFill="1" applyAlignment="1">
      <alignment vertical="center" shrinkToFit="1"/>
    </xf>
    <xf numFmtId="0" fontId="0" fillId="0" borderId="6" xfId="0" applyFill="1" applyBorder="1" applyAlignment="1">
      <alignment vertical="center" shrinkToFit="1"/>
    </xf>
    <xf numFmtId="57" fontId="0" fillId="0" borderId="0" xfId="0" applyNumberFormat="1" applyFill="1">
      <alignment vertical="center"/>
    </xf>
    <xf numFmtId="0" fontId="0" fillId="0" borderId="1" xfId="0" applyFill="1" applyBorder="1" applyAlignment="1">
      <alignment horizontal="center" vertical="center" shrinkToFit="1"/>
    </xf>
    <xf numFmtId="0" fontId="12" fillId="0" borderId="1" xfId="0" applyFont="1" applyFill="1" applyBorder="1" applyAlignment="1">
      <alignment horizontal="center" vertical="center" wrapText="1" shrinkToFit="1"/>
    </xf>
    <xf numFmtId="0" fontId="11" fillId="0" borderId="1" xfId="0" applyFont="1" applyFill="1" applyBorder="1" applyAlignment="1">
      <alignment horizontal="center" vertical="center" wrapText="1" shrinkToFit="1"/>
    </xf>
    <xf numFmtId="0" fontId="11" fillId="0" borderId="8" xfId="0" applyFont="1" applyFill="1" applyBorder="1" applyAlignment="1">
      <alignment horizontal="center" vertical="center" wrapText="1"/>
    </xf>
    <xf numFmtId="0" fontId="16" fillId="0" borderId="1" xfId="0" applyFont="1" applyFill="1" applyBorder="1" applyAlignment="1">
      <alignment horizontal="center" vertical="center" wrapText="1" shrinkToFit="1"/>
    </xf>
    <xf numFmtId="57" fontId="0" fillId="0" borderId="0" xfId="0" applyNumberFormat="1" applyFill="1" applyBorder="1" applyAlignment="1">
      <alignment horizontal="center" vertical="center"/>
    </xf>
    <xf numFmtId="178" fontId="0" fillId="0" borderId="8" xfId="0" applyNumberFormat="1" applyFill="1" applyBorder="1" applyAlignment="1">
      <alignment horizontal="center" vertical="center" shrinkToFit="1"/>
    </xf>
    <xf numFmtId="177" fontId="0" fillId="0" borderId="8" xfId="0" applyNumberFormat="1" applyFill="1" applyBorder="1" applyAlignment="1">
      <alignment horizontal="center" vertical="center" shrinkToFit="1"/>
    </xf>
    <xf numFmtId="38" fontId="12" fillId="0" borderId="0" xfId="0" applyNumberFormat="1" applyFont="1" applyFill="1">
      <alignment vertical="center"/>
    </xf>
    <xf numFmtId="3" fontId="0" fillId="0" borderId="0" xfId="0" applyNumberFormat="1" applyFill="1">
      <alignment vertical="center"/>
    </xf>
    <xf numFmtId="177" fontId="0" fillId="0" borderId="1" xfId="0" applyNumberFormat="1" applyFill="1" applyBorder="1" applyAlignment="1">
      <alignment horizontal="center" vertical="center" shrinkToFit="1"/>
    </xf>
    <xf numFmtId="0" fontId="0" fillId="0" borderId="1" xfId="0" applyFill="1" applyBorder="1">
      <alignment vertical="center"/>
    </xf>
    <xf numFmtId="0" fontId="0" fillId="0" borderId="1" xfId="0" applyFill="1" applyBorder="1" applyAlignment="1">
      <alignment horizontal="center" vertical="center"/>
    </xf>
    <xf numFmtId="0" fontId="10" fillId="0" borderId="1" xfId="0" applyFont="1" applyFill="1" applyBorder="1" applyAlignment="1">
      <alignment horizontal="center" vertical="center"/>
    </xf>
    <xf numFmtId="0" fontId="0" fillId="0" borderId="0" xfId="0" applyFill="1" applyAlignment="1">
      <alignment vertical="center"/>
    </xf>
    <xf numFmtId="3" fontId="0" fillId="0" borderId="0" xfId="0" applyNumberFormat="1" applyFill="1" applyAlignment="1">
      <alignment vertical="center" shrinkToFit="1"/>
    </xf>
    <xf numFmtId="0" fontId="9" fillId="3" borderId="8" xfId="0" applyFont="1" applyFill="1" applyBorder="1" applyAlignment="1" applyProtection="1">
      <alignment horizontal="center" vertical="center" shrinkToFit="1"/>
      <protection locked="0"/>
    </xf>
    <xf numFmtId="38" fontId="12" fillId="3" borderId="8" xfId="0" applyNumberFormat="1" applyFont="1" applyFill="1" applyBorder="1" applyAlignment="1" applyProtection="1">
      <alignment horizontal="center" vertical="center" shrinkToFit="1"/>
      <protection locked="0"/>
    </xf>
    <xf numFmtId="38" fontId="12" fillId="3" borderId="9" xfId="0" applyNumberFormat="1" applyFont="1" applyFill="1" applyBorder="1" applyAlignment="1" applyProtection="1">
      <alignment vertical="center" shrinkToFit="1"/>
      <protection locked="0"/>
    </xf>
    <xf numFmtId="38" fontId="12" fillId="3" borderId="8" xfId="0" applyNumberFormat="1" applyFont="1" applyFill="1" applyBorder="1" applyAlignment="1" applyProtection="1">
      <alignment vertical="center" shrinkToFit="1"/>
      <protection locked="0"/>
    </xf>
    <xf numFmtId="0" fontId="10" fillId="3" borderId="1" xfId="0" applyFont="1" applyFill="1" applyBorder="1" applyAlignment="1" applyProtection="1">
      <alignment horizontal="center" vertical="center" shrinkToFit="1"/>
      <protection locked="0"/>
    </xf>
    <xf numFmtId="38" fontId="12" fillId="3" borderId="9" xfId="0" applyNumberFormat="1" applyFont="1" applyFill="1" applyBorder="1" applyAlignment="1" applyProtection="1">
      <alignment horizontal="center" vertical="center" shrinkToFit="1"/>
      <protection locked="0"/>
    </xf>
    <xf numFmtId="38" fontId="12" fillId="3" borderId="1" xfId="0" applyNumberFormat="1" applyFont="1" applyFill="1" applyBorder="1" applyAlignment="1" applyProtection="1">
      <alignment vertical="center" shrinkToFit="1"/>
      <protection locked="0"/>
    </xf>
    <xf numFmtId="0" fontId="10" fillId="3" borderId="8" xfId="0" applyFont="1" applyFill="1" applyBorder="1" applyAlignment="1" applyProtection="1">
      <alignment horizontal="center" vertical="center" shrinkToFit="1"/>
      <protection locked="0"/>
    </xf>
    <xf numFmtId="0" fontId="21" fillId="3" borderId="15" xfId="4" applyFont="1" applyFill="1" applyBorder="1" applyAlignment="1" applyProtection="1">
      <alignment horizontal="center" vertical="center"/>
      <protection locked="0"/>
    </xf>
    <xf numFmtId="0" fontId="2" fillId="2" borderId="0" xfId="2" applyFill="1" applyAlignment="1" applyProtection="1">
      <alignment horizontal="center" vertical="center"/>
      <protection locked="0"/>
    </xf>
    <xf numFmtId="0" fontId="2" fillId="0" borderId="0" xfId="2" applyProtection="1">
      <alignment vertical="center"/>
      <protection locked="0"/>
    </xf>
    <xf numFmtId="0" fontId="0" fillId="0" borderId="0" xfId="0" applyFill="1" applyAlignment="1">
      <alignment vertical="center" shrinkToFit="1"/>
    </xf>
    <xf numFmtId="0" fontId="0" fillId="0" borderId="0" xfId="0" applyFill="1" applyAlignment="1">
      <alignment vertical="center"/>
    </xf>
    <xf numFmtId="0" fontId="0" fillId="0" borderId="8" xfId="0" applyFill="1" applyBorder="1" applyAlignment="1">
      <alignment horizontal="center" vertical="center" shrinkToFit="1"/>
    </xf>
    <xf numFmtId="0" fontId="36" fillId="3" borderId="8" xfId="0" applyFont="1" applyFill="1" applyBorder="1" applyAlignment="1" applyProtection="1">
      <alignment horizontal="center" vertical="center" shrinkToFit="1"/>
      <protection locked="0"/>
    </xf>
    <xf numFmtId="38" fontId="37" fillId="3" borderId="8" xfId="0" applyNumberFormat="1" applyFont="1" applyFill="1" applyBorder="1" applyAlignment="1" applyProtection="1">
      <alignment horizontal="center" vertical="center" shrinkToFit="1"/>
      <protection locked="0"/>
    </xf>
    <xf numFmtId="38" fontId="37" fillId="3" borderId="9" xfId="0" applyNumberFormat="1" applyFont="1" applyFill="1" applyBorder="1" applyAlignment="1" applyProtection="1">
      <alignment vertical="center" shrinkToFit="1"/>
      <protection locked="0"/>
    </xf>
    <xf numFmtId="38" fontId="37" fillId="3" borderId="8" xfId="0" applyNumberFormat="1" applyFont="1" applyFill="1" applyBorder="1" applyAlignment="1" applyProtection="1">
      <alignment vertical="center" shrinkToFit="1"/>
      <protection locked="0"/>
    </xf>
    <xf numFmtId="0" fontId="38" fillId="3" borderId="1" xfId="0" applyFont="1" applyFill="1" applyBorder="1" applyAlignment="1" applyProtection="1">
      <alignment horizontal="center" vertical="center" shrinkToFit="1"/>
      <protection locked="0"/>
    </xf>
    <xf numFmtId="38" fontId="37" fillId="3" borderId="9" xfId="0" applyNumberFormat="1" applyFont="1" applyFill="1" applyBorder="1" applyAlignment="1" applyProtection="1">
      <alignment horizontal="center" vertical="center" shrinkToFit="1"/>
      <protection locked="0"/>
    </xf>
    <xf numFmtId="38" fontId="37" fillId="3" borderId="1" xfId="0" applyNumberFormat="1" applyFont="1" applyFill="1" applyBorder="1" applyAlignment="1" applyProtection="1">
      <alignment vertical="center" shrinkToFit="1"/>
      <protection locked="0"/>
    </xf>
    <xf numFmtId="0" fontId="38" fillId="3" borderId="8" xfId="0" applyFont="1" applyFill="1" applyBorder="1" applyAlignment="1" applyProtection="1">
      <alignment horizontal="center" vertical="center" shrinkToFit="1"/>
      <protection locked="0"/>
    </xf>
    <xf numFmtId="0" fontId="31" fillId="3" borderId="16" xfId="0" applyFont="1" applyFill="1" applyBorder="1" applyAlignment="1" applyProtection="1">
      <alignment horizontal="left" vertical="center" indent="1" shrinkToFit="1"/>
      <protection locked="0"/>
    </xf>
    <xf numFmtId="0" fontId="31" fillId="3" borderId="17" xfId="0" applyFont="1" applyFill="1" applyBorder="1" applyAlignment="1" applyProtection="1">
      <alignment horizontal="left" vertical="center" indent="1" shrinkToFit="1"/>
      <protection locked="0"/>
    </xf>
    <xf numFmtId="0" fontId="31" fillId="3" borderId="18" xfId="0" applyFont="1" applyFill="1" applyBorder="1" applyAlignment="1" applyProtection="1">
      <alignment horizontal="left" vertical="center" indent="1" shrinkToFit="1"/>
      <protection locked="0"/>
    </xf>
    <xf numFmtId="0" fontId="19" fillId="0" borderId="0" xfId="0" applyFont="1" applyFill="1" applyAlignment="1">
      <alignment vertical="center" shrinkToFit="1"/>
    </xf>
    <xf numFmtId="0" fontId="0" fillId="0" borderId="0" xfId="0" applyFill="1" applyAlignment="1">
      <alignment vertical="center" shrinkToFit="1"/>
    </xf>
    <xf numFmtId="0" fontId="14" fillId="0" borderId="0" xfId="0" applyFont="1" applyFill="1" applyAlignment="1">
      <alignment vertical="center" shrinkToFit="1"/>
    </xf>
    <xf numFmtId="0" fontId="0" fillId="0" borderId="0" xfId="0" applyFill="1" applyAlignment="1">
      <alignment vertical="center"/>
    </xf>
    <xf numFmtId="0" fontId="0" fillId="0" borderId="0" xfId="1" applyFont="1" applyBorder="1" applyAlignment="1">
      <alignment horizontal="right" vertical="center"/>
    </xf>
    <xf numFmtId="0" fontId="2" fillId="0" borderId="0" xfId="2" applyBorder="1" applyAlignment="1">
      <alignment vertical="center"/>
    </xf>
    <xf numFmtId="176" fontId="0" fillId="0" borderId="0" xfId="1" applyNumberFormat="1" applyFont="1" applyBorder="1" applyAlignment="1">
      <alignment horizontal="right" vertical="center" shrinkToFit="1"/>
    </xf>
    <xf numFmtId="0" fontId="2" fillId="0" borderId="0" xfId="2" applyBorder="1" applyAlignment="1">
      <alignment vertical="center" shrinkToFit="1"/>
    </xf>
    <xf numFmtId="179" fontId="0" fillId="0" borderId="0" xfId="1" applyNumberFormat="1" applyFont="1" applyBorder="1" applyAlignment="1">
      <alignment horizontal="right" vertical="center"/>
    </xf>
    <xf numFmtId="179" fontId="2" fillId="0" borderId="0" xfId="2" applyNumberFormat="1" applyAlignment="1">
      <alignment horizontal="right" vertical="center"/>
    </xf>
    <xf numFmtId="179" fontId="2" fillId="0" borderId="0" xfId="2" applyNumberFormat="1" applyBorder="1" applyAlignment="1">
      <alignment horizontal="right" vertical="center"/>
    </xf>
    <xf numFmtId="176" fontId="3" fillId="0" borderId="0" xfId="1" applyNumberFormat="1" applyFont="1" applyBorder="1" applyAlignment="1">
      <alignment horizontal="center" vertical="center" shrinkToFit="1"/>
    </xf>
    <xf numFmtId="0" fontId="2" fillId="0" borderId="0" xfId="2" applyBorder="1" applyAlignment="1">
      <alignment horizontal="center" vertical="center"/>
    </xf>
    <xf numFmtId="0" fontId="0" fillId="0" borderId="0" xfId="1" applyFont="1" applyBorder="1" applyAlignment="1">
      <alignment vertical="center" shrinkToFit="1"/>
    </xf>
    <xf numFmtId="0" fontId="2" fillId="0" borderId="0" xfId="2" applyAlignment="1">
      <alignment vertical="center" shrinkToFit="1"/>
    </xf>
    <xf numFmtId="176" fontId="6" fillId="0" borderId="0" xfId="1" applyNumberFormat="1" applyFont="1" applyBorder="1" applyAlignment="1">
      <alignment horizontal="left" vertical="center" indent="1" shrinkToFit="1"/>
    </xf>
    <xf numFmtId="0" fontId="6" fillId="0" borderId="0" xfId="2" applyFont="1" applyBorder="1" applyAlignment="1">
      <alignment horizontal="left" vertical="center" indent="1"/>
    </xf>
    <xf numFmtId="0" fontId="0" fillId="0" borderId="0" xfId="0" applyAlignment="1">
      <alignment horizontal="left" vertical="center" indent="1"/>
    </xf>
    <xf numFmtId="0" fontId="0" fillId="0" borderId="10" xfId="0" applyBorder="1" applyAlignment="1">
      <alignment horizontal="left" vertical="center" indent="1"/>
    </xf>
    <xf numFmtId="0" fontId="6" fillId="0" borderId="0" xfId="1" applyFont="1" applyBorder="1" applyAlignment="1">
      <alignment horizontal="center" vertical="center"/>
    </xf>
    <xf numFmtId="0" fontId="15" fillId="0" borderId="0" xfId="0" applyFont="1" applyBorder="1" applyAlignment="1">
      <alignment horizontal="center" vertical="center"/>
    </xf>
    <xf numFmtId="0" fontId="0" fillId="0" borderId="0" xfId="0" applyBorder="1" applyAlignment="1">
      <alignment horizontal="left" vertical="center" indent="1"/>
    </xf>
    <xf numFmtId="176" fontId="6" fillId="0" borderId="0" xfId="1" applyNumberFormat="1" applyFont="1" applyBorder="1" applyAlignment="1">
      <alignment horizontal="left" vertical="center" shrinkToFit="1"/>
    </xf>
    <xf numFmtId="0" fontId="6" fillId="0" borderId="0" xfId="2" applyFont="1" applyBorder="1" applyAlignment="1">
      <alignment horizontal="left" vertical="center"/>
    </xf>
    <xf numFmtId="0" fontId="0" fillId="0" borderId="0" xfId="0" applyAlignment="1">
      <alignment horizontal="left" vertical="center"/>
    </xf>
    <xf numFmtId="0" fontId="0" fillId="0" borderId="0" xfId="0" applyBorder="1" applyAlignment="1">
      <alignment horizontal="left" vertical="center"/>
    </xf>
    <xf numFmtId="0" fontId="6" fillId="0" borderId="0" xfId="2" applyFont="1" applyBorder="1" applyAlignment="1">
      <alignment horizontal="left" vertical="center" indent="1" shrinkToFit="1"/>
    </xf>
    <xf numFmtId="0" fontId="0" fillId="0" borderId="0" xfId="0" applyAlignment="1">
      <alignment horizontal="left" vertical="center" indent="1" shrinkToFit="1"/>
    </xf>
    <xf numFmtId="0" fontId="0" fillId="0" borderId="10" xfId="0" applyBorder="1" applyAlignment="1">
      <alignment horizontal="left" vertical="center" indent="1" shrinkToFit="1"/>
    </xf>
    <xf numFmtId="0" fontId="0" fillId="0" borderId="0" xfId="0" applyBorder="1" applyAlignment="1">
      <alignment horizontal="left" vertical="center" indent="1" shrinkToFit="1"/>
    </xf>
    <xf numFmtId="0" fontId="2" fillId="0" borderId="0" xfId="1" applyBorder="1" applyAlignment="1">
      <alignment horizontal="center" vertical="center"/>
    </xf>
    <xf numFmtId="0" fontId="0" fillId="0" borderId="0" xfId="0" applyBorder="1" applyAlignment="1">
      <alignment horizontal="center" vertical="center"/>
    </xf>
    <xf numFmtId="0" fontId="18" fillId="0" borderId="8" xfId="2" applyFont="1" applyFill="1" applyBorder="1" applyAlignment="1">
      <alignment horizontal="center" vertical="center" shrinkToFit="1"/>
    </xf>
    <xf numFmtId="0" fontId="0" fillId="0" borderId="8" xfId="0" applyFont="1" applyFill="1" applyBorder="1" applyAlignment="1">
      <alignment horizontal="center" vertical="center" shrinkToFit="1"/>
    </xf>
    <xf numFmtId="0" fontId="2" fillId="0" borderId="8" xfId="2" applyFill="1" applyBorder="1" applyAlignment="1">
      <alignment horizontal="center" vertical="center"/>
    </xf>
    <xf numFmtId="0" fontId="0" fillId="0" borderId="8" xfId="0" applyFill="1" applyBorder="1" applyAlignment="1">
      <alignment horizontal="center" vertical="center"/>
    </xf>
    <xf numFmtId="0" fontId="2" fillId="0" borderId="8" xfId="2" applyFill="1" applyBorder="1" applyAlignment="1">
      <alignment horizontal="center" vertical="center" shrinkToFit="1"/>
    </xf>
    <xf numFmtId="0" fontId="0" fillId="0" borderId="8" xfId="0" applyFill="1" applyBorder="1" applyAlignment="1">
      <alignment horizontal="center" vertical="center" shrinkToFit="1"/>
    </xf>
    <xf numFmtId="0" fontId="2" fillId="2" borderId="0" xfId="2" applyFill="1" applyAlignment="1">
      <alignment horizontal="center" vertical="center" shrinkToFit="1"/>
    </xf>
    <xf numFmtId="0" fontId="2" fillId="2" borderId="0" xfId="2" quotePrefix="1" applyFill="1" applyAlignment="1">
      <alignment horizontal="center" vertical="center" shrinkToFit="1"/>
    </xf>
    <xf numFmtId="0" fontId="2" fillId="0" borderId="8" xfId="2" applyFont="1" applyFill="1" applyBorder="1" applyAlignment="1">
      <alignment horizontal="center" vertical="center" shrinkToFit="1"/>
    </xf>
    <xf numFmtId="0" fontId="7" fillId="2" borderId="0" xfId="2" applyFont="1" applyFill="1" applyAlignment="1">
      <alignment vertical="center" shrinkToFit="1"/>
    </xf>
    <xf numFmtId="0" fontId="2" fillId="2" borderId="13" xfId="2" applyFill="1" applyBorder="1" applyAlignment="1">
      <alignment vertical="center" shrinkToFit="1"/>
    </xf>
    <xf numFmtId="0" fontId="2" fillId="0" borderId="11" xfId="2" applyFill="1" applyBorder="1" applyAlignment="1">
      <alignment horizontal="center" vertical="center"/>
    </xf>
    <xf numFmtId="0" fontId="0" fillId="0" borderId="22" xfId="0" applyBorder="1" applyAlignment="1">
      <alignment vertical="center"/>
    </xf>
    <xf numFmtId="0" fontId="0" fillId="0" borderId="12" xfId="0" applyBorder="1" applyAlignment="1">
      <alignment vertical="center"/>
    </xf>
    <xf numFmtId="0" fontId="2" fillId="0" borderId="11" xfId="2" applyFill="1" applyBorder="1" applyAlignment="1">
      <alignment horizontal="center" vertical="center" shrinkToFit="1"/>
    </xf>
    <xf numFmtId="0" fontId="0" fillId="0" borderId="22" xfId="0" applyBorder="1" applyAlignment="1">
      <alignment vertical="center" shrinkToFit="1"/>
    </xf>
    <xf numFmtId="0" fontId="0" fillId="0" borderId="12" xfId="0" applyBorder="1" applyAlignment="1">
      <alignment vertical="center" shrinkToFit="1"/>
    </xf>
    <xf numFmtId="0" fontId="2" fillId="0" borderId="23" xfId="2" applyFill="1" applyBorder="1" applyAlignment="1">
      <alignment horizontal="center" vertical="center"/>
    </xf>
    <xf numFmtId="0" fontId="0" fillId="0" borderId="20" xfId="0" applyBorder="1" applyAlignment="1">
      <alignment vertical="center"/>
    </xf>
    <xf numFmtId="0" fontId="0" fillId="0" borderId="21" xfId="0" applyBorder="1" applyAlignment="1">
      <alignment vertical="center"/>
    </xf>
    <xf numFmtId="0" fontId="2" fillId="0" borderId="11" xfId="2" applyFont="1" applyFill="1" applyBorder="1" applyAlignment="1">
      <alignment horizontal="center" vertical="center" shrinkToFit="1"/>
    </xf>
    <xf numFmtId="0" fontId="29" fillId="0" borderId="6" xfId="4" applyFont="1" applyBorder="1" applyAlignment="1">
      <alignment horizontal="center" vertical="center"/>
    </xf>
    <xf numFmtId="0" fontId="30" fillId="0" borderId="6" xfId="0" applyFont="1" applyBorder="1" applyAlignment="1">
      <alignment horizontal="center" vertical="center"/>
    </xf>
    <xf numFmtId="0" fontId="18" fillId="0" borderId="11" xfId="2" applyFont="1" applyFill="1" applyBorder="1" applyAlignment="1">
      <alignment horizontal="center" vertical="center" shrinkToFit="1"/>
    </xf>
    <xf numFmtId="0" fontId="0" fillId="0" borderId="12" xfId="0" applyBorder="1" applyAlignment="1">
      <alignment horizontal="center" vertical="center" shrinkToFit="1"/>
    </xf>
    <xf numFmtId="0" fontId="29" fillId="0" borderId="0" xfId="4" applyFont="1" applyBorder="1" applyAlignment="1">
      <alignment horizontal="center" vertical="center"/>
    </xf>
    <xf numFmtId="0" fontId="30" fillId="0" borderId="0" xfId="0" applyFont="1" applyBorder="1" applyAlignment="1">
      <alignment horizontal="center" vertical="center"/>
    </xf>
    <xf numFmtId="0" fontId="18" fillId="0" borderId="22" xfId="2" applyFont="1" applyFill="1" applyBorder="1" applyAlignment="1">
      <alignment horizontal="center" vertical="center" shrinkToFit="1"/>
    </xf>
    <xf numFmtId="0" fontId="33" fillId="0" borderId="25" xfId="4" applyFont="1" applyBorder="1" applyAlignment="1">
      <alignment horizontal="center" vertical="center"/>
    </xf>
    <xf numFmtId="0" fontId="34" fillId="0" borderId="0" xfId="0" applyFont="1" applyAlignment="1">
      <alignment horizontal="center" vertical="center"/>
    </xf>
    <xf numFmtId="0" fontId="21" fillId="0" borderId="0" xfId="4" applyFont="1" applyAlignment="1">
      <alignment vertical="top" wrapText="1"/>
    </xf>
    <xf numFmtId="0" fontId="0" fillId="0" borderId="0" xfId="0" applyAlignment="1">
      <alignment vertical="top" wrapText="1"/>
    </xf>
    <xf numFmtId="0" fontId="0" fillId="0" borderId="0" xfId="0" applyAlignment="1">
      <alignment vertical="top"/>
    </xf>
    <xf numFmtId="0" fontId="0" fillId="0" borderId="0" xfId="0" applyAlignment="1">
      <alignment vertical="center"/>
    </xf>
  </cellXfs>
  <cellStyles count="5">
    <cellStyle name="桁区切り 2" xfId="3"/>
    <cellStyle name="標準" xfId="0" builtinId="0"/>
    <cellStyle name="標準 2" xfId="2"/>
    <cellStyle name="標準 3" xfId="4"/>
    <cellStyle name="標準_集金・返金計算書" xfId="1"/>
  </cellStyles>
  <dxfs count="0"/>
  <tableStyles count="0" defaultTableStyle="TableStyleMedium2" defaultPivotStyle="PivotStyleLight16"/>
  <colors>
    <mruColors>
      <color rgb="FFFFFFCC"/>
      <color rgb="FFFFFF66"/>
      <color rgb="FFFF7C80"/>
      <color rgb="FFFF9999"/>
      <color rgb="FFFFFF99"/>
      <color rgb="FFCCECFF"/>
      <color rgb="FFCCFF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57150</xdr:colOff>
          <xdr:row>0</xdr:row>
          <xdr:rowOff>142875</xdr:rowOff>
        </xdr:from>
        <xdr:to>
          <xdr:col>9</xdr:col>
          <xdr:colOff>76200</xdr:colOff>
          <xdr:row>1</xdr:row>
          <xdr:rowOff>190500</xdr:rowOff>
        </xdr:to>
        <xdr:sp macro="" textlink="">
          <xdr:nvSpPr>
            <xdr:cNvPr id="7169" name="Button 1" hidden="1">
              <a:extLst>
                <a:ext uri="{63B3BB69-23CF-44E3-9099-C40C66FF867C}">
                  <a14:compatExt spid="_x0000_s7169"/>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400" b="1" i="0" u="none" strike="noStrike" baseline="0">
                  <a:solidFill>
                    <a:srgbClr val="000000"/>
                  </a:solidFill>
                  <a:latin typeface="ＭＳ Ｐゴシック"/>
                  <a:ea typeface="ＭＳ Ｐゴシック"/>
                </a:rPr>
                <a:t>印刷</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oneCellAnchor>
    <xdr:from>
      <xdr:col>20</xdr:col>
      <xdr:colOff>352425</xdr:colOff>
      <xdr:row>1</xdr:row>
      <xdr:rowOff>219075</xdr:rowOff>
    </xdr:from>
    <xdr:ext cx="1209675" cy="533400"/>
    <xdr:sp macro="" textlink="">
      <xdr:nvSpPr>
        <xdr:cNvPr id="2" name="テキスト ボックス 1"/>
        <xdr:cNvSpPr txBox="1"/>
      </xdr:nvSpPr>
      <xdr:spPr>
        <a:xfrm>
          <a:off x="8039100" y="266700"/>
          <a:ext cx="1209675" cy="533400"/>
        </a:xfrm>
        <a:prstGeom prst="rect">
          <a:avLst/>
        </a:prstGeom>
        <a:noFill/>
        <a:ln w="28575">
          <a:solidFill>
            <a:srgbClr val="FF0000"/>
          </a:solidFill>
        </a:ln>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kumimoji="1" lang="ja-JP" altLang="en-US" sz="2400" b="1">
              <a:solidFill>
                <a:srgbClr val="FF0000"/>
              </a:solidFill>
            </a:rPr>
            <a:t>記載例</a:t>
          </a:r>
        </a:p>
      </xdr:txBody>
    </xdr:sp>
    <xdr:clientData/>
  </xdr:oneCellAnchor>
</xdr:wsDr>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1.xml"/><Relationship Id="rId1" Type="http://schemas.openxmlformats.org/officeDocument/2006/relationships/printerSettings" Target="../printerSettings/printerSettings4.bin"/><Relationship Id="rId4" Type="http://schemas.openxmlformats.org/officeDocument/2006/relationships/ctrlProp" Target="../ctrlProps/ctrlProp1.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2.xml"/><Relationship Id="rId1" Type="http://schemas.openxmlformats.org/officeDocument/2006/relationships/printerSettings" Target="../printerSettings/printerSettings6.bin"/><Relationship Id="rId4" Type="http://schemas.openxmlformats.org/officeDocument/2006/relationships/comments" Target="../comments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tabColor theme="4"/>
  </sheetPr>
  <dimension ref="B1:I12"/>
  <sheetViews>
    <sheetView showGridLines="0" tabSelected="1" workbookViewId="0">
      <selection activeCell="E14" sqref="E14"/>
    </sheetView>
  </sheetViews>
  <sheetFormatPr defaultRowHeight="18.75"/>
  <cols>
    <col min="1" max="1" width="3.875" style="76" customWidth="1"/>
    <col min="2" max="2" width="7.375" style="75" customWidth="1"/>
    <col min="3" max="3" width="12" style="76" customWidth="1"/>
    <col min="4" max="4" width="11.75" style="75" customWidth="1"/>
    <col min="5" max="16384" width="9" style="76"/>
  </cols>
  <sheetData>
    <row r="1" spans="2:9" ht="10.5" customHeight="1"/>
    <row r="2" spans="2:9" ht="30" customHeight="1">
      <c r="B2" s="132" t="s">
        <v>120</v>
      </c>
      <c r="C2" s="133"/>
      <c r="D2" s="133"/>
      <c r="E2" s="133"/>
      <c r="F2" s="133"/>
      <c r="G2" s="133"/>
      <c r="H2" s="77" t="s">
        <v>119</v>
      </c>
      <c r="I2" s="78"/>
    </row>
    <row r="3" spans="2:9" ht="19.5" thickBot="1"/>
    <row r="4" spans="2:9" ht="24.95" customHeight="1" thickBot="1">
      <c r="B4" s="79">
        <v>1</v>
      </c>
      <c r="C4" s="80" t="s">
        <v>102</v>
      </c>
      <c r="D4" s="84"/>
      <c r="E4" s="81" t="s">
        <v>102</v>
      </c>
    </row>
    <row r="5" spans="2:9" ht="24.95" customHeight="1" thickBot="1">
      <c r="B5" s="82"/>
      <c r="C5" s="83"/>
    </row>
    <row r="6" spans="2:9" ht="24.95" customHeight="1" thickBot="1">
      <c r="B6" s="79">
        <v>2</v>
      </c>
      <c r="C6" s="80" t="s">
        <v>65</v>
      </c>
      <c r="D6" s="129"/>
      <c r="E6" s="130"/>
      <c r="F6" s="130"/>
      <c r="G6" s="130"/>
      <c r="H6" s="131"/>
    </row>
    <row r="7" spans="2:9" ht="24.95" customHeight="1" thickBot="1">
      <c r="B7" s="82"/>
      <c r="C7" s="83"/>
    </row>
    <row r="8" spans="2:9" ht="24.95" customHeight="1" thickBot="1">
      <c r="B8" s="79">
        <v>3</v>
      </c>
      <c r="C8" s="80" t="s">
        <v>103</v>
      </c>
      <c r="D8" s="129"/>
      <c r="E8" s="131"/>
    </row>
    <row r="9" spans="2:9" ht="24.95" customHeight="1" thickBot="1">
      <c r="B9" s="82"/>
      <c r="C9" s="83"/>
    </row>
    <row r="10" spans="2:9" ht="24.95" customHeight="1" thickBot="1">
      <c r="B10" s="79">
        <v>4</v>
      </c>
      <c r="C10" s="80" t="s">
        <v>121</v>
      </c>
      <c r="D10" s="85" t="s">
        <v>18</v>
      </c>
    </row>
    <row r="11" spans="2:9" ht="21.75" customHeight="1" thickBot="1"/>
    <row r="12" spans="2:9" ht="22.5" customHeight="1" thickBot="1">
      <c r="B12" s="79">
        <v>5</v>
      </c>
      <c r="C12" s="80" t="s">
        <v>104</v>
      </c>
      <c r="D12" s="85">
        <v>46275</v>
      </c>
    </row>
  </sheetData>
  <sheetProtection sheet="1" objects="1" scenarios="1"/>
  <mergeCells count="3">
    <mergeCell ref="D6:H6"/>
    <mergeCell ref="D8:E8"/>
    <mergeCell ref="B2:G2"/>
  </mergeCells>
  <phoneticPr fontId="1"/>
  <pageMargins left="0.7" right="0.7" top="0.75" bottom="0.75" header="0.3" footer="0.3"/>
  <pageSetup paperSize="9" orientation="portrait"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14:formula1>
            <xm:f>領収証内訳!$AA$5:$AA$19</xm:f>
          </x14:formula1>
          <xm:sqref>D10</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tabColor rgb="FF92D050"/>
  </sheetPr>
  <dimension ref="A1:AB58"/>
  <sheetViews>
    <sheetView showGridLines="0" workbookViewId="0">
      <pane xSplit="5" ySplit="4" topLeftCell="F5" activePane="bottomRight" state="frozen"/>
      <selection pane="topRight" activeCell="E1" sqref="E1"/>
      <selection pane="bottomLeft" activeCell="A5" sqref="A5"/>
      <selection pane="bottomRight" activeCell="Q20" sqref="Q20"/>
    </sheetView>
  </sheetViews>
  <sheetFormatPr defaultRowHeight="18.75"/>
  <cols>
    <col min="1" max="1" width="1" style="76" customWidth="1"/>
    <col min="2" max="2" width="2.875" style="76" customWidth="1"/>
    <col min="3" max="3" width="4" style="76" hidden="1" customWidth="1"/>
    <col min="4" max="4" width="3.25" style="76" hidden="1" customWidth="1"/>
    <col min="5" max="5" width="12" style="76" customWidth="1"/>
    <col min="6" max="19" width="5.625" style="76" customWidth="1"/>
    <col min="20" max="20" width="6.25" style="76" customWidth="1"/>
    <col min="21" max="21" width="5.625" style="76" customWidth="1"/>
    <col min="22" max="22" width="3.875" style="76" customWidth="1"/>
    <col min="23" max="23" width="8.375" style="76" customWidth="1"/>
    <col min="24" max="24" width="7.625" style="76" customWidth="1"/>
    <col min="25" max="26" width="9" style="76"/>
    <col min="27" max="27" width="10.75" style="76" customWidth="1"/>
    <col min="28" max="16384" width="9" style="76"/>
  </cols>
  <sheetData>
    <row r="1" spans="1:28" ht="3.75" customHeight="1"/>
    <row r="2" spans="1:28" ht="19.5" customHeight="1">
      <c r="B2" s="134" t="str">
        <f>"令和"&amp;V2&amp;"年度　"&amp;X2&amp;"参加費等集金額一覧"</f>
        <v>令和0年度　0参加費等集金額一覧</v>
      </c>
      <c r="C2" s="133"/>
      <c r="D2" s="133"/>
      <c r="E2" s="133"/>
      <c r="F2" s="133"/>
      <c r="G2" s="133"/>
      <c r="H2" s="133"/>
      <c r="I2" s="133"/>
      <c r="J2" s="133"/>
      <c r="K2" s="86"/>
      <c r="L2" s="133"/>
      <c r="M2" s="133"/>
      <c r="N2" s="87"/>
      <c r="O2" s="87"/>
      <c r="P2" s="87"/>
      <c r="Q2" s="87"/>
      <c r="R2" s="87"/>
      <c r="S2" s="87"/>
      <c r="T2" s="87"/>
      <c r="U2" s="88"/>
      <c r="V2" s="76">
        <f>基本事項!D4</f>
        <v>0</v>
      </c>
      <c r="W2" s="76" t="s">
        <v>65</v>
      </c>
      <c r="X2" s="133">
        <f>基本事項!D6</f>
        <v>0</v>
      </c>
      <c r="Y2" s="135"/>
      <c r="Z2" s="76" t="s">
        <v>66</v>
      </c>
      <c r="AA2" s="76">
        <f>基本事項!D8</f>
        <v>0</v>
      </c>
    </row>
    <row r="3" spans="1:28" ht="18" customHeight="1">
      <c r="A3" s="76">
        <v>1</v>
      </c>
      <c r="B3" s="76">
        <v>2</v>
      </c>
      <c r="C3" s="76">
        <v>3</v>
      </c>
      <c r="D3" s="76">
        <v>4</v>
      </c>
      <c r="E3" s="76">
        <v>5</v>
      </c>
      <c r="F3" s="76">
        <v>6</v>
      </c>
      <c r="G3" s="76">
        <v>7</v>
      </c>
      <c r="H3" s="76">
        <v>8</v>
      </c>
      <c r="I3" s="76">
        <v>9</v>
      </c>
      <c r="J3" s="76">
        <v>10</v>
      </c>
      <c r="K3" s="76">
        <v>11</v>
      </c>
      <c r="L3" s="76">
        <v>12</v>
      </c>
      <c r="M3" s="76">
        <v>13</v>
      </c>
      <c r="N3" s="76">
        <v>14</v>
      </c>
      <c r="O3" s="76">
        <v>15</v>
      </c>
      <c r="P3" s="76">
        <v>16</v>
      </c>
      <c r="Q3" s="76">
        <v>17</v>
      </c>
      <c r="R3" s="76">
        <v>18</v>
      </c>
      <c r="S3" s="76">
        <v>19</v>
      </c>
      <c r="T3" s="76">
        <v>20</v>
      </c>
      <c r="U3" s="89"/>
      <c r="X3" s="76">
        <f>VLOOKUP(X4,AA5:AB19,2,FALSE)</f>
        <v>8</v>
      </c>
      <c r="Z3" s="76" t="s">
        <v>81</v>
      </c>
      <c r="AA3" s="90">
        <f>基本事項!D12</f>
        <v>46275</v>
      </c>
    </row>
    <row r="4" spans="1:28" ht="25.5" customHeight="1">
      <c r="B4" s="91" t="s">
        <v>0</v>
      </c>
      <c r="C4" s="91" t="s">
        <v>14</v>
      </c>
      <c r="D4" s="91" t="s">
        <v>1</v>
      </c>
      <c r="E4" s="91" t="s">
        <v>2</v>
      </c>
      <c r="F4" s="92" t="s">
        <v>116</v>
      </c>
      <c r="G4" s="93" t="s">
        <v>30</v>
      </c>
      <c r="H4" s="93" t="s">
        <v>109</v>
      </c>
      <c r="I4" s="93" t="s">
        <v>110</v>
      </c>
      <c r="J4" s="93" t="s">
        <v>20</v>
      </c>
      <c r="K4" s="93" t="s">
        <v>21</v>
      </c>
      <c r="L4" s="93" t="s">
        <v>22</v>
      </c>
      <c r="M4" s="93" t="s">
        <v>23</v>
      </c>
      <c r="N4" s="93" t="s">
        <v>24</v>
      </c>
      <c r="O4" s="93" t="s">
        <v>25</v>
      </c>
      <c r="P4" s="93" t="s">
        <v>26</v>
      </c>
      <c r="Q4" s="93" t="s">
        <v>27</v>
      </c>
      <c r="R4" s="94" t="s">
        <v>28</v>
      </c>
      <c r="S4" s="93" t="s">
        <v>29</v>
      </c>
      <c r="T4" s="95" t="s">
        <v>32</v>
      </c>
      <c r="U4" s="91" t="s">
        <v>3</v>
      </c>
      <c r="X4" s="96" t="str">
        <f>基本事項!D10</f>
        <v>４月</v>
      </c>
    </row>
    <row r="5" spans="1:28" ht="14.1" customHeight="1">
      <c r="B5" s="74">
        <v>1</v>
      </c>
      <c r="C5" s="97"/>
      <c r="D5" s="98"/>
      <c r="E5" s="107"/>
      <c r="F5" s="108"/>
      <c r="G5" s="108"/>
      <c r="H5" s="109"/>
      <c r="I5" s="110"/>
      <c r="J5" s="108"/>
      <c r="K5" s="108"/>
      <c r="L5" s="110"/>
      <c r="M5" s="110"/>
      <c r="N5" s="110"/>
      <c r="O5" s="110"/>
      <c r="P5" s="110"/>
      <c r="Q5" s="110"/>
      <c r="R5" s="110"/>
      <c r="S5" s="110"/>
      <c r="T5" s="110"/>
      <c r="U5" s="20">
        <f>SUM(F5:T5)</f>
        <v>0</v>
      </c>
      <c r="V5" s="99"/>
      <c r="X5" s="100">
        <f>INDEX($A$1:$T$55,ROW(),$X$3)</f>
        <v>0</v>
      </c>
      <c r="AA5" s="92" t="s">
        <v>116</v>
      </c>
      <c r="AB5" s="76">
        <v>6</v>
      </c>
    </row>
    <row r="6" spans="1:28" ht="14.1" customHeight="1">
      <c r="B6" s="74">
        <v>2</v>
      </c>
      <c r="C6" s="97"/>
      <c r="D6" s="98"/>
      <c r="E6" s="107"/>
      <c r="F6" s="108"/>
      <c r="G6" s="108"/>
      <c r="H6" s="109"/>
      <c r="I6" s="110"/>
      <c r="J6" s="108"/>
      <c r="K6" s="108"/>
      <c r="L6" s="110"/>
      <c r="M6" s="110"/>
      <c r="N6" s="110"/>
      <c r="O6" s="110"/>
      <c r="P6" s="110"/>
      <c r="Q6" s="110"/>
      <c r="R6" s="110"/>
      <c r="S6" s="110"/>
      <c r="T6" s="110"/>
      <c r="U6" s="20">
        <f t="shared" ref="U6:U55" si="0">SUM(F6:T6)</f>
        <v>0</v>
      </c>
      <c r="V6" s="99"/>
      <c r="X6" s="100">
        <f t="shared" ref="X6:X54" si="1">INDEX($A$1:$T$55,ROW(),$X$3)</f>
        <v>0</v>
      </c>
      <c r="AA6" s="93" t="s">
        <v>30</v>
      </c>
      <c r="AB6" s="76">
        <v>7</v>
      </c>
    </row>
    <row r="7" spans="1:28" ht="14.1" customHeight="1">
      <c r="B7" s="74">
        <v>3</v>
      </c>
      <c r="C7" s="97"/>
      <c r="D7" s="98"/>
      <c r="E7" s="107"/>
      <c r="F7" s="108"/>
      <c r="G7" s="108"/>
      <c r="H7" s="109"/>
      <c r="I7" s="110"/>
      <c r="J7" s="108"/>
      <c r="K7" s="108"/>
      <c r="L7" s="110"/>
      <c r="M7" s="110"/>
      <c r="N7" s="110"/>
      <c r="O7" s="110"/>
      <c r="P7" s="110"/>
      <c r="Q7" s="110"/>
      <c r="R7" s="110"/>
      <c r="S7" s="110"/>
      <c r="T7" s="110"/>
      <c r="U7" s="20">
        <f t="shared" si="0"/>
        <v>0</v>
      </c>
      <c r="V7" s="99"/>
      <c r="X7" s="100">
        <f t="shared" si="1"/>
        <v>0</v>
      </c>
      <c r="AA7" s="93" t="s">
        <v>18</v>
      </c>
      <c r="AB7" s="76">
        <v>8</v>
      </c>
    </row>
    <row r="8" spans="1:28" ht="14.1" customHeight="1">
      <c r="B8" s="74">
        <v>4</v>
      </c>
      <c r="C8" s="97"/>
      <c r="D8" s="98"/>
      <c r="E8" s="107"/>
      <c r="F8" s="108"/>
      <c r="G8" s="108"/>
      <c r="H8" s="109"/>
      <c r="I8" s="110"/>
      <c r="J8" s="108"/>
      <c r="K8" s="108"/>
      <c r="L8" s="110"/>
      <c r="M8" s="110"/>
      <c r="N8" s="110"/>
      <c r="O8" s="110"/>
      <c r="P8" s="110"/>
      <c r="Q8" s="110"/>
      <c r="R8" s="110"/>
      <c r="S8" s="110"/>
      <c r="T8" s="110"/>
      <c r="U8" s="20">
        <f t="shared" si="0"/>
        <v>0</v>
      </c>
      <c r="V8" s="99"/>
      <c r="X8" s="100">
        <f t="shared" si="1"/>
        <v>0</v>
      </c>
      <c r="AA8" s="93" t="s">
        <v>19</v>
      </c>
      <c r="AB8" s="76">
        <v>9</v>
      </c>
    </row>
    <row r="9" spans="1:28" ht="14.1" customHeight="1">
      <c r="B9" s="74">
        <v>5</v>
      </c>
      <c r="C9" s="97"/>
      <c r="D9" s="98"/>
      <c r="E9" s="107"/>
      <c r="F9" s="108"/>
      <c r="G9" s="108"/>
      <c r="H9" s="109"/>
      <c r="I9" s="110"/>
      <c r="J9" s="108"/>
      <c r="K9" s="108"/>
      <c r="L9" s="110"/>
      <c r="M9" s="110"/>
      <c r="N9" s="110"/>
      <c r="O9" s="110"/>
      <c r="P9" s="110"/>
      <c r="Q9" s="110"/>
      <c r="R9" s="110"/>
      <c r="S9" s="110"/>
      <c r="T9" s="110"/>
      <c r="U9" s="20">
        <f t="shared" si="0"/>
        <v>0</v>
      </c>
      <c r="V9" s="99"/>
      <c r="X9" s="100">
        <f t="shared" si="1"/>
        <v>0</v>
      </c>
      <c r="AA9" s="93" t="s">
        <v>20</v>
      </c>
      <c r="AB9" s="76">
        <v>10</v>
      </c>
    </row>
    <row r="10" spans="1:28" ht="14.1" customHeight="1">
      <c r="B10" s="74">
        <v>6</v>
      </c>
      <c r="C10" s="97"/>
      <c r="D10" s="98"/>
      <c r="E10" s="107"/>
      <c r="F10" s="108"/>
      <c r="G10" s="108"/>
      <c r="H10" s="109"/>
      <c r="I10" s="110"/>
      <c r="J10" s="108"/>
      <c r="K10" s="108"/>
      <c r="L10" s="110"/>
      <c r="M10" s="110"/>
      <c r="N10" s="110"/>
      <c r="O10" s="110"/>
      <c r="P10" s="110"/>
      <c r="Q10" s="110"/>
      <c r="R10" s="110"/>
      <c r="S10" s="110"/>
      <c r="T10" s="110"/>
      <c r="U10" s="20">
        <f t="shared" si="0"/>
        <v>0</v>
      </c>
      <c r="V10" s="99"/>
      <c r="X10" s="100">
        <f t="shared" si="1"/>
        <v>0</v>
      </c>
      <c r="AA10" s="93" t="s">
        <v>21</v>
      </c>
      <c r="AB10" s="76">
        <v>11</v>
      </c>
    </row>
    <row r="11" spans="1:28" ht="14.1" customHeight="1">
      <c r="B11" s="74">
        <v>7</v>
      </c>
      <c r="C11" s="97"/>
      <c r="D11" s="98"/>
      <c r="E11" s="107"/>
      <c r="F11" s="108"/>
      <c r="G11" s="108"/>
      <c r="H11" s="109"/>
      <c r="I11" s="110"/>
      <c r="J11" s="108"/>
      <c r="K11" s="108"/>
      <c r="L11" s="110"/>
      <c r="M11" s="110"/>
      <c r="N11" s="110"/>
      <c r="O11" s="110"/>
      <c r="P11" s="110"/>
      <c r="Q11" s="110"/>
      <c r="R11" s="110"/>
      <c r="S11" s="110"/>
      <c r="T11" s="110"/>
      <c r="U11" s="20">
        <f t="shared" si="0"/>
        <v>0</v>
      </c>
      <c r="V11" s="99"/>
      <c r="X11" s="100">
        <f t="shared" si="1"/>
        <v>0</v>
      </c>
      <c r="AA11" s="93" t="s">
        <v>22</v>
      </c>
      <c r="AB11" s="76">
        <v>12</v>
      </c>
    </row>
    <row r="12" spans="1:28" ht="14.1" customHeight="1">
      <c r="B12" s="74">
        <v>8</v>
      </c>
      <c r="C12" s="97"/>
      <c r="D12" s="98"/>
      <c r="E12" s="107"/>
      <c r="F12" s="108"/>
      <c r="G12" s="108"/>
      <c r="H12" s="109"/>
      <c r="I12" s="110"/>
      <c r="J12" s="108"/>
      <c r="K12" s="108"/>
      <c r="L12" s="110"/>
      <c r="M12" s="110"/>
      <c r="N12" s="110"/>
      <c r="O12" s="110"/>
      <c r="P12" s="110"/>
      <c r="Q12" s="110"/>
      <c r="R12" s="110"/>
      <c r="S12" s="110"/>
      <c r="T12" s="110"/>
      <c r="U12" s="20">
        <f t="shared" si="0"/>
        <v>0</v>
      </c>
      <c r="V12" s="99"/>
      <c r="X12" s="100">
        <f t="shared" si="1"/>
        <v>0</v>
      </c>
      <c r="AA12" s="93" t="s">
        <v>23</v>
      </c>
      <c r="AB12" s="76">
        <v>13</v>
      </c>
    </row>
    <row r="13" spans="1:28" ht="14.1" customHeight="1">
      <c r="B13" s="74">
        <v>9</v>
      </c>
      <c r="C13" s="97"/>
      <c r="D13" s="98"/>
      <c r="E13" s="107"/>
      <c r="F13" s="108"/>
      <c r="G13" s="108"/>
      <c r="H13" s="109"/>
      <c r="I13" s="110"/>
      <c r="J13" s="108"/>
      <c r="K13" s="108"/>
      <c r="L13" s="110"/>
      <c r="M13" s="110"/>
      <c r="N13" s="110"/>
      <c r="O13" s="110"/>
      <c r="P13" s="110"/>
      <c r="Q13" s="110"/>
      <c r="R13" s="110"/>
      <c r="S13" s="110"/>
      <c r="T13" s="110"/>
      <c r="U13" s="20">
        <f t="shared" si="0"/>
        <v>0</v>
      </c>
      <c r="V13" s="99"/>
      <c r="X13" s="100">
        <f t="shared" si="1"/>
        <v>0</v>
      </c>
      <c r="AA13" s="93" t="s">
        <v>24</v>
      </c>
      <c r="AB13" s="76">
        <v>14</v>
      </c>
    </row>
    <row r="14" spans="1:28" ht="14.1" customHeight="1">
      <c r="B14" s="74">
        <v>10</v>
      </c>
      <c r="C14" s="97"/>
      <c r="D14" s="98"/>
      <c r="E14" s="107"/>
      <c r="F14" s="108"/>
      <c r="G14" s="108"/>
      <c r="H14" s="109"/>
      <c r="I14" s="110"/>
      <c r="J14" s="108"/>
      <c r="K14" s="108"/>
      <c r="L14" s="110"/>
      <c r="M14" s="110"/>
      <c r="N14" s="110"/>
      <c r="O14" s="110"/>
      <c r="P14" s="110"/>
      <c r="Q14" s="110"/>
      <c r="R14" s="110"/>
      <c r="S14" s="110"/>
      <c r="T14" s="110"/>
      <c r="U14" s="20">
        <f t="shared" si="0"/>
        <v>0</v>
      </c>
      <c r="V14" s="99"/>
      <c r="X14" s="100">
        <f t="shared" si="1"/>
        <v>0</v>
      </c>
      <c r="AA14" s="93" t="s">
        <v>25</v>
      </c>
      <c r="AB14" s="76">
        <v>15</v>
      </c>
    </row>
    <row r="15" spans="1:28" ht="14.1" customHeight="1">
      <c r="B15" s="74">
        <v>11</v>
      </c>
      <c r="C15" s="97"/>
      <c r="D15" s="98"/>
      <c r="E15" s="107"/>
      <c r="F15" s="108"/>
      <c r="G15" s="108"/>
      <c r="H15" s="109"/>
      <c r="I15" s="110"/>
      <c r="J15" s="108"/>
      <c r="K15" s="108"/>
      <c r="L15" s="110"/>
      <c r="M15" s="110"/>
      <c r="N15" s="110"/>
      <c r="O15" s="110"/>
      <c r="P15" s="110"/>
      <c r="Q15" s="110"/>
      <c r="R15" s="110"/>
      <c r="S15" s="110"/>
      <c r="T15" s="110"/>
      <c r="U15" s="20">
        <f t="shared" si="0"/>
        <v>0</v>
      </c>
      <c r="V15" s="99"/>
      <c r="X15" s="100">
        <f t="shared" si="1"/>
        <v>0</v>
      </c>
      <c r="AA15" s="93" t="s">
        <v>26</v>
      </c>
      <c r="AB15" s="76">
        <v>16</v>
      </c>
    </row>
    <row r="16" spans="1:28" ht="14.1" customHeight="1">
      <c r="B16" s="74">
        <v>12</v>
      </c>
      <c r="C16" s="97"/>
      <c r="D16" s="98"/>
      <c r="E16" s="107"/>
      <c r="F16" s="108"/>
      <c r="G16" s="108"/>
      <c r="H16" s="109"/>
      <c r="I16" s="110"/>
      <c r="J16" s="108"/>
      <c r="K16" s="108"/>
      <c r="L16" s="110"/>
      <c r="M16" s="110"/>
      <c r="N16" s="110"/>
      <c r="O16" s="110"/>
      <c r="P16" s="110"/>
      <c r="Q16" s="110"/>
      <c r="R16" s="110"/>
      <c r="S16" s="110"/>
      <c r="T16" s="110"/>
      <c r="U16" s="20">
        <f t="shared" si="0"/>
        <v>0</v>
      </c>
      <c r="V16" s="99"/>
      <c r="X16" s="100">
        <f t="shared" si="1"/>
        <v>0</v>
      </c>
      <c r="AA16" s="93" t="s">
        <v>27</v>
      </c>
      <c r="AB16" s="76">
        <v>17</v>
      </c>
    </row>
    <row r="17" spans="2:28" ht="14.1" customHeight="1">
      <c r="B17" s="74">
        <v>13</v>
      </c>
      <c r="C17" s="97"/>
      <c r="D17" s="98"/>
      <c r="E17" s="107"/>
      <c r="F17" s="108"/>
      <c r="G17" s="108"/>
      <c r="H17" s="109"/>
      <c r="I17" s="110"/>
      <c r="J17" s="108"/>
      <c r="K17" s="108"/>
      <c r="L17" s="110"/>
      <c r="M17" s="110"/>
      <c r="N17" s="110"/>
      <c r="O17" s="110"/>
      <c r="P17" s="110"/>
      <c r="Q17" s="110"/>
      <c r="R17" s="110"/>
      <c r="S17" s="110"/>
      <c r="T17" s="110"/>
      <c r="U17" s="20">
        <f t="shared" si="0"/>
        <v>0</v>
      </c>
      <c r="V17" s="99"/>
      <c r="X17" s="100">
        <f t="shared" si="1"/>
        <v>0</v>
      </c>
      <c r="AA17" s="94" t="s">
        <v>28</v>
      </c>
      <c r="AB17" s="76">
        <v>18</v>
      </c>
    </row>
    <row r="18" spans="2:28" ht="14.1" customHeight="1">
      <c r="B18" s="74">
        <v>14</v>
      </c>
      <c r="C18" s="97"/>
      <c r="D18" s="98"/>
      <c r="E18" s="107"/>
      <c r="F18" s="108"/>
      <c r="G18" s="108"/>
      <c r="H18" s="109"/>
      <c r="I18" s="110"/>
      <c r="J18" s="108"/>
      <c r="K18" s="108"/>
      <c r="L18" s="110"/>
      <c r="M18" s="110"/>
      <c r="N18" s="110"/>
      <c r="O18" s="110"/>
      <c r="P18" s="110"/>
      <c r="Q18" s="110"/>
      <c r="R18" s="110"/>
      <c r="S18" s="110"/>
      <c r="T18" s="110"/>
      <c r="U18" s="20">
        <f t="shared" si="0"/>
        <v>0</v>
      </c>
      <c r="V18" s="99"/>
      <c r="X18" s="100">
        <f t="shared" si="1"/>
        <v>0</v>
      </c>
      <c r="AA18" s="93" t="s">
        <v>29</v>
      </c>
      <c r="AB18" s="76">
        <v>19</v>
      </c>
    </row>
    <row r="19" spans="2:28" ht="14.1" customHeight="1">
      <c r="B19" s="74">
        <v>15</v>
      </c>
      <c r="C19" s="97"/>
      <c r="D19" s="98"/>
      <c r="E19" s="107"/>
      <c r="F19" s="108"/>
      <c r="G19" s="108"/>
      <c r="H19" s="109"/>
      <c r="I19" s="110"/>
      <c r="J19" s="108"/>
      <c r="K19" s="108"/>
      <c r="L19" s="110"/>
      <c r="M19" s="110"/>
      <c r="N19" s="110"/>
      <c r="O19" s="110"/>
      <c r="P19" s="110"/>
      <c r="Q19" s="110"/>
      <c r="R19" s="110"/>
      <c r="S19" s="110"/>
      <c r="T19" s="110"/>
      <c r="U19" s="20">
        <f t="shared" si="0"/>
        <v>0</v>
      </c>
      <c r="V19" s="99"/>
      <c r="X19" s="100">
        <f t="shared" si="1"/>
        <v>0</v>
      </c>
      <c r="AA19" s="95" t="s">
        <v>32</v>
      </c>
      <c r="AB19" s="76">
        <v>20</v>
      </c>
    </row>
    <row r="20" spans="2:28" ht="14.1" customHeight="1">
      <c r="B20" s="74">
        <v>16</v>
      </c>
      <c r="C20" s="97"/>
      <c r="D20" s="98"/>
      <c r="E20" s="107"/>
      <c r="F20" s="108"/>
      <c r="G20" s="108"/>
      <c r="H20" s="109"/>
      <c r="I20" s="110"/>
      <c r="J20" s="108"/>
      <c r="K20" s="108"/>
      <c r="L20" s="110"/>
      <c r="M20" s="110"/>
      <c r="N20" s="110"/>
      <c r="O20" s="110"/>
      <c r="P20" s="110"/>
      <c r="Q20" s="110"/>
      <c r="R20" s="110"/>
      <c r="S20" s="110"/>
      <c r="T20" s="110"/>
      <c r="U20" s="20">
        <f t="shared" si="0"/>
        <v>0</v>
      </c>
      <c r="V20" s="99"/>
      <c r="X20" s="100">
        <f t="shared" si="1"/>
        <v>0</v>
      </c>
    </row>
    <row r="21" spans="2:28" ht="14.1" customHeight="1">
      <c r="B21" s="74">
        <v>17</v>
      </c>
      <c r="C21" s="97"/>
      <c r="D21" s="98"/>
      <c r="E21" s="107"/>
      <c r="F21" s="108"/>
      <c r="G21" s="108"/>
      <c r="H21" s="109"/>
      <c r="I21" s="110"/>
      <c r="J21" s="108"/>
      <c r="K21" s="108"/>
      <c r="L21" s="110"/>
      <c r="M21" s="110"/>
      <c r="N21" s="110"/>
      <c r="O21" s="110"/>
      <c r="P21" s="110"/>
      <c r="Q21" s="110"/>
      <c r="R21" s="110"/>
      <c r="S21" s="110"/>
      <c r="T21" s="110"/>
      <c r="U21" s="20">
        <f t="shared" si="0"/>
        <v>0</v>
      </c>
      <c r="V21" s="99"/>
      <c r="X21" s="100">
        <f t="shared" si="1"/>
        <v>0</v>
      </c>
    </row>
    <row r="22" spans="2:28" ht="14.1" customHeight="1">
      <c r="B22" s="74">
        <v>18</v>
      </c>
      <c r="C22" s="97"/>
      <c r="D22" s="98"/>
      <c r="E22" s="107"/>
      <c r="F22" s="108"/>
      <c r="G22" s="108"/>
      <c r="H22" s="109"/>
      <c r="I22" s="110"/>
      <c r="J22" s="108"/>
      <c r="K22" s="108"/>
      <c r="L22" s="110"/>
      <c r="M22" s="110"/>
      <c r="N22" s="110"/>
      <c r="O22" s="110"/>
      <c r="P22" s="110"/>
      <c r="Q22" s="110"/>
      <c r="R22" s="110"/>
      <c r="S22" s="110"/>
      <c r="T22" s="110"/>
      <c r="U22" s="20">
        <f t="shared" si="0"/>
        <v>0</v>
      </c>
      <c r="V22" s="99"/>
      <c r="X22" s="100">
        <f t="shared" si="1"/>
        <v>0</v>
      </c>
    </row>
    <row r="23" spans="2:28" ht="14.1" customHeight="1">
      <c r="B23" s="74">
        <v>19</v>
      </c>
      <c r="C23" s="97"/>
      <c r="D23" s="98"/>
      <c r="E23" s="107"/>
      <c r="F23" s="108"/>
      <c r="G23" s="108"/>
      <c r="H23" s="109"/>
      <c r="I23" s="110"/>
      <c r="J23" s="108"/>
      <c r="K23" s="108"/>
      <c r="L23" s="110"/>
      <c r="M23" s="110"/>
      <c r="N23" s="110"/>
      <c r="O23" s="110"/>
      <c r="P23" s="110"/>
      <c r="Q23" s="110"/>
      <c r="R23" s="110"/>
      <c r="S23" s="110"/>
      <c r="T23" s="110"/>
      <c r="U23" s="20">
        <f t="shared" si="0"/>
        <v>0</v>
      </c>
      <c r="V23" s="99"/>
      <c r="X23" s="100">
        <f t="shared" si="1"/>
        <v>0</v>
      </c>
    </row>
    <row r="24" spans="2:28" ht="14.1" customHeight="1">
      <c r="B24" s="74">
        <v>20</v>
      </c>
      <c r="C24" s="97"/>
      <c r="D24" s="98"/>
      <c r="E24" s="107"/>
      <c r="F24" s="108"/>
      <c r="G24" s="108"/>
      <c r="H24" s="109"/>
      <c r="I24" s="110"/>
      <c r="J24" s="108"/>
      <c r="K24" s="108"/>
      <c r="L24" s="110"/>
      <c r="M24" s="110"/>
      <c r="N24" s="110"/>
      <c r="O24" s="110"/>
      <c r="P24" s="110"/>
      <c r="Q24" s="110"/>
      <c r="R24" s="110"/>
      <c r="S24" s="110"/>
      <c r="T24" s="110"/>
      <c r="U24" s="20">
        <f t="shared" si="0"/>
        <v>0</v>
      </c>
      <c r="V24" s="99"/>
      <c r="X24" s="100">
        <f t="shared" si="1"/>
        <v>0</v>
      </c>
    </row>
    <row r="25" spans="2:28" ht="14.1" customHeight="1">
      <c r="B25" s="74">
        <v>21</v>
      </c>
      <c r="C25" s="97"/>
      <c r="D25" s="98"/>
      <c r="E25" s="107"/>
      <c r="F25" s="108"/>
      <c r="G25" s="108"/>
      <c r="H25" s="109"/>
      <c r="I25" s="110"/>
      <c r="J25" s="108"/>
      <c r="K25" s="108"/>
      <c r="L25" s="110"/>
      <c r="M25" s="110"/>
      <c r="N25" s="110"/>
      <c r="O25" s="110"/>
      <c r="P25" s="110"/>
      <c r="Q25" s="110"/>
      <c r="R25" s="110"/>
      <c r="S25" s="110"/>
      <c r="T25" s="110"/>
      <c r="U25" s="20">
        <f t="shared" si="0"/>
        <v>0</v>
      </c>
      <c r="V25" s="99"/>
      <c r="X25" s="100">
        <f t="shared" si="1"/>
        <v>0</v>
      </c>
    </row>
    <row r="26" spans="2:28" ht="14.1" customHeight="1">
      <c r="B26" s="74">
        <v>22</v>
      </c>
      <c r="C26" s="97"/>
      <c r="D26" s="98"/>
      <c r="E26" s="107"/>
      <c r="F26" s="108"/>
      <c r="G26" s="108"/>
      <c r="H26" s="109"/>
      <c r="I26" s="110"/>
      <c r="J26" s="108"/>
      <c r="K26" s="108"/>
      <c r="L26" s="110"/>
      <c r="M26" s="110"/>
      <c r="N26" s="110"/>
      <c r="O26" s="110"/>
      <c r="P26" s="110"/>
      <c r="Q26" s="110"/>
      <c r="R26" s="110"/>
      <c r="S26" s="110"/>
      <c r="T26" s="110"/>
      <c r="U26" s="20">
        <f t="shared" si="0"/>
        <v>0</v>
      </c>
      <c r="V26" s="99"/>
      <c r="X26" s="100">
        <f t="shared" si="1"/>
        <v>0</v>
      </c>
    </row>
    <row r="27" spans="2:28" ht="14.1" customHeight="1">
      <c r="B27" s="74">
        <v>23</v>
      </c>
      <c r="C27" s="97"/>
      <c r="D27" s="98"/>
      <c r="E27" s="107"/>
      <c r="F27" s="108"/>
      <c r="G27" s="108"/>
      <c r="H27" s="109"/>
      <c r="I27" s="110"/>
      <c r="J27" s="108"/>
      <c r="K27" s="108"/>
      <c r="L27" s="110"/>
      <c r="M27" s="110"/>
      <c r="N27" s="110"/>
      <c r="O27" s="110"/>
      <c r="P27" s="110"/>
      <c r="Q27" s="110"/>
      <c r="R27" s="110"/>
      <c r="S27" s="110"/>
      <c r="T27" s="110"/>
      <c r="U27" s="20">
        <f t="shared" si="0"/>
        <v>0</v>
      </c>
      <c r="V27" s="99"/>
      <c r="X27" s="100">
        <f t="shared" si="1"/>
        <v>0</v>
      </c>
    </row>
    <row r="28" spans="2:28" ht="14.1" customHeight="1">
      <c r="B28" s="74">
        <v>24</v>
      </c>
      <c r="C28" s="97"/>
      <c r="D28" s="98"/>
      <c r="E28" s="107"/>
      <c r="F28" s="108"/>
      <c r="G28" s="108"/>
      <c r="H28" s="109"/>
      <c r="I28" s="110"/>
      <c r="J28" s="108"/>
      <c r="K28" s="108"/>
      <c r="L28" s="110"/>
      <c r="M28" s="110"/>
      <c r="N28" s="110"/>
      <c r="O28" s="110"/>
      <c r="P28" s="110"/>
      <c r="Q28" s="110"/>
      <c r="R28" s="110"/>
      <c r="S28" s="110"/>
      <c r="T28" s="110"/>
      <c r="U28" s="20">
        <f t="shared" si="0"/>
        <v>0</v>
      </c>
      <c r="V28" s="99"/>
      <c r="X28" s="100">
        <f t="shared" si="1"/>
        <v>0</v>
      </c>
    </row>
    <row r="29" spans="2:28" ht="14.1" customHeight="1">
      <c r="B29" s="74">
        <v>25</v>
      </c>
      <c r="C29" s="97"/>
      <c r="D29" s="98"/>
      <c r="E29" s="107"/>
      <c r="F29" s="108"/>
      <c r="G29" s="108"/>
      <c r="H29" s="109"/>
      <c r="I29" s="110"/>
      <c r="J29" s="108"/>
      <c r="K29" s="108"/>
      <c r="L29" s="110"/>
      <c r="M29" s="110"/>
      <c r="N29" s="110"/>
      <c r="O29" s="110"/>
      <c r="P29" s="110"/>
      <c r="Q29" s="110"/>
      <c r="R29" s="110"/>
      <c r="S29" s="110"/>
      <c r="T29" s="110"/>
      <c r="U29" s="20">
        <f t="shared" si="0"/>
        <v>0</v>
      </c>
      <c r="V29" s="99"/>
      <c r="X29" s="100">
        <f t="shared" si="1"/>
        <v>0</v>
      </c>
    </row>
    <row r="30" spans="2:28" ht="14.1" customHeight="1">
      <c r="B30" s="74">
        <v>26</v>
      </c>
      <c r="C30" s="97"/>
      <c r="D30" s="98"/>
      <c r="E30" s="107"/>
      <c r="F30" s="108"/>
      <c r="G30" s="108"/>
      <c r="H30" s="109"/>
      <c r="I30" s="110"/>
      <c r="J30" s="108"/>
      <c r="K30" s="108"/>
      <c r="L30" s="110"/>
      <c r="M30" s="110"/>
      <c r="N30" s="110"/>
      <c r="O30" s="110"/>
      <c r="P30" s="110"/>
      <c r="Q30" s="110"/>
      <c r="R30" s="110"/>
      <c r="S30" s="110"/>
      <c r="T30" s="110"/>
      <c r="U30" s="20">
        <f t="shared" si="0"/>
        <v>0</v>
      </c>
      <c r="V30" s="99"/>
      <c r="X30" s="100">
        <f t="shared" si="1"/>
        <v>0</v>
      </c>
    </row>
    <row r="31" spans="2:28" ht="14.1" customHeight="1">
      <c r="B31" s="74">
        <v>27</v>
      </c>
      <c r="C31" s="97"/>
      <c r="D31" s="98"/>
      <c r="E31" s="107"/>
      <c r="F31" s="108"/>
      <c r="G31" s="108"/>
      <c r="H31" s="109"/>
      <c r="I31" s="110"/>
      <c r="J31" s="108"/>
      <c r="K31" s="108"/>
      <c r="L31" s="110"/>
      <c r="M31" s="110"/>
      <c r="N31" s="110"/>
      <c r="O31" s="110"/>
      <c r="P31" s="110"/>
      <c r="Q31" s="110"/>
      <c r="R31" s="110"/>
      <c r="S31" s="110"/>
      <c r="T31" s="110"/>
      <c r="U31" s="20">
        <f t="shared" si="0"/>
        <v>0</v>
      </c>
      <c r="V31" s="99"/>
      <c r="X31" s="100">
        <f t="shared" si="1"/>
        <v>0</v>
      </c>
    </row>
    <row r="32" spans="2:28" ht="14.1" customHeight="1">
      <c r="B32" s="74">
        <v>28</v>
      </c>
      <c r="C32" s="97"/>
      <c r="D32" s="98"/>
      <c r="E32" s="107"/>
      <c r="F32" s="108"/>
      <c r="G32" s="108"/>
      <c r="H32" s="109"/>
      <c r="I32" s="110"/>
      <c r="J32" s="108"/>
      <c r="K32" s="108"/>
      <c r="L32" s="110"/>
      <c r="M32" s="110"/>
      <c r="N32" s="110"/>
      <c r="O32" s="110"/>
      <c r="P32" s="110"/>
      <c r="Q32" s="110"/>
      <c r="R32" s="110"/>
      <c r="S32" s="110"/>
      <c r="T32" s="110"/>
      <c r="U32" s="20">
        <f t="shared" si="0"/>
        <v>0</v>
      </c>
      <c r="V32" s="99"/>
      <c r="X32" s="100">
        <f t="shared" si="1"/>
        <v>0</v>
      </c>
    </row>
    <row r="33" spans="2:24" ht="14.1" customHeight="1">
      <c r="B33" s="74">
        <v>29</v>
      </c>
      <c r="C33" s="97"/>
      <c r="D33" s="98"/>
      <c r="E33" s="107"/>
      <c r="F33" s="108"/>
      <c r="G33" s="108"/>
      <c r="H33" s="109"/>
      <c r="I33" s="110"/>
      <c r="J33" s="108"/>
      <c r="K33" s="108"/>
      <c r="L33" s="110"/>
      <c r="M33" s="110"/>
      <c r="N33" s="110"/>
      <c r="O33" s="110"/>
      <c r="P33" s="110"/>
      <c r="Q33" s="110"/>
      <c r="R33" s="110"/>
      <c r="S33" s="110"/>
      <c r="T33" s="110"/>
      <c r="U33" s="20">
        <f t="shared" si="0"/>
        <v>0</v>
      </c>
      <c r="V33" s="99"/>
      <c r="X33" s="100">
        <f t="shared" si="1"/>
        <v>0</v>
      </c>
    </row>
    <row r="34" spans="2:24" ht="14.1" customHeight="1">
      <c r="B34" s="74">
        <v>30</v>
      </c>
      <c r="C34" s="97"/>
      <c r="D34" s="98"/>
      <c r="E34" s="107"/>
      <c r="F34" s="108"/>
      <c r="G34" s="108"/>
      <c r="H34" s="109"/>
      <c r="I34" s="110"/>
      <c r="J34" s="108"/>
      <c r="K34" s="108"/>
      <c r="L34" s="110"/>
      <c r="M34" s="110"/>
      <c r="N34" s="110"/>
      <c r="O34" s="110"/>
      <c r="P34" s="110"/>
      <c r="Q34" s="110"/>
      <c r="R34" s="110"/>
      <c r="S34" s="110"/>
      <c r="T34" s="110"/>
      <c r="U34" s="20">
        <f t="shared" si="0"/>
        <v>0</v>
      </c>
      <c r="V34" s="99"/>
      <c r="X34" s="100">
        <f t="shared" si="1"/>
        <v>0</v>
      </c>
    </row>
    <row r="35" spans="2:24" ht="14.1" customHeight="1">
      <c r="B35" s="74">
        <v>31</v>
      </c>
      <c r="C35" s="97"/>
      <c r="D35" s="98"/>
      <c r="E35" s="107"/>
      <c r="F35" s="108"/>
      <c r="G35" s="108"/>
      <c r="H35" s="109"/>
      <c r="I35" s="110"/>
      <c r="J35" s="108"/>
      <c r="K35" s="108"/>
      <c r="L35" s="110"/>
      <c r="M35" s="110"/>
      <c r="N35" s="110"/>
      <c r="O35" s="110"/>
      <c r="P35" s="110"/>
      <c r="Q35" s="110"/>
      <c r="R35" s="110"/>
      <c r="S35" s="110"/>
      <c r="T35" s="110"/>
      <c r="U35" s="20">
        <f t="shared" si="0"/>
        <v>0</v>
      </c>
      <c r="V35" s="99"/>
      <c r="X35" s="100">
        <f t="shared" si="1"/>
        <v>0</v>
      </c>
    </row>
    <row r="36" spans="2:24" ht="14.1" customHeight="1">
      <c r="B36" s="74">
        <v>32</v>
      </c>
      <c r="C36" s="97"/>
      <c r="D36" s="98"/>
      <c r="E36" s="107"/>
      <c r="F36" s="108"/>
      <c r="G36" s="108"/>
      <c r="H36" s="109"/>
      <c r="I36" s="110"/>
      <c r="J36" s="108"/>
      <c r="K36" s="108"/>
      <c r="L36" s="110"/>
      <c r="M36" s="110"/>
      <c r="N36" s="110"/>
      <c r="O36" s="110"/>
      <c r="P36" s="110"/>
      <c r="Q36" s="110"/>
      <c r="R36" s="110"/>
      <c r="S36" s="110"/>
      <c r="T36" s="110"/>
      <c r="U36" s="20">
        <f t="shared" si="0"/>
        <v>0</v>
      </c>
      <c r="V36" s="99"/>
      <c r="X36" s="100">
        <f t="shared" si="1"/>
        <v>0</v>
      </c>
    </row>
    <row r="37" spans="2:24" ht="14.1" customHeight="1">
      <c r="B37" s="91">
        <v>33</v>
      </c>
      <c r="C37" s="91"/>
      <c r="D37" s="101"/>
      <c r="E37" s="111"/>
      <c r="F37" s="108"/>
      <c r="G37" s="108"/>
      <c r="H37" s="112"/>
      <c r="I37" s="108"/>
      <c r="J37" s="108"/>
      <c r="K37" s="108"/>
      <c r="L37" s="113"/>
      <c r="M37" s="113"/>
      <c r="N37" s="110"/>
      <c r="O37" s="110"/>
      <c r="P37" s="110"/>
      <c r="Q37" s="110"/>
      <c r="R37" s="113"/>
      <c r="S37" s="113"/>
      <c r="T37" s="113"/>
      <c r="U37" s="22">
        <f t="shared" ref="U37:U54" si="2">SUM(F37:T37)</f>
        <v>0</v>
      </c>
      <c r="V37" s="99"/>
      <c r="X37" s="100">
        <f t="shared" si="1"/>
        <v>0</v>
      </c>
    </row>
    <row r="38" spans="2:24" ht="14.1" customHeight="1">
      <c r="B38" s="91">
        <v>34</v>
      </c>
      <c r="C38" s="91"/>
      <c r="D38" s="101"/>
      <c r="E38" s="111"/>
      <c r="F38" s="108"/>
      <c r="G38" s="108"/>
      <c r="H38" s="112"/>
      <c r="I38" s="108"/>
      <c r="J38" s="108"/>
      <c r="K38" s="108"/>
      <c r="L38" s="113"/>
      <c r="M38" s="113"/>
      <c r="N38" s="110"/>
      <c r="O38" s="110"/>
      <c r="P38" s="110"/>
      <c r="Q38" s="110"/>
      <c r="R38" s="113"/>
      <c r="S38" s="113"/>
      <c r="T38" s="113"/>
      <c r="U38" s="22">
        <f t="shared" si="2"/>
        <v>0</v>
      </c>
      <c r="V38" s="99"/>
      <c r="X38" s="100">
        <f t="shared" si="1"/>
        <v>0</v>
      </c>
    </row>
    <row r="39" spans="2:24" ht="14.1" customHeight="1">
      <c r="B39" s="91">
        <v>35</v>
      </c>
      <c r="C39" s="91"/>
      <c r="D39" s="101"/>
      <c r="E39" s="111"/>
      <c r="F39" s="108"/>
      <c r="G39" s="108"/>
      <c r="H39" s="112"/>
      <c r="I39" s="108"/>
      <c r="J39" s="108"/>
      <c r="K39" s="108"/>
      <c r="L39" s="113"/>
      <c r="M39" s="113"/>
      <c r="N39" s="110"/>
      <c r="O39" s="110"/>
      <c r="P39" s="110"/>
      <c r="Q39" s="110"/>
      <c r="R39" s="113"/>
      <c r="S39" s="113"/>
      <c r="T39" s="113"/>
      <c r="U39" s="22">
        <f t="shared" si="2"/>
        <v>0</v>
      </c>
      <c r="V39" s="99"/>
      <c r="X39" s="100">
        <f t="shared" si="1"/>
        <v>0</v>
      </c>
    </row>
    <row r="40" spans="2:24" ht="14.1" customHeight="1">
      <c r="B40" s="91">
        <v>36</v>
      </c>
      <c r="C40" s="91"/>
      <c r="D40" s="101"/>
      <c r="E40" s="111"/>
      <c r="F40" s="108"/>
      <c r="G40" s="108"/>
      <c r="H40" s="112"/>
      <c r="I40" s="108"/>
      <c r="J40" s="108"/>
      <c r="K40" s="108"/>
      <c r="L40" s="113"/>
      <c r="M40" s="113"/>
      <c r="N40" s="110"/>
      <c r="O40" s="110"/>
      <c r="P40" s="110"/>
      <c r="Q40" s="110"/>
      <c r="R40" s="113"/>
      <c r="S40" s="113"/>
      <c r="T40" s="113"/>
      <c r="U40" s="22">
        <f t="shared" si="2"/>
        <v>0</v>
      </c>
      <c r="V40" s="99"/>
      <c r="X40" s="100">
        <f t="shared" si="1"/>
        <v>0</v>
      </c>
    </row>
    <row r="41" spans="2:24" ht="14.1" customHeight="1">
      <c r="B41" s="91">
        <v>37</v>
      </c>
      <c r="C41" s="91"/>
      <c r="D41" s="101"/>
      <c r="E41" s="111"/>
      <c r="F41" s="108"/>
      <c r="G41" s="108"/>
      <c r="H41" s="112"/>
      <c r="I41" s="108"/>
      <c r="J41" s="108"/>
      <c r="K41" s="108"/>
      <c r="L41" s="113"/>
      <c r="M41" s="113"/>
      <c r="N41" s="110"/>
      <c r="O41" s="110"/>
      <c r="P41" s="110"/>
      <c r="Q41" s="110"/>
      <c r="R41" s="113"/>
      <c r="S41" s="113"/>
      <c r="T41" s="113"/>
      <c r="U41" s="22">
        <f t="shared" si="2"/>
        <v>0</v>
      </c>
      <c r="V41" s="99"/>
      <c r="X41" s="100">
        <f t="shared" si="1"/>
        <v>0</v>
      </c>
    </row>
    <row r="42" spans="2:24" ht="14.1" customHeight="1">
      <c r="B42" s="91">
        <v>38</v>
      </c>
      <c r="C42" s="91"/>
      <c r="D42" s="101"/>
      <c r="E42" s="111"/>
      <c r="F42" s="108"/>
      <c r="G42" s="108"/>
      <c r="H42" s="112"/>
      <c r="I42" s="108"/>
      <c r="J42" s="108"/>
      <c r="K42" s="108"/>
      <c r="L42" s="113"/>
      <c r="M42" s="113"/>
      <c r="N42" s="110"/>
      <c r="O42" s="110"/>
      <c r="P42" s="110"/>
      <c r="Q42" s="110"/>
      <c r="R42" s="113"/>
      <c r="S42" s="113"/>
      <c r="T42" s="113"/>
      <c r="U42" s="22">
        <f t="shared" si="2"/>
        <v>0</v>
      </c>
      <c r="V42" s="99"/>
      <c r="X42" s="100">
        <f t="shared" si="1"/>
        <v>0</v>
      </c>
    </row>
    <row r="43" spans="2:24" ht="14.1" customHeight="1">
      <c r="B43" s="91">
        <v>39</v>
      </c>
      <c r="C43" s="91"/>
      <c r="D43" s="101"/>
      <c r="E43" s="111"/>
      <c r="F43" s="108"/>
      <c r="G43" s="108"/>
      <c r="H43" s="112"/>
      <c r="I43" s="108"/>
      <c r="J43" s="108"/>
      <c r="K43" s="108"/>
      <c r="L43" s="113"/>
      <c r="M43" s="113"/>
      <c r="N43" s="110"/>
      <c r="O43" s="110"/>
      <c r="P43" s="110"/>
      <c r="Q43" s="110"/>
      <c r="R43" s="113"/>
      <c r="S43" s="113"/>
      <c r="T43" s="113"/>
      <c r="U43" s="22">
        <f t="shared" si="2"/>
        <v>0</v>
      </c>
      <c r="V43" s="99"/>
      <c r="X43" s="100">
        <f t="shared" si="1"/>
        <v>0</v>
      </c>
    </row>
    <row r="44" spans="2:24" ht="14.1" customHeight="1">
      <c r="B44" s="91">
        <v>40</v>
      </c>
      <c r="C44" s="91"/>
      <c r="D44" s="101"/>
      <c r="E44" s="111"/>
      <c r="F44" s="108"/>
      <c r="G44" s="108"/>
      <c r="H44" s="112"/>
      <c r="I44" s="108"/>
      <c r="J44" s="108"/>
      <c r="K44" s="108"/>
      <c r="L44" s="113"/>
      <c r="M44" s="113"/>
      <c r="N44" s="110"/>
      <c r="O44" s="110"/>
      <c r="P44" s="110"/>
      <c r="Q44" s="110"/>
      <c r="R44" s="113"/>
      <c r="S44" s="113"/>
      <c r="T44" s="113"/>
      <c r="U44" s="22">
        <f t="shared" si="2"/>
        <v>0</v>
      </c>
      <c r="V44" s="99"/>
      <c r="X44" s="100">
        <f t="shared" si="1"/>
        <v>0</v>
      </c>
    </row>
    <row r="45" spans="2:24" ht="14.1" customHeight="1">
      <c r="B45" s="91">
        <v>41</v>
      </c>
      <c r="C45" s="91"/>
      <c r="D45" s="101"/>
      <c r="E45" s="111"/>
      <c r="F45" s="108"/>
      <c r="G45" s="108"/>
      <c r="H45" s="112"/>
      <c r="I45" s="108"/>
      <c r="J45" s="108"/>
      <c r="K45" s="108"/>
      <c r="L45" s="113"/>
      <c r="M45" s="113"/>
      <c r="N45" s="110"/>
      <c r="O45" s="110"/>
      <c r="P45" s="110"/>
      <c r="Q45" s="110"/>
      <c r="R45" s="113"/>
      <c r="S45" s="113"/>
      <c r="T45" s="113"/>
      <c r="U45" s="22">
        <f t="shared" si="2"/>
        <v>0</v>
      </c>
      <c r="V45" s="99"/>
      <c r="X45" s="100">
        <f t="shared" si="1"/>
        <v>0</v>
      </c>
    </row>
    <row r="46" spans="2:24" ht="14.1" customHeight="1">
      <c r="B46" s="91">
        <v>42</v>
      </c>
      <c r="C46" s="74"/>
      <c r="D46" s="98"/>
      <c r="E46" s="114"/>
      <c r="F46" s="108"/>
      <c r="G46" s="108"/>
      <c r="H46" s="112"/>
      <c r="I46" s="108"/>
      <c r="J46" s="108"/>
      <c r="K46" s="108"/>
      <c r="L46" s="110"/>
      <c r="M46" s="110"/>
      <c r="N46" s="110"/>
      <c r="O46" s="110"/>
      <c r="P46" s="110"/>
      <c r="Q46" s="110"/>
      <c r="R46" s="110"/>
      <c r="S46" s="110"/>
      <c r="T46" s="110"/>
      <c r="U46" s="20">
        <f t="shared" si="2"/>
        <v>0</v>
      </c>
      <c r="V46" s="99"/>
      <c r="X46" s="100">
        <f t="shared" si="1"/>
        <v>0</v>
      </c>
    </row>
    <row r="47" spans="2:24" ht="14.1" customHeight="1">
      <c r="B47" s="91">
        <v>43</v>
      </c>
      <c r="C47" s="74"/>
      <c r="D47" s="98"/>
      <c r="E47" s="114"/>
      <c r="F47" s="108"/>
      <c r="G47" s="108"/>
      <c r="H47" s="112"/>
      <c r="I47" s="108"/>
      <c r="J47" s="108"/>
      <c r="K47" s="108"/>
      <c r="L47" s="110"/>
      <c r="M47" s="110"/>
      <c r="N47" s="110"/>
      <c r="O47" s="110"/>
      <c r="P47" s="110"/>
      <c r="Q47" s="110"/>
      <c r="R47" s="110"/>
      <c r="S47" s="110"/>
      <c r="T47" s="110"/>
      <c r="U47" s="20">
        <f t="shared" si="2"/>
        <v>0</v>
      </c>
      <c r="V47" s="99"/>
      <c r="X47" s="100">
        <f t="shared" si="1"/>
        <v>0</v>
      </c>
    </row>
    <row r="48" spans="2:24" ht="14.1" customHeight="1">
      <c r="B48" s="91">
        <v>44</v>
      </c>
      <c r="C48" s="74"/>
      <c r="D48" s="98"/>
      <c r="E48" s="114"/>
      <c r="F48" s="108"/>
      <c r="G48" s="108"/>
      <c r="H48" s="112"/>
      <c r="I48" s="108"/>
      <c r="J48" s="108"/>
      <c r="K48" s="108"/>
      <c r="L48" s="110"/>
      <c r="M48" s="110"/>
      <c r="N48" s="110"/>
      <c r="O48" s="110"/>
      <c r="P48" s="110"/>
      <c r="Q48" s="110"/>
      <c r="R48" s="110"/>
      <c r="S48" s="110"/>
      <c r="T48" s="110"/>
      <c r="U48" s="20">
        <f t="shared" si="2"/>
        <v>0</v>
      </c>
      <c r="V48" s="99"/>
      <c r="X48" s="100">
        <f t="shared" si="1"/>
        <v>0</v>
      </c>
    </row>
    <row r="49" spans="2:24" ht="14.1" customHeight="1">
      <c r="B49" s="91">
        <v>45</v>
      </c>
      <c r="C49" s="74"/>
      <c r="D49" s="98"/>
      <c r="E49" s="114"/>
      <c r="F49" s="108"/>
      <c r="G49" s="108"/>
      <c r="H49" s="112"/>
      <c r="I49" s="108"/>
      <c r="J49" s="108"/>
      <c r="K49" s="108"/>
      <c r="L49" s="110"/>
      <c r="M49" s="110"/>
      <c r="N49" s="110"/>
      <c r="O49" s="110"/>
      <c r="P49" s="110"/>
      <c r="Q49" s="110"/>
      <c r="R49" s="110"/>
      <c r="S49" s="110"/>
      <c r="T49" s="110"/>
      <c r="U49" s="20">
        <f t="shared" si="2"/>
        <v>0</v>
      </c>
      <c r="V49" s="99"/>
      <c r="X49" s="100">
        <f t="shared" si="1"/>
        <v>0</v>
      </c>
    </row>
    <row r="50" spans="2:24" ht="14.1" customHeight="1">
      <c r="B50" s="91">
        <v>46</v>
      </c>
      <c r="C50" s="91"/>
      <c r="D50" s="101"/>
      <c r="E50" s="111"/>
      <c r="F50" s="108"/>
      <c r="G50" s="108"/>
      <c r="H50" s="112"/>
      <c r="I50" s="108"/>
      <c r="J50" s="108"/>
      <c r="K50" s="108"/>
      <c r="L50" s="113"/>
      <c r="M50" s="113"/>
      <c r="N50" s="110"/>
      <c r="O50" s="110"/>
      <c r="P50" s="110"/>
      <c r="Q50" s="110"/>
      <c r="R50" s="113"/>
      <c r="S50" s="113"/>
      <c r="T50" s="113"/>
      <c r="U50" s="22">
        <f t="shared" si="2"/>
        <v>0</v>
      </c>
      <c r="V50" s="99"/>
      <c r="X50" s="100">
        <f t="shared" si="1"/>
        <v>0</v>
      </c>
    </row>
    <row r="51" spans="2:24" ht="14.1" customHeight="1">
      <c r="B51" s="91">
        <v>47</v>
      </c>
      <c r="C51" s="74"/>
      <c r="D51" s="98"/>
      <c r="E51" s="114"/>
      <c r="F51" s="108"/>
      <c r="G51" s="108"/>
      <c r="H51" s="112"/>
      <c r="I51" s="108"/>
      <c r="J51" s="108"/>
      <c r="K51" s="108"/>
      <c r="L51" s="110"/>
      <c r="M51" s="110"/>
      <c r="N51" s="110"/>
      <c r="O51" s="110"/>
      <c r="P51" s="110"/>
      <c r="Q51" s="110"/>
      <c r="R51" s="110"/>
      <c r="S51" s="110"/>
      <c r="T51" s="110"/>
      <c r="U51" s="20">
        <f t="shared" si="2"/>
        <v>0</v>
      </c>
      <c r="V51" s="99"/>
      <c r="X51" s="100">
        <f t="shared" si="1"/>
        <v>0</v>
      </c>
    </row>
    <row r="52" spans="2:24" ht="14.1" customHeight="1">
      <c r="B52" s="91">
        <v>48</v>
      </c>
      <c r="C52" s="74"/>
      <c r="D52" s="98"/>
      <c r="E52" s="114"/>
      <c r="F52" s="108"/>
      <c r="G52" s="108"/>
      <c r="H52" s="112"/>
      <c r="I52" s="108"/>
      <c r="J52" s="108"/>
      <c r="K52" s="108"/>
      <c r="L52" s="110"/>
      <c r="M52" s="110"/>
      <c r="N52" s="110"/>
      <c r="O52" s="110"/>
      <c r="P52" s="110"/>
      <c r="Q52" s="110"/>
      <c r="R52" s="110"/>
      <c r="S52" s="110"/>
      <c r="T52" s="110"/>
      <c r="U52" s="20">
        <f t="shared" si="2"/>
        <v>0</v>
      </c>
      <c r="V52" s="99"/>
      <c r="X52" s="100">
        <f t="shared" si="1"/>
        <v>0</v>
      </c>
    </row>
    <row r="53" spans="2:24" ht="14.1" customHeight="1">
      <c r="B53" s="91">
        <v>49</v>
      </c>
      <c r="C53" s="74"/>
      <c r="D53" s="98"/>
      <c r="E53" s="114"/>
      <c r="F53" s="108"/>
      <c r="G53" s="108"/>
      <c r="H53" s="112"/>
      <c r="I53" s="108"/>
      <c r="J53" s="108"/>
      <c r="K53" s="108"/>
      <c r="L53" s="110"/>
      <c r="M53" s="110"/>
      <c r="N53" s="110"/>
      <c r="O53" s="110"/>
      <c r="P53" s="110"/>
      <c r="Q53" s="110"/>
      <c r="R53" s="110"/>
      <c r="S53" s="110"/>
      <c r="T53" s="110"/>
      <c r="U53" s="20">
        <f t="shared" si="2"/>
        <v>0</v>
      </c>
      <c r="V53" s="99"/>
      <c r="X53" s="100">
        <f t="shared" si="1"/>
        <v>0</v>
      </c>
    </row>
    <row r="54" spans="2:24" ht="14.1" customHeight="1">
      <c r="B54" s="91">
        <v>50</v>
      </c>
      <c r="C54" s="74"/>
      <c r="D54" s="98"/>
      <c r="E54" s="114"/>
      <c r="F54" s="108"/>
      <c r="G54" s="108"/>
      <c r="H54" s="112"/>
      <c r="I54" s="108"/>
      <c r="J54" s="108"/>
      <c r="K54" s="108"/>
      <c r="L54" s="110"/>
      <c r="M54" s="110"/>
      <c r="N54" s="110"/>
      <c r="O54" s="110"/>
      <c r="P54" s="110"/>
      <c r="Q54" s="110"/>
      <c r="R54" s="110"/>
      <c r="S54" s="110"/>
      <c r="T54" s="110"/>
      <c r="U54" s="20">
        <f t="shared" si="2"/>
        <v>0</v>
      </c>
      <c r="V54" s="99"/>
      <c r="X54" s="100">
        <f t="shared" si="1"/>
        <v>0</v>
      </c>
    </row>
    <row r="55" spans="2:24" ht="14.1" customHeight="1">
      <c r="B55" s="102"/>
      <c r="C55" s="102"/>
      <c r="D55" s="103" t="s">
        <v>3</v>
      </c>
      <c r="E55" s="104"/>
      <c r="F55" s="18">
        <f t="shared" ref="F55:T55" si="3">SUM(F5:F54)</f>
        <v>0</v>
      </c>
      <c r="G55" s="18">
        <f t="shared" si="3"/>
        <v>0</v>
      </c>
      <c r="H55" s="19">
        <f t="shared" si="3"/>
        <v>0</v>
      </c>
      <c r="I55" s="22">
        <f t="shared" si="3"/>
        <v>0</v>
      </c>
      <c r="J55" s="22">
        <f t="shared" si="3"/>
        <v>0</v>
      </c>
      <c r="K55" s="22">
        <f t="shared" si="3"/>
        <v>0</v>
      </c>
      <c r="L55" s="22">
        <f t="shared" si="3"/>
        <v>0</v>
      </c>
      <c r="M55" s="22">
        <f t="shared" si="3"/>
        <v>0</v>
      </c>
      <c r="N55" s="20">
        <f t="shared" si="3"/>
        <v>0</v>
      </c>
      <c r="O55" s="20">
        <f t="shared" si="3"/>
        <v>0</v>
      </c>
      <c r="P55" s="20">
        <f t="shared" si="3"/>
        <v>0</v>
      </c>
      <c r="Q55" s="20">
        <f t="shared" si="3"/>
        <v>0</v>
      </c>
      <c r="R55" s="22">
        <f t="shared" si="3"/>
        <v>0</v>
      </c>
      <c r="S55" s="22">
        <f t="shared" si="3"/>
        <v>0</v>
      </c>
      <c r="T55" s="22">
        <f t="shared" si="3"/>
        <v>0</v>
      </c>
      <c r="U55" s="22">
        <f t="shared" si="0"/>
        <v>0</v>
      </c>
      <c r="V55" s="99"/>
      <c r="X55" s="100"/>
    </row>
    <row r="56" spans="2:24" ht="14.1" customHeight="1">
      <c r="H56" s="76">
        <f t="shared" ref="H56:T56" si="4">COUNTA(H5:H54)</f>
        <v>0</v>
      </c>
      <c r="I56" s="76">
        <f t="shared" si="4"/>
        <v>0</v>
      </c>
      <c r="J56" s="76">
        <f t="shared" si="4"/>
        <v>0</v>
      </c>
      <c r="K56" s="76">
        <f t="shared" si="4"/>
        <v>0</v>
      </c>
      <c r="L56" s="76">
        <f t="shared" si="4"/>
        <v>0</v>
      </c>
      <c r="M56" s="76">
        <f t="shared" si="4"/>
        <v>0</v>
      </c>
      <c r="N56" s="76">
        <f t="shared" si="4"/>
        <v>0</v>
      </c>
      <c r="O56" s="76">
        <f t="shared" si="4"/>
        <v>0</v>
      </c>
      <c r="P56" s="76">
        <f t="shared" si="4"/>
        <v>0</v>
      </c>
      <c r="Q56" s="76">
        <f t="shared" si="4"/>
        <v>0</v>
      </c>
      <c r="R56" s="76">
        <f t="shared" si="4"/>
        <v>0</v>
      </c>
      <c r="S56" s="76">
        <f t="shared" si="4"/>
        <v>0</v>
      </c>
      <c r="T56" s="76">
        <f t="shared" si="4"/>
        <v>0</v>
      </c>
    </row>
    <row r="57" spans="2:24" ht="14.1" customHeight="1">
      <c r="F57" s="75"/>
      <c r="G57" s="75"/>
      <c r="H57" s="75"/>
      <c r="I57" s="75"/>
      <c r="J57" s="75"/>
      <c r="K57" s="105"/>
      <c r="L57" s="75"/>
      <c r="M57" s="105"/>
      <c r="N57" s="105"/>
      <c r="O57" s="105"/>
      <c r="P57" s="105"/>
      <c r="U57" s="75" t="s">
        <v>17</v>
      </c>
    </row>
    <row r="58" spans="2:24" ht="14.1" customHeight="1">
      <c r="F58" s="106"/>
      <c r="G58" s="106"/>
      <c r="H58" s="106"/>
      <c r="I58" s="106"/>
      <c r="J58" s="106"/>
      <c r="U58" s="106">
        <f>SUM(F58:T58)</f>
        <v>0</v>
      </c>
    </row>
  </sheetData>
  <sheetProtection sheet="1" objects="1" scenarios="1"/>
  <sortState ref="B5:AM36">
    <sortCondition ref="B5:B36"/>
  </sortState>
  <mergeCells count="3">
    <mergeCell ref="B2:J2"/>
    <mergeCell ref="L2:M2"/>
    <mergeCell ref="X2:Y2"/>
  </mergeCells>
  <phoneticPr fontId="1"/>
  <dataValidations count="1">
    <dataValidation imeMode="off" allowBlank="1" showInputMessage="1" sqref="F5:T54"/>
  </dataValidations>
  <pageMargins left="0.31496062992125984" right="0.11811023622047245" top="0.35433070866141736" bottom="0.15748031496062992" header="0.19685039370078741" footer="0.19685039370078741"/>
  <pageSetup paperSize="9" orientation="landscape"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tabColor rgb="FFFFFF00"/>
    <pageSetUpPr fitToPage="1"/>
  </sheetPr>
  <dimension ref="B1:AA476"/>
  <sheetViews>
    <sheetView zoomScaleNormal="100" workbookViewId="0">
      <selection activeCell="S15" sqref="S15:V15"/>
    </sheetView>
  </sheetViews>
  <sheetFormatPr defaultRowHeight="13.5"/>
  <cols>
    <col min="1" max="1" width="4.5" style="3" customWidth="1"/>
    <col min="2" max="2" width="2.75" style="3" customWidth="1"/>
    <col min="3" max="3" width="4" style="3" customWidth="1"/>
    <col min="4" max="5" width="5.625" style="3" customWidth="1"/>
    <col min="6" max="6" width="6.5" style="3" customWidth="1"/>
    <col min="7" max="7" width="3.125" style="3" customWidth="1"/>
    <col min="8" max="9" width="6.25" style="3" customWidth="1"/>
    <col min="10" max="10" width="3.625" style="3" customWidth="1"/>
    <col min="11" max="11" width="6.625" style="3" customWidth="1"/>
    <col min="12" max="12" width="2.625" style="3" customWidth="1"/>
    <col min="13" max="13" width="2.75" style="3" customWidth="1"/>
    <col min="14" max="14" width="4" style="3" customWidth="1"/>
    <col min="15" max="16" width="5.625" style="3" customWidth="1"/>
    <col min="17" max="17" width="6.5" style="3" customWidth="1"/>
    <col min="18" max="18" width="3.125" style="3" customWidth="1"/>
    <col min="19" max="20" width="6.25" style="3" customWidth="1"/>
    <col min="21" max="21" width="3.625" style="3" customWidth="1"/>
    <col min="22" max="22" width="5.5" style="3" customWidth="1"/>
    <col min="23" max="256" width="9" style="3"/>
    <col min="257" max="257" width="2" style="3" customWidth="1"/>
    <col min="258" max="258" width="2.75" style="3" customWidth="1"/>
    <col min="259" max="259" width="4" style="3" customWidth="1"/>
    <col min="260" max="261" width="5.625" style="3" customWidth="1"/>
    <col min="262" max="262" width="6.5" style="3" customWidth="1"/>
    <col min="263" max="263" width="3.125" style="3" customWidth="1"/>
    <col min="264" max="265" width="6.25" style="3" customWidth="1"/>
    <col min="266" max="266" width="3.625" style="3" customWidth="1"/>
    <col min="267" max="267" width="4.25" style="3" customWidth="1"/>
    <col min="268" max="268" width="2.25" style="3" customWidth="1"/>
    <col min="269" max="269" width="2.75" style="3" customWidth="1"/>
    <col min="270" max="270" width="4" style="3" customWidth="1"/>
    <col min="271" max="272" width="5.625" style="3" customWidth="1"/>
    <col min="273" max="273" width="6.5" style="3" customWidth="1"/>
    <col min="274" max="274" width="3.125" style="3" customWidth="1"/>
    <col min="275" max="276" width="6.25" style="3" customWidth="1"/>
    <col min="277" max="277" width="3.625" style="3" customWidth="1"/>
    <col min="278" max="278" width="2.25" style="3" customWidth="1"/>
    <col min="279" max="512" width="9" style="3"/>
    <col min="513" max="513" width="2" style="3" customWidth="1"/>
    <col min="514" max="514" width="2.75" style="3" customWidth="1"/>
    <col min="515" max="515" width="4" style="3" customWidth="1"/>
    <col min="516" max="517" width="5.625" style="3" customWidth="1"/>
    <col min="518" max="518" width="6.5" style="3" customWidth="1"/>
    <col min="519" max="519" width="3.125" style="3" customWidth="1"/>
    <col min="520" max="521" width="6.25" style="3" customWidth="1"/>
    <col min="522" max="522" width="3.625" style="3" customWidth="1"/>
    <col min="523" max="523" width="4.25" style="3" customWidth="1"/>
    <col min="524" max="524" width="2.25" style="3" customWidth="1"/>
    <col min="525" max="525" width="2.75" style="3" customWidth="1"/>
    <col min="526" max="526" width="4" style="3" customWidth="1"/>
    <col min="527" max="528" width="5.625" style="3" customWidth="1"/>
    <col min="529" max="529" width="6.5" style="3" customWidth="1"/>
    <col min="530" max="530" width="3.125" style="3" customWidth="1"/>
    <col min="531" max="532" width="6.25" style="3" customWidth="1"/>
    <col min="533" max="533" width="3.625" style="3" customWidth="1"/>
    <col min="534" max="534" width="2.25" style="3" customWidth="1"/>
    <col min="535" max="768" width="9" style="3"/>
    <col min="769" max="769" width="2" style="3" customWidth="1"/>
    <col min="770" max="770" width="2.75" style="3" customWidth="1"/>
    <col min="771" max="771" width="4" style="3" customWidth="1"/>
    <col min="772" max="773" width="5.625" style="3" customWidth="1"/>
    <col min="774" max="774" width="6.5" style="3" customWidth="1"/>
    <col min="775" max="775" width="3.125" style="3" customWidth="1"/>
    <col min="776" max="777" width="6.25" style="3" customWidth="1"/>
    <col min="778" max="778" width="3.625" style="3" customWidth="1"/>
    <col min="779" max="779" width="4.25" style="3" customWidth="1"/>
    <col min="780" max="780" width="2.25" style="3" customWidth="1"/>
    <col min="781" max="781" width="2.75" style="3" customWidth="1"/>
    <col min="782" max="782" width="4" style="3" customWidth="1"/>
    <col min="783" max="784" width="5.625" style="3" customWidth="1"/>
    <col min="785" max="785" width="6.5" style="3" customWidth="1"/>
    <col min="786" max="786" width="3.125" style="3" customWidth="1"/>
    <col min="787" max="788" width="6.25" style="3" customWidth="1"/>
    <col min="789" max="789" width="3.625" style="3" customWidth="1"/>
    <col min="790" max="790" width="2.25" style="3" customWidth="1"/>
    <col min="791" max="1024" width="9" style="3"/>
    <col min="1025" max="1025" width="2" style="3" customWidth="1"/>
    <col min="1026" max="1026" width="2.75" style="3" customWidth="1"/>
    <col min="1027" max="1027" width="4" style="3" customWidth="1"/>
    <col min="1028" max="1029" width="5.625" style="3" customWidth="1"/>
    <col min="1030" max="1030" width="6.5" style="3" customWidth="1"/>
    <col min="1031" max="1031" width="3.125" style="3" customWidth="1"/>
    <col min="1032" max="1033" width="6.25" style="3" customWidth="1"/>
    <col min="1034" max="1034" width="3.625" style="3" customWidth="1"/>
    <col min="1035" max="1035" width="4.25" style="3" customWidth="1"/>
    <col min="1036" max="1036" width="2.25" style="3" customWidth="1"/>
    <col min="1037" max="1037" width="2.75" style="3" customWidth="1"/>
    <col min="1038" max="1038" width="4" style="3" customWidth="1"/>
    <col min="1039" max="1040" width="5.625" style="3" customWidth="1"/>
    <col min="1041" max="1041" width="6.5" style="3" customWidth="1"/>
    <col min="1042" max="1042" width="3.125" style="3" customWidth="1"/>
    <col min="1043" max="1044" width="6.25" style="3" customWidth="1"/>
    <col min="1045" max="1045" width="3.625" style="3" customWidth="1"/>
    <col min="1046" max="1046" width="2.25" style="3" customWidth="1"/>
    <col min="1047" max="1280" width="9" style="3"/>
    <col min="1281" max="1281" width="2" style="3" customWidth="1"/>
    <col min="1282" max="1282" width="2.75" style="3" customWidth="1"/>
    <col min="1283" max="1283" width="4" style="3" customWidth="1"/>
    <col min="1284" max="1285" width="5.625" style="3" customWidth="1"/>
    <col min="1286" max="1286" width="6.5" style="3" customWidth="1"/>
    <col min="1287" max="1287" width="3.125" style="3" customWidth="1"/>
    <col min="1288" max="1289" width="6.25" style="3" customWidth="1"/>
    <col min="1290" max="1290" width="3.625" style="3" customWidth="1"/>
    <col min="1291" max="1291" width="4.25" style="3" customWidth="1"/>
    <col min="1292" max="1292" width="2.25" style="3" customWidth="1"/>
    <col min="1293" max="1293" width="2.75" style="3" customWidth="1"/>
    <col min="1294" max="1294" width="4" style="3" customWidth="1"/>
    <col min="1295" max="1296" width="5.625" style="3" customWidth="1"/>
    <col min="1297" max="1297" width="6.5" style="3" customWidth="1"/>
    <col min="1298" max="1298" width="3.125" style="3" customWidth="1"/>
    <col min="1299" max="1300" width="6.25" style="3" customWidth="1"/>
    <col min="1301" max="1301" width="3.625" style="3" customWidth="1"/>
    <col min="1302" max="1302" width="2.25" style="3" customWidth="1"/>
    <col min="1303" max="1536" width="9" style="3"/>
    <col min="1537" max="1537" width="2" style="3" customWidth="1"/>
    <col min="1538" max="1538" width="2.75" style="3" customWidth="1"/>
    <col min="1539" max="1539" width="4" style="3" customWidth="1"/>
    <col min="1540" max="1541" width="5.625" style="3" customWidth="1"/>
    <col min="1542" max="1542" width="6.5" style="3" customWidth="1"/>
    <col min="1543" max="1543" width="3.125" style="3" customWidth="1"/>
    <col min="1544" max="1545" width="6.25" style="3" customWidth="1"/>
    <col min="1546" max="1546" width="3.625" style="3" customWidth="1"/>
    <col min="1547" max="1547" width="4.25" style="3" customWidth="1"/>
    <col min="1548" max="1548" width="2.25" style="3" customWidth="1"/>
    <col min="1549" max="1549" width="2.75" style="3" customWidth="1"/>
    <col min="1550" max="1550" width="4" style="3" customWidth="1"/>
    <col min="1551" max="1552" width="5.625" style="3" customWidth="1"/>
    <col min="1553" max="1553" width="6.5" style="3" customWidth="1"/>
    <col min="1554" max="1554" width="3.125" style="3" customWidth="1"/>
    <col min="1555" max="1556" width="6.25" style="3" customWidth="1"/>
    <col min="1557" max="1557" width="3.625" style="3" customWidth="1"/>
    <col min="1558" max="1558" width="2.25" style="3" customWidth="1"/>
    <col min="1559" max="1792" width="9" style="3"/>
    <col min="1793" max="1793" width="2" style="3" customWidth="1"/>
    <col min="1794" max="1794" width="2.75" style="3" customWidth="1"/>
    <col min="1795" max="1795" width="4" style="3" customWidth="1"/>
    <col min="1796" max="1797" width="5.625" style="3" customWidth="1"/>
    <col min="1798" max="1798" width="6.5" style="3" customWidth="1"/>
    <col min="1799" max="1799" width="3.125" style="3" customWidth="1"/>
    <col min="1800" max="1801" width="6.25" style="3" customWidth="1"/>
    <col min="1802" max="1802" width="3.625" style="3" customWidth="1"/>
    <col min="1803" max="1803" width="4.25" style="3" customWidth="1"/>
    <col min="1804" max="1804" width="2.25" style="3" customWidth="1"/>
    <col min="1805" max="1805" width="2.75" style="3" customWidth="1"/>
    <col min="1806" max="1806" width="4" style="3" customWidth="1"/>
    <col min="1807" max="1808" width="5.625" style="3" customWidth="1"/>
    <col min="1809" max="1809" width="6.5" style="3" customWidth="1"/>
    <col min="1810" max="1810" width="3.125" style="3" customWidth="1"/>
    <col min="1811" max="1812" width="6.25" style="3" customWidth="1"/>
    <col min="1813" max="1813" width="3.625" style="3" customWidth="1"/>
    <col min="1814" max="1814" width="2.25" style="3" customWidth="1"/>
    <col min="1815" max="2048" width="9" style="3"/>
    <col min="2049" max="2049" width="2" style="3" customWidth="1"/>
    <col min="2050" max="2050" width="2.75" style="3" customWidth="1"/>
    <col min="2051" max="2051" width="4" style="3" customWidth="1"/>
    <col min="2052" max="2053" width="5.625" style="3" customWidth="1"/>
    <col min="2054" max="2054" width="6.5" style="3" customWidth="1"/>
    <col min="2055" max="2055" width="3.125" style="3" customWidth="1"/>
    <col min="2056" max="2057" width="6.25" style="3" customWidth="1"/>
    <col min="2058" max="2058" width="3.625" style="3" customWidth="1"/>
    <col min="2059" max="2059" width="4.25" style="3" customWidth="1"/>
    <col min="2060" max="2060" width="2.25" style="3" customWidth="1"/>
    <col min="2061" max="2061" width="2.75" style="3" customWidth="1"/>
    <col min="2062" max="2062" width="4" style="3" customWidth="1"/>
    <col min="2063" max="2064" width="5.625" style="3" customWidth="1"/>
    <col min="2065" max="2065" width="6.5" style="3" customWidth="1"/>
    <col min="2066" max="2066" width="3.125" style="3" customWidth="1"/>
    <col min="2067" max="2068" width="6.25" style="3" customWidth="1"/>
    <col min="2069" max="2069" width="3.625" style="3" customWidth="1"/>
    <col min="2070" max="2070" width="2.25" style="3" customWidth="1"/>
    <col min="2071" max="2304" width="9" style="3"/>
    <col min="2305" max="2305" width="2" style="3" customWidth="1"/>
    <col min="2306" max="2306" width="2.75" style="3" customWidth="1"/>
    <col min="2307" max="2307" width="4" style="3" customWidth="1"/>
    <col min="2308" max="2309" width="5.625" style="3" customWidth="1"/>
    <col min="2310" max="2310" width="6.5" style="3" customWidth="1"/>
    <col min="2311" max="2311" width="3.125" style="3" customWidth="1"/>
    <col min="2312" max="2313" width="6.25" style="3" customWidth="1"/>
    <col min="2314" max="2314" width="3.625" style="3" customWidth="1"/>
    <col min="2315" max="2315" width="4.25" style="3" customWidth="1"/>
    <col min="2316" max="2316" width="2.25" style="3" customWidth="1"/>
    <col min="2317" max="2317" width="2.75" style="3" customWidth="1"/>
    <col min="2318" max="2318" width="4" style="3" customWidth="1"/>
    <col min="2319" max="2320" width="5.625" style="3" customWidth="1"/>
    <col min="2321" max="2321" width="6.5" style="3" customWidth="1"/>
    <col min="2322" max="2322" width="3.125" style="3" customWidth="1"/>
    <col min="2323" max="2324" width="6.25" style="3" customWidth="1"/>
    <col min="2325" max="2325" width="3.625" style="3" customWidth="1"/>
    <col min="2326" max="2326" width="2.25" style="3" customWidth="1"/>
    <col min="2327" max="2560" width="9" style="3"/>
    <col min="2561" max="2561" width="2" style="3" customWidth="1"/>
    <col min="2562" max="2562" width="2.75" style="3" customWidth="1"/>
    <col min="2563" max="2563" width="4" style="3" customWidth="1"/>
    <col min="2564" max="2565" width="5.625" style="3" customWidth="1"/>
    <col min="2566" max="2566" width="6.5" style="3" customWidth="1"/>
    <col min="2567" max="2567" width="3.125" style="3" customWidth="1"/>
    <col min="2568" max="2569" width="6.25" style="3" customWidth="1"/>
    <col min="2570" max="2570" width="3.625" style="3" customWidth="1"/>
    <col min="2571" max="2571" width="4.25" style="3" customWidth="1"/>
    <col min="2572" max="2572" width="2.25" style="3" customWidth="1"/>
    <col min="2573" max="2573" width="2.75" style="3" customWidth="1"/>
    <col min="2574" max="2574" width="4" style="3" customWidth="1"/>
    <col min="2575" max="2576" width="5.625" style="3" customWidth="1"/>
    <col min="2577" max="2577" width="6.5" style="3" customWidth="1"/>
    <col min="2578" max="2578" width="3.125" style="3" customWidth="1"/>
    <col min="2579" max="2580" width="6.25" style="3" customWidth="1"/>
    <col min="2581" max="2581" width="3.625" style="3" customWidth="1"/>
    <col min="2582" max="2582" width="2.25" style="3" customWidth="1"/>
    <col min="2583" max="2816" width="9" style="3"/>
    <col min="2817" max="2817" width="2" style="3" customWidth="1"/>
    <col min="2818" max="2818" width="2.75" style="3" customWidth="1"/>
    <col min="2819" max="2819" width="4" style="3" customWidth="1"/>
    <col min="2820" max="2821" width="5.625" style="3" customWidth="1"/>
    <col min="2822" max="2822" width="6.5" style="3" customWidth="1"/>
    <col min="2823" max="2823" width="3.125" style="3" customWidth="1"/>
    <col min="2824" max="2825" width="6.25" style="3" customWidth="1"/>
    <col min="2826" max="2826" width="3.625" style="3" customWidth="1"/>
    <col min="2827" max="2827" width="4.25" style="3" customWidth="1"/>
    <col min="2828" max="2828" width="2.25" style="3" customWidth="1"/>
    <col min="2829" max="2829" width="2.75" style="3" customWidth="1"/>
    <col min="2830" max="2830" width="4" style="3" customWidth="1"/>
    <col min="2831" max="2832" width="5.625" style="3" customWidth="1"/>
    <col min="2833" max="2833" width="6.5" style="3" customWidth="1"/>
    <col min="2834" max="2834" width="3.125" style="3" customWidth="1"/>
    <col min="2835" max="2836" width="6.25" style="3" customWidth="1"/>
    <col min="2837" max="2837" width="3.625" style="3" customWidth="1"/>
    <col min="2838" max="2838" width="2.25" style="3" customWidth="1"/>
    <col min="2839" max="3072" width="9" style="3"/>
    <col min="3073" max="3073" width="2" style="3" customWidth="1"/>
    <col min="3074" max="3074" width="2.75" style="3" customWidth="1"/>
    <col min="3075" max="3075" width="4" style="3" customWidth="1"/>
    <col min="3076" max="3077" width="5.625" style="3" customWidth="1"/>
    <col min="3078" max="3078" width="6.5" style="3" customWidth="1"/>
    <col min="3079" max="3079" width="3.125" style="3" customWidth="1"/>
    <col min="3080" max="3081" width="6.25" style="3" customWidth="1"/>
    <col min="3082" max="3082" width="3.625" style="3" customWidth="1"/>
    <col min="3083" max="3083" width="4.25" style="3" customWidth="1"/>
    <col min="3084" max="3084" width="2.25" style="3" customWidth="1"/>
    <col min="3085" max="3085" width="2.75" style="3" customWidth="1"/>
    <col min="3086" max="3086" width="4" style="3" customWidth="1"/>
    <col min="3087" max="3088" width="5.625" style="3" customWidth="1"/>
    <col min="3089" max="3089" width="6.5" style="3" customWidth="1"/>
    <col min="3090" max="3090" width="3.125" style="3" customWidth="1"/>
    <col min="3091" max="3092" width="6.25" style="3" customWidth="1"/>
    <col min="3093" max="3093" width="3.625" style="3" customWidth="1"/>
    <col min="3094" max="3094" width="2.25" style="3" customWidth="1"/>
    <col min="3095" max="3328" width="9" style="3"/>
    <col min="3329" max="3329" width="2" style="3" customWidth="1"/>
    <col min="3330" max="3330" width="2.75" style="3" customWidth="1"/>
    <col min="3331" max="3331" width="4" style="3" customWidth="1"/>
    <col min="3332" max="3333" width="5.625" style="3" customWidth="1"/>
    <col min="3334" max="3334" width="6.5" style="3" customWidth="1"/>
    <col min="3335" max="3335" width="3.125" style="3" customWidth="1"/>
    <col min="3336" max="3337" width="6.25" style="3" customWidth="1"/>
    <col min="3338" max="3338" width="3.625" style="3" customWidth="1"/>
    <col min="3339" max="3339" width="4.25" style="3" customWidth="1"/>
    <col min="3340" max="3340" width="2.25" style="3" customWidth="1"/>
    <col min="3341" max="3341" width="2.75" style="3" customWidth="1"/>
    <col min="3342" max="3342" width="4" style="3" customWidth="1"/>
    <col min="3343" max="3344" width="5.625" style="3" customWidth="1"/>
    <col min="3345" max="3345" width="6.5" style="3" customWidth="1"/>
    <col min="3346" max="3346" width="3.125" style="3" customWidth="1"/>
    <col min="3347" max="3348" width="6.25" style="3" customWidth="1"/>
    <col min="3349" max="3349" width="3.625" style="3" customWidth="1"/>
    <col min="3350" max="3350" width="2.25" style="3" customWidth="1"/>
    <col min="3351" max="3584" width="9" style="3"/>
    <col min="3585" max="3585" width="2" style="3" customWidth="1"/>
    <col min="3586" max="3586" width="2.75" style="3" customWidth="1"/>
    <col min="3587" max="3587" width="4" style="3" customWidth="1"/>
    <col min="3588" max="3589" width="5.625" style="3" customWidth="1"/>
    <col min="3590" max="3590" width="6.5" style="3" customWidth="1"/>
    <col min="3591" max="3591" width="3.125" style="3" customWidth="1"/>
    <col min="3592" max="3593" width="6.25" style="3" customWidth="1"/>
    <col min="3594" max="3594" width="3.625" style="3" customWidth="1"/>
    <col min="3595" max="3595" width="4.25" style="3" customWidth="1"/>
    <col min="3596" max="3596" width="2.25" style="3" customWidth="1"/>
    <col min="3597" max="3597" width="2.75" style="3" customWidth="1"/>
    <col min="3598" max="3598" width="4" style="3" customWidth="1"/>
    <col min="3599" max="3600" width="5.625" style="3" customWidth="1"/>
    <col min="3601" max="3601" width="6.5" style="3" customWidth="1"/>
    <col min="3602" max="3602" width="3.125" style="3" customWidth="1"/>
    <col min="3603" max="3604" width="6.25" style="3" customWidth="1"/>
    <col min="3605" max="3605" width="3.625" style="3" customWidth="1"/>
    <col min="3606" max="3606" width="2.25" style="3" customWidth="1"/>
    <col min="3607" max="3840" width="9" style="3"/>
    <col min="3841" max="3841" width="2" style="3" customWidth="1"/>
    <col min="3842" max="3842" width="2.75" style="3" customWidth="1"/>
    <col min="3843" max="3843" width="4" style="3" customWidth="1"/>
    <col min="3844" max="3845" width="5.625" style="3" customWidth="1"/>
    <col min="3846" max="3846" width="6.5" style="3" customWidth="1"/>
    <col min="3847" max="3847" width="3.125" style="3" customWidth="1"/>
    <col min="3848" max="3849" width="6.25" style="3" customWidth="1"/>
    <col min="3850" max="3850" width="3.625" style="3" customWidth="1"/>
    <col min="3851" max="3851" width="4.25" style="3" customWidth="1"/>
    <col min="3852" max="3852" width="2.25" style="3" customWidth="1"/>
    <col min="3853" max="3853" width="2.75" style="3" customWidth="1"/>
    <col min="3854" max="3854" width="4" style="3" customWidth="1"/>
    <col min="3855" max="3856" width="5.625" style="3" customWidth="1"/>
    <col min="3857" max="3857" width="6.5" style="3" customWidth="1"/>
    <col min="3858" max="3858" width="3.125" style="3" customWidth="1"/>
    <col min="3859" max="3860" width="6.25" style="3" customWidth="1"/>
    <col min="3861" max="3861" width="3.625" style="3" customWidth="1"/>
    <col min="3862" max="3862" width="2.25" style="3" customWidth="1"/>
    <col min="3863" max="4096" width="9" style="3"/>
    <col min="4097" max="4097" width="2" style="3" customWidth="1"/>
    <col min="4098" max="4098" width="2.75" style="3" customWidth="1"/>
    <col min="4099" max="4099" width="4" style="3" customWidth="1"/>
    <col min="4100" max="4101" width="5.625" style="3" customWidth="1"/>
    <col min="4102" max="4102" width="6.5" style="3" customWidth="1"/>
    <col min="4103" max="4103" width="3.125" style="3" customWidth="1"/>
    <col min="4104" max="4105" width="6.25" style="3" customWidth="1"/>
    <col min="4106" max="4106" width="3.625" style="3" customWidth="1"/>
    <col min="4107" max="4107" width="4.25" style="3" customWidth="1"/>
    <col min="4108" max="4108" width="2.25" style="3" customWidth="1"/>
    <col min="4109" max="4109" width="2.75" style="3" customWidth="1"/>
    <col min="4110" max="4110" width="4" style="3" customWidth="1"/>
    <col min="4111" max="4112" width="5.625" style="3" customWidth="1"/>
    <col min="4113" max="4113" width="6.5" style="3" customWidth="1"/>
    <col min="4114" max="4114" width="3.125" style="3" customWidth="1"/>
    <col min="4115" max="4116" width="6.25" style="3" customWidth="1"/>
    <col min="4117" max="4117" width="3.625" style="3" customWidth="1"/>
    <col min="4118" max="4118" width="2.25" style="3" customWidth="1"/>
    <col min="4119" max="4352" width="9" style="3"/>
    <col min="4353" max="4353" width="2" style="3" customWidth="1"/>
    <col min="4354" max="4354" width="2.75" style="3" customWidth="1"/>
    <col min="4355" max="4355" width="4" style="3" customWidth="1"/>
    <col min="4356" max="4357" width="5.625" style="3" customWidth="1"/>
    <col min="4358" max="4358" width="6.5" style="3" customWidth="1"/>
    <col min="4359" max="4359" width="3.125" style="3" customWidth="1"/>
    <col min="4360" max="4361" width="6.25" style="3" customWidth="1"/>
    <col min="4362" max="4362" width="3.625" style="3" customWidth="1"/>
    <col min="4363" max="4363" width="4.25" style="3" customWidth="1"/>
    <col min="4364" max="4364" width="2.25" style="3" customWidth="1"/>
    <col min="4365" max="4365" width="2.75" style="3" customWidth="1"/>
    <col min="4366" max="4366" width="4" style="3" customWidth="1"/>
    <col min="4367" max="4368" width="5.625" style="3" customWidth="1"/>
    <col min="4369" max="4369" width="6.5" style="3" customWidth="1"/>
    <col min="4370" max="4370" width="3.125" style="3" customWidth="1"/>
    <col min="4371" max="4372" width="6.25" style="3" customWidth="1"/>
    <col min="4373" max="4373" width="3.625" style="3" customWidth="1"/>
    <col min="4374" max="4374" width="2.25" style="3" customWidth="1"/>
    <col min="4375" max="4608" width="9" style="3"/>
    <col min="4609" max="4609" width="2" style="3" customWidth="1"/>
    <col min="4610" max="4610" width="2.75" style="3" customWidth="1"/>
    <col min="4611" max="4611" width="4" style="3" customWidth="1"/>
    <col min="4612" max="4613" width="5.625" style="3" customWidth="1"/>
    <col min="4614" max="4614" width="6.5" style="3" customWidth="1"/>
    <col min="4615" max="4615" width="3.125" style="3" customWidth="1"/>
    <col min="4616" max="4617" width="6.25" style="3" customWidth="1"/>
    <col min="4618" max="4618" width="3.625" style="3" customWidth="1"/>
    <col min="4619" max="4619" width="4.25" style="3" customWidth="1"/>
    <col min="4620" max="4620" width="2.25" style="3" customWidth="1"/>
    <col min="4621" max="4621" width="2.75" style="3" customWidth="1"/>
    <col min="4622" max="4622" width="4" style="3" customWidth="1"/>
    <col min="4623" max="4624" width="5.625" style="3" customWidth="1"/>
    <col min="4625" max="4625" width="6.5" style="3" customWidth="1"/>
    <col min="4626" max="4626" width="3.125" style="3" customWidth="1"/>
    <col min="4627" max="4628" width="6.25" style="3" customWidth="1"/>
    <col min="4629" max="4629" width="3.625" style="3" customWidth="1"/>
    <col min="4630" max="4630" width="2.25" style="3" customWidth="1"/>
    <col min="4631" max="4864" width="9" style="3"/>
    <col min="4865" max="4865" width="2" style="3" customWidth="1"/>
    <col min="4866" max="4866" width="2.75" style="3" customWidth="1"/>
    <col min="4867" max="4867" width="4" style="3" customWidth="1"/>
    <col min="4868" max="4869" width="5.625" style="3" customWidth="1"/>
    <col min="4870" max="4870" width="6.5" style="3" customWidth="1"/>
    <col min="4871" max="4871" width="3.125" style="3" customWidth="1"/>
    <col min="4872" max="4873" width="6.25" style="3" customWidth="1"/>
    <col min="4874" max="4874" width="3.625" style="3" customWidth="1"/>
    <col min="4875" max="4875" width="4.25" style="3" customWidth="1"/>
    <col min="4876" max="4876" width="2.25" style="3" customWidth="1"/>
    <col min="4877" max="4877" width="2.75" style="3" customWidth="1"/>
    <col min="4878" max="4878" width="4" style="3" customWidth="1"/>
    <col min="4879" max="4880" width="5.625" style="3" customWidth="1"/>
    <col min="4881" max="4881" width="6.5" style="3" customWidth="1"/>
    <col min="4882" max="4882" width="3.125" style="3" customWidth="1"/>
    <col min="4883" max="4884" width="6.25" style="3" customWidth="1"/>
    <col min="4885" max="4885" width="3.625" style="3" customWidth="1"/>
    <col min="4886" max="4886" width="2.25" style="3" customWidth="1"/>
    <col min="4887" max="5120" width="9" style="3"/>
    <col min="5121" max="5121" width="2" style="3" customWidth="1"/>
    <col min="5122" max="5122" width="2.75" style="3" customWidth="1"/>
    <col min="5123" max="5123" width="4" style="3" customWidth="1"/>
    <col min="5124" max="5125" width="5.625" style="3" customWidth="1"/>
    <col min="5126" max="5126" width="6.5" style="3" customWidth="1"/>
    <col min="5127" max="5127" width="3.125" style="3" customWidth="1"/>
    <col min="5128" max="5129" width="6.25" style="3" customWidth="1"/>
    <col min="5130" max="5130" width="3.625" style="3" customWidth="1"/>
    <col min="5131" max="5131" width="4.25" style="3" customWidth="1"/>
    <col min="5132" max="5132" width="2.25" style="3" customWidth="1"/>
    <col min="5133" max="5133" width="2.75" style="3" customWidth="1"/>
    <col min="5134" max="5134" width="4" style="3" customWidth="1"/>
    <col min="5135" max="5136" width="5.625" style="3" customWidth="1"/>
    <col min="5137" max="5137" width="6.5" style="3" customWidth="1"/>
    <col min="5138" max="5138" width="3.125" style="3" customWidth="1"/>
    <col min="5139" max="5140" width="6.25" style="3" customWidth="1"/>
    <col min="5141" max="5141" width="3.625" style="3" customWidth="1"/>
    <col min="5142" max="5142" width="2.25" style="3" customWidth="1"/>
    <col min="5143" max="5376" width="9" style="3"/>
    <col min="5377" max="5377" width="2" style="3" customWidth="1"/>
    <col min="5378" max="5378" width="2.75" style="3" customWidth="1"/>
    <col min="5379" max="5379" width="4" style="3" customWidth="1"/>
    <col min="5380" max="5381" width="5.625" style="3" customWidth="1"/>
    <col min="5382" max="5382" width="6.5" style="3" customWidth="1"/>
    <col min="5383" max="5383" width="3.125" style="3" customWidth="1"/>
    <col min="5384" max="5385" width="6.25" style="3" customWidth="1"/>
    <col min="5386" max="5386" width="3.625" style="3" customWidth="1"/>
    <col min="5387" max="5387" width="4.25" style="3" customWidth="1"/>
    <col min="5388" max="5388" width="2.25" style="3" customWidth="1"/>
    <col min="5389" max="5389" width="2.75" style="3" customWidth="1"/>
    <col min="5390" max="5390" width="4" style="3" customWidth="1"/>
    <col min="5391" max="5392" width="5.625" style="3" customWidth="1"/>
    <col min="5393" max="5393" width="6.5" style="3" customWidth="1"/>
    <col min="5394" max="5394" width="3.125" style="3" customWidth="1"/>
    <col min="5395" max="5396" width="6.25" style="3" customWidth="1"/>
    <col min="5397" max="5397" width="3.625" style="3" customWidth="1"/>
    <col min="5398" max="5398" width="2.25" style="3" customWidth="1"/>
    <col min="5399" max="5632" width="9" style="3"/>
    <col min="5633" max="5633" width="2" style="3" customWidth="1"/>
    <col min="5634" max="5634" width="2.75" style="3" customWidth="1"/>
    <col min="5635" max="5635" width="4" style="3" customWidth="1"/>
    <col min="5636" max="5637" width="5.625" style="3" customWidth="1"/>
    <col min="5638" max="5638" width="6.5" style="3" customWidth="1"/>
    <col min="5639" max="5639" width="3.125" style="3" customWidth="1"/>
    <col min="5640" max="5641" width="6.25" style="3" customWidth="1"/>
    <col min="5642" max="5642" width="3.625" style="3" customWidth="1"/>
    <col min="5643" max="5643" width="4.25" style="3" customWidth="1"/>
    <col min="5644" max="5644" width="2.25" style="3" customWidth="1"/>
    <col min="5645" max="5645" width="2.75" style="3" customWidth="1"/>
    <col min="5646" max="5646" width="4" style="3" customWidth="1"/>
    <col min="5647" max="5648" width="5.625" style="3" customWidth="1"/>
    <col min="5649" max="5649" width="6.5" style="3" customWidth="1"/>
    <col min="5650" max="5650" width="3.125" style="3" customWidth="1"/>
    <col min="5651" max="5652" width="6.25" style="3" customWidth="1"/>
    <col min="5653" max="5653" width="3.625" style="3" customWidth="1"/>
    <col min="5654" max="5654" width="2.25" style="3" customWidth="1"/>
    <col min="5655" max="5888" width="9" style="3"/>
    <col min="5889" max="5889" width="2" style="3" customWidth="1"/>
    <col min="5890" max="5890" width="2.75" style="3" customWidth="1"/>
    <col min="5891" max="5891" width="4" style="3" customWidth="1"/>
    <col min="5892" max="5893" width="5.625" style="3" customWidth="1"/>
    <col min="5894" max="5894" width="6.5" style="3" customWidth="1"/>
    <col min="5895" max="5895" width="3.125" style="3" customWidth="1"/>
    <col min="5896" max="5897" width="6.25" style="3" customWidth="1"/>
    <col min="5898" max="5898" width="3.625" style="3" customWidth="1"/>
    <col min="5899" max="5899" width="4.25" style="3" customWidth="1"/>
    <col min="5900" max="5900" width="2.25" style="3" customWidth="1"/>
    <col min="5901" max="5901" width="2.75" style="3" customWidth="1"/>
    <col min="5902" max="5902" width="4" style="3" customWidth="1"/>
    <col min="5903" max="5904" width="5.625" style="3" customWidth="1"/>
    <col min="5905" max="5905" width="6.5" style="3" customWidth="1"/>
    <col min="5906" max="5906" width="3.125" style="3" customWidth="1"/>
    <col min="5907" max="5908" width="6.25" style="3" customWidth="1"/>
    <col min="5909" max="5909" width="3.625" style="3" customWidth="1"/>
    <col min="5910" max="5910" width="2.25" style="3" customWidth="1"/>
    <col min="5911" max="6144" width="9" style="3"/>
    <col min="6145" max="6145" width="2" style="3" customWidth="1"/>
    <col min="6146" max="6146" width="2.75" style="3" customWidth="1"/>
    <col min="6147" max="6147" width="4" style="3" customWidth="1"/>
    <col min="6148" max="6149" width="5.625" style="3" customWidth="1"/>
    <col min="6150" max="6150" width="6.5" style="3" customWidth="1"/>
    <col min="6151" max="6151" width="3.125" style="3" customWidth="1"/>
    <col min="6152" max="6153" width="6.25" style="3" customWidth="1"/>
    <col min="6154" max="6154" width="3.625" style="3" customWidth="1"/>
    <col min="6155" max="6155" width="4.25" style="3" customWidth="1"/>
    <col min="6156" max="6156" width="2.25" style="3" customWidth="1"/>
    <col min="6157" max="6157" width="2.75" style="3" customWidth="1"/>
    <col min="6158" max="6158" width="4" style="3" customWidth="1"/>
    <col min="6159" max="6160" width="5.625" style="3" customWidth="1"/>
    <col min="6161" max="6161" width="6.5" style="3" customWidth="1"/>
    <col min="6162" max="6162" width="3.125" style="3" customWidth="1"/>
    <col min="6163" max="6164" width="6.25" style="3" customWidth="1"/>
    <col min="6165" max="6165" width="3.625" style="3" customWidth="1"/>
    <col min="6166" max="6166" width="2.25" style="3" customWidth="1"/>
    <col min="6167" max="6400" width="9" style="3"/>
    <col min="6401" max="6401" width="2" style="3" customWidth="1"/>
    <col min="6402" max="6402" width="2.75" style="3" customWidth="1"/>
    <col min="6403" max="6403" width="4" style="3" customWidth="1"/>
    <col min="6404" max="6405" width="5.625" style="3" customWidth="1"/>
    <col min="6406" max="6406" width="6.5" style="3" customWidth="1"/>
    <col min="6407" max="6407" width="3.125" style="3" customWidth="1"/>
    <col min="6408" max="6409" width="6.25" style="3" customWidth="1"/>
    <col min="6410" max="6410" width="3.625" style="3" customWidth="1"/>
    <col min="6411" max="6411" width="4.25" style="3" customWidth="1"/>
    <col min="6412" max="6412" width="2.25" style="3" customWidth="1"/>
    <col min="6413" max="6413" width="2.75" style="3" customWidth="1"/>
    <col min="6414" max="6414" width="4" style="3" customWidth="1"/>
    <col min="6415" max="6416" width="5.625" style="3" customWidth="1"/>
    <col min="6417" max="6417" width="6.5" style="3" customWidth="1"/>
    <col min="6418" max="6418" width="3.125" style="3" customWidth="1"/>
    <col min="6419" max="6420" width="6.25" style="3" customWidth="1"/>
    <col min="6421" max="6421" width="3.625" style="3" customWidth="1"/>
    <col min="6422" max="6422" width="2.25" style="3" customWidth="1"/>
    <col min="6423" max="6656" width="9" style="3"/>
    <col min="6657" max="6657" width="2" style="3" customWidth="1"/>
    <col min="6658" max="6658" width="2.75" style="3" customWidth="1"/>
    <col min="6659" max="6659" width="4" style="3" customWidth="1"/>
    <col min="6660" max="6661" width="5.625" style="3" customWidth="1"/>
    <col min="6662" max="6662" width="6.5" style="3" customWidth="1"/>
    <col min="6663" max="6663" width="3.125" style="3" customWidth="1"/>
    <col min="6664" max="6665" width="6.25" style="3" customWidth="1"/>
    <col min="6666" max="6666" width="3.625" style="3" customWidth="1"/>
    <col min="6667" max="6667" width="4.25" style="3" customWidth="1"/>
    <col min="6668" max="6668" width="2.25" style="3" customWidth="1"/>
    <col min="6669" max="6669" width="2.75" style="3" customWidth="1"/>
    <col min="6670" max="6670" width="4" style="3" customWidth="1"/>
    <col min="6671" max="6672" width="5.625" style="3" customWidth="1"/>
    <col min="6673" max="6673" width="6.5" style="3" customWidth="1"/>
    <col min="6674" max="6674" width="3.125" style="3" customWidth="1"/>
    <col min="6675" max="6676" width="6.25" style="3" customWidth="1"/>
    <col min="6677" max="6677" width="3.625" style="3" customWidth="1"/>
    <col min="6678" max="6678" width="2.25" style="3" customWidth="1"/>
    <col min="6679" max="6912" width="9" style="3"/>
    <col min="6913" max="6913" width="2" style="3" customWidth="1"/>
    <col min="6914" max="6914" width="2.75" style="3" customWidth="1"/>
    <col min="6915" max="6915" width="4" style="3" customWidth="1"/>
    <col min="6916" max="6917" width="5.625" style="3" customWidth="1"/>
    <col min="6918" max="6918" width="6.5" style="3" customWidth="1"/>
    <col min="6919" max="6919" width="3.125" style="3" customWidth="1"/>
    <col min="6920" max="6921" width="6.25" style="3" customWidth="1"/>
    <col min="6922" max="6922" width="3.625" style="3" customWidth="1"/>
    <col min="6923" max="6923" width="4.25" style="3" customWidth="1"/>
    <col min="6924" max="6924" width="2.25" style="3" customWidth="1"/>
    <col min="6925" max="6925" width="2.75" style="3" customWidth="1"/>
    <col min="6926" max="6926" width="4" style="3" customWidth="1"/>
    <col min="6927" max="6928" width="5.625" style="3" customWidth="1"/>
    <col min="6929" max="6929" width="6.5" style="3" customWidth="1"/>
    <col min="6930" max="6930" width="3.125" style="3" customWidth="1"/>
    <col min="6931" max="6932" width="6.25" style="3" customWidth="1"/>
    <col min="6933" max="6933" width="3.625" style="3" customWidth="1"/>
    <col min="6934" max="6934" width="2.25" style="3" customWidth="1"/>
    <col min="6935" max="7168" width="9" style="3"/>
    <col min="7169" max="7169" width="2" style="3" customWidth="1"/>
    <col min="7170" max="7170" width="2.75" style="3" customWidth="1"/>
    <col min="7171" max="7171" width="4" style="3" customWidth="1"/>
    <col min="7172" max="7173" width="5.625" style="3" customWidth="1"/>
    <col min="7174" max="7174" width="6.5" style="3" customWidth="1"/>
    <col min="7175" max="7175" width="3.125" style="3" customWidth="1"/>
    <col min="7176" max="7177" width="6.25" style="3" customWidth="1"/>
    <col min="7178" max="7178" width="3.625" style="3" customWidth="1"/>
    <col min="7179" max="7179" width="4.25" style="3" customWidth="1"/>
    <col min="7180" max="7180" width="2.25" style="3" customWidth="1"/>
    <col min="7181" max="7181" width="2.75" style="3" customWidth="1"/>
    <col min="7182" max="7182" width="4" style="3" customWidth="1"/>
    <col min="7183" max="7184" width="5.625" style="3" customWidth="1"/>
    <col min="7185" max="7185" width="6.5" style="3" customWidth="1"/>
    <col min="7186" max="7186" width="3.125" style="3" customWidth="1"/>
    <col min="7187" max="7188" width="6.25" style="3" customWidth="1"/>
    <col min="7189" max="7189" width="3.625" style="3" customWidth="1"/>
    <col min="7190" max="7190" width="2.25" style="3" customWidth="1"/>
    <col min="7191" max="7424" width="9" style="3"/>
    <col min="7425" max="7425" width="2" style="3" customWidth="1"/>
    <col min="7426" max="7426" width="2.75" style="3" customWidth="1"/>
    <col min="7427" max="7427" width="4" style="3" customWidth="1"/>
    <col min="7428" max="7429" width="5.625" style="3" customWidth="1"/>
    <col min="7430" max="7430" width="6.5" style="3" customWidth="1"/>
    <col min="7431" max="7431" width="3.125" style="3" customWidth="1"/>
    <col min="7432" max="7433" width="6.25" style="3" customWidth="1"/>
    <col min="7434" max="7434" width="3.625" style="3" customWidth="1"/>
    <col min="7435" max="7435" width="4.25" style="3" customWidth="1"/>
    <col min="7436" max="7436" width="2.25" style="3" customWidth="1"/>
    <col min="7437" max="7437" width="2.75" style="3" customWidth="1"/>
    <col min="7438" max="7438" width="4" style="3" customWidth="1"/>
    <col min="7439" max="7440" width="5.625" style="3" customWidth="1"/>
    <col min="7441" max="7441" width="6.5" style="3" customWidth="1"/>
    <col min="7442" max="7442" width="3.125" style="3" customWidth="1"/>
    <col min="7443" max="7444" width="6.25" style="3" customWidth="1"/>
    <col min="7445" max="7445" width="3.625" style="3" customWidth="1"/>
    <col min="7446" max="7446" width="2.25" style="3" customWidth="1"/>
    <col min="7447" max="7680" width="9" style="3"/>
    <col min="7681" max="7681" width="2" style="3" customWidth="1"/>
    <col min="7682" max="7682" width="2.75" style="3" customWidth="1"/>
    <col min="7683" max="7683" width="4" style="3" customWidth="1"/>
    <col min="7684" max="7685" width="5.625" style="3" customWidth="1"/>
    <col min="7686" max="7686" width="6.5" style="3" customWidth="1"/>
    <col min="7687" max="7687" width="3.125" style="3" customWidth="1"/>
    <col min="7688" max="7689" width="6.25" style="3" customWidth="1"/>
    <col min="7690" max="7690" width="3.625" style="3" customWidth="1"/>
    <col min="7691" max="7691" width="4.25" style="3" customWidth="1"/>
    <col min="7692" max="7692" width="2.25" style="3" customWidth="1"/>
    <col min="7693" max="7693" width="2.75" style="3" customWidth="1"/>
    <col min="7694" max="7694" width="4" style="3" customWidth="1"/>
    <col min="7695" max="7696" width="5.625" style="3" customWidth="1"/>
    <col min="7697" max="7697" width="6.5" style="3" customWidth="1"/>
    <col min="7698" max="7698" width="3.125" style="3" customWidth="1"/>
    <col min="7699" max="7700" width="6.25" style="3" customWidth="1"/>
    <col min="7701" max="7701" width="3.625" style="3" customWidth="1"/>
    <col min="7702" max="7702" width="2.25" style="3" customWidth="1"/>
    <col min="7703" max="7936" width="9" style="3"/>
    <col min="7937" max="7937" width="2" style="3" customWidth="1"/>
    <col min="7938" max="7938" width="2.75" style="3" customWidth="1"/>
    <col min="7939" max="7939" width="4" style="3" customWidth="1"/>
    <col min="7940" max="7941" width="5.625" style="3" customWidth="1"/>
    <col min="7942" max="7942" width="6.5" style="3" customWidth="1"/>
    <col min="7943" max="7943" width="3.125" style="3" customWidth="1"/>
    <col min="7944" max="7945" width="6.25" style="3" customWidth="1"/>
    <col min="7946" max="7946" width="3.625" style="3" customWidth="1"/>
    <col min="7947" max="7947" width="4.25" style="3" customWidth="1"/>
    <col min="7948" max="7948" width="2.25" style="3" customWidth="1"/>
    <col min="7949" max="7949" width="2.75" style="3" customWidth="1"/>
    <col min="7950" max="7950" width="4" style="3" customWidth="1"/>
    <col min="7951" max="7952" width="5.625" style="3" customWidth="1"/>
    <col min="7953" max="7953" width="6.5" style="3" customWidth="1"/>
    <col min="7954" max="7954" width="3.125" style="3" customWidth="1"/>
    <col min="7955" max="7956" width="6.25" style="3" customWidth="1"/>
    <col min="7957" max="7957" width="3.625" style="3" customWidth="1"/>
    <col min="7958" max="7958" width="2.25" style="3" customWidth="1"/>
    <col min="7959" max="8192" width="9" style="3"/>
    <col min="8193" max="8193" width="2" style="3" customWidth="1"/>
    <col min="8194" max="8194" width="2.75" style="3" customWidth="1"/>
    <col min="8195" max="8195" width="4" style="3" customWidth="1"/>
    <col min="8196" max="8197" width="5.625" style="3" customWidth="1"/>
    <col min="8198" max="8198" width="6.5" style="3" customWidth="1"/>
    <col min="8199" max="8199" width="3.125" style="3" customWidth="1"/>
    <col min="8200" max="8201" width="6.25" style="3" customWidth="1"/>
    <col min="8202" max="8202" width="3.625" style="3" customWidth="1"/>
    <col min="8203" max="8203" width="4.25" style="3" customWidth="1"/>
    <col min="8204" max="8204" width="2.25" style="3" customWidth="1"/>
    <col min="8205" max="8205" width="2.75" style="3" customWidth="1"/>
    <col min="8206" max="8206" width="4" style="3" customWidth="1"/>
    <col min="8207" max="8208" width="5.625" style="3" customWidth="1"/>
    <col min="8209" max="8209" width="6.5" style="3" customWidth="1"/>
    <col min="8210" max="8210" width="3.125" style="3" customWidth="1"/>
    <col min="8211" max="8212" width="6.25" style="3" customWidth="1"/>
    <col min="8213" max="8213" width="3.625" style="3" customWidth="1"/>
    <col min="8214" max="8214" width="2.25" style="3" customWidth="1"/>
    <col min="8215" max="8448" width="9" style="3"/>
    <col min="8449" max="8449" width="2" style="3" customWidth="1"/>
    <col min="8450" max="8450" width="2.75" style="3" customWidth="1"/>
    <col min="8451" max="8451" width="4" style="3" customWidth="1"/>
    <col min="8452" max="8453" width="5.625" style="3" customWidth="1"/>
    <col min="8454" max="8454" width="6.5" style="3" customWidth="1"/>
    <col min="8455" max="8455" width="3.125" style="3" customWidth="1"/>
    <col min="8456" max="8457" width="6.25" style="3" customWidth="1"/>
    <col min="8458" max="8458" width="3.625" style="3" customWidth="1"/>
    <col min="8459" max="8459" width="4.25" style="3" customWidth="1"/>
    <col min="8460" max="8460" width="2.25" style="3" customWidth="1"/>
    <col min="8461" max="8461" width="2.75" style="3" customWidth="1"/>
    <col min="8462" max="8462" width="4" style="3" customWidth="1"/>
    <col min="8463" max="8464" width="5.625" style="3" customWidth="1"/>
    <col min="8465" max="8465" width="6.5" style="3" customWidth="1"/>
    <col min="8466" max="8466" width="3.125" style="3" customWidth="1"/>
    <col min="8467" max="8468" width="6.25" style="3" customWidth="1"/>
    <col min="8469" max="8469" width="3.625" style="3" customWidth="1"/>
    <col min="8470" max="8470" width="2.25" style="3" customWidth="1"/>
    <col min="8471" max="8704" width="9" style="3"/>
    <col min="8705" max="8705" width="2" style="3" customWidth="1"/>
    <col min="8706" max="8706" width="2.75" style="3" customWidth="1"/>
    <col min="8707" max="8707" width="4" style="3" customWidth="1"/>
    <col min="8708" max="8709" width="5.625" style="3" customWidth="1"/>
    <col min="8710" max="8710" width="6.5" style="3" customWidth="1"/>
    <col min="8711" max="8711" width="3.125" style="3" customWidth="1"/>
    <col min="8712" max="8713" width="6.25" style="3" customWidth="1"/>
    <col min="8714" max="8714" width="3.625" style="3" customWidth="1"/>
    <col min="8715" max="8715" width="4.25" style="3" customWidth="1"/>
    <col min="8716" max="8716" width="2.25" style="3" customWidth="1"/>
    <col min="8717" max="8717" width="2.75" style="3" customWidth="1"/>
    <col min="8718" max="8718" width="4" style="3" customWidth="1"/>
    <col min="8719" max="8720" width="5.625" style="3" customWidth="1"/>
    <col min="8721" max="8721" width="6.5" style="3" customWidth="1"/>
    <col min="8722" max="8722" width="3.125" style="3" customWidth="1"/>
    <col min="8723" max="8724" width="6.25" style="3" customWidth="1"/>
    <col min="8725" max="8725" width="3.625" style="3" customWidth="1"/>
    <col min="8726" max="8726" width="2.25" style="3" customWidth="1"/>
    <col min="8727" max="8960" width="9" style="3"/>
    <col min="8961" max="8961" width="2" style="3" customWidth="1"/>
    <col min="8962" max="8962" width="2.75" style="3" customWidth="1"/>
    <col min="8963" max="8963" width="4" style="3" customWidth="1"/>
    <col min="8964" max="8965" width="5.625" style="3" customWidth="1"/>
    <col min="8966" max="8966" width="6.5" style="3" customWidth="1"/>
    <col min="8967" max="8967" width="3.125" style="3" customWidth="1"/>
    <col min="8968" max="8969" width="6.25" style="3" customWidth="1"/>
    <col min="8970" max="8970" width="3.625" style="3" customWidth="1"/>
    <col min="8971" max="8971" width="4.25" style="3" customWidth="1"/>
    <col min="8972" max="8972" width="2.25" style="3" customWidth="1"/>
    <col min="8973" max="8973" width="2.75" style="3" customWidth="1"/>
    <col min="8974" max="8974" width="4" style="3" customWidth="1"/>
    <col min="8975" max="8976" width="5.625" style="3" customWidth="1"/>
    <col min="8977" max="8977" width="6.5" style="3" customWidth="1"/>
    <col min="8978" max="8978" width="3.125" style="3" customWidth="1"/>
    <col min="8979" max="8980" width="6.25" style="3" customWidth="1"/>
    <col min="8981" max="8981" width="3.625" style="3" customWidth="1"/>
    <col min="8982" max="8982" width="2.25" style="3" customWidth="1"/>
    <col min="8983" max="9216" width="9" style="3"/>
    <col min="9217" max="9217" width="2" style="3" customWidth="1"/>
    <col min="9218" max="9218" width="2.75" style="3" customWidth="1"/>
    <col min="9219" max="9219" width="4" style="3" customWidth="1"/>
    <col min="9220" max="9221" width="5.625" style="3" customWidth="1"/>
    <col min="9222" max="9222" width="6.5" style="3" customWidth="1"/>
    <col min="9223" max="9223" width="3.125" style="3" customWidth="1"/>
    <col min="9224" max="9225" width="6.25" style="3" customWidth="1"/>
    <col min="9226" max="9226" width="3.625" style="3" customWidth="1"/>
    <col min="9227" max="9227" width="4.25" style="3" customWidth="1"/>
    <col min="9228" max="9228" width="2.25" style="3" customWidth="1"/>
    <col min="9229" max="9229" width="2.75" style="3" customWidth="1"/>
    <col min="9230" max="9230" width="4" style="3" customWidth="1"/>
    <col min="9231" max="9232" width="5.625" style="3" customWidth="1"/>
    <col min="9233" max="9233" width="6.5" style="3" customWidth="1"/>
    <col min="9234" max="9234" width="3.125" style="3" customWidth="1"/>
    <col min="9235" max="9236" width="6.25" style="3" customWidth="1"/>
    <col min="9237" max="9237" width="3.625" style="3" customWidth="1"/>
    <col min="9238" max="9238" width="2.25" style="3" customWidth="1"/>
    <col min="9239" max="9472" width="9" style="3"/>
    <col min="9473" max="9473" width="2" style="3" customWidth="1"/>
    <col min="9474" max="9474" width="2.75" style="3" customWidth="1"/>
    <col min="9475" max="9475" width="4" style="3" customWidth="1"/>
    <col min="9476" max="9477" width="5.625" style="3" customWidth="1"/>
    <col min="9478" max="9478" width="6.5" style="3" customWidth="1"/>
    <col min="9479" max="9479" width="3.125" style="3" customWidth="1"/>
    <col min="9480" max="9481" width="6.25" style="3" customWidth="1"/>
    <col min="9482" max="9482" width="3.625" style="3" customWidth="1"/>
    <col min="9483" max="9483" width="4.25" style="3" customWidth="1"/>
    <col min="9484" max="9484" width="2.25" style="3" customWidth="1"/>
    <col min="9485" max="9485" width="2.75" style="3" customWidth="1"/>
    <col min="9486" max="9486" width="4" style="3" customWidth="1"/>
    <col min="9487" max="9488" width="5.625" style="3" customWidth="1"/>
    <col min="9489" max="9489" width="6.5" style="3" customWidth="1"/>
    <col min="9490" max="9490" width="3.125" style="3" customWidth="1"/>
    <col min="9491" max="9492" width="6.25" style="3" customWidth="1"/>
    <col min="9493" max="9493" width="3.625" style="3" customWidth="1"/>
    <col min="9494" max="9494" width="2.25" style="3" customWidth="1"/>
    <col min="9495" max="9728" width="9" style="3"/>
    <col min="9729" max="9729" width="2" style="3" customWidth="1"/>
    <col min="9730" max="9730" width="2.75" style="3" customWidth="1"/>
    <col min="9731" max="9731" width="4" style="3" customWidth="1"/>
    <col min="9732" max="9733" width="5.625" style="3" customWidth="1"/>
    <col min="9734" max="9734" width="6.5" style="3" customWidth="1"/>
    <col min="9735" max="9735" width="3.125" style="3" customWidth="1"/>
    <col min="9736" max="9737" width="6.25" style="3" customWidth="1"/>
    <col min="9738" max="9738" width="3.625" style="3" customWidth="1"/>
    <col min="9739" max="9739" width="4.25" style="3" customWidth="1"/>
    <col min="9740" max="9740" width="2.25" style="3" customWidth="1"/>
    <col min="9741" max="9741" width="2.75" style="3" customWidth="1"/>
    <col min="9742" max="9742" width="4" style="3" customWidth="1"/>
    <col min="9743" max="9744" width="5.625" style="3" customWidth="1"/>
    <col min="9745" max="9745" width="6.5" style="3" customWidth="1"/>
    <col min="9746" max="9746" width="3.125" style="3" customWidth="1"/>
    <col min="9747" max="9748" width="6.25" style="3" customWidth="1"/>
    <col min="9749" max="9749" width="3.625" style="3" customWidth="1"/>
    <col min="9750" max="9750" width="2.25" style="3" customWidth="1"/>
    <col min="9751" max="9984" width="9" style="3"/>
    <col min="9985" max="9985" width="2" style="3" customWidth="1"/>
    <col min="9986" max="9986" width="2.75" style="3" customWidth="1"/>
    <col min="9987" max="9987" width="4" style="3" customWidth="1"/>
    <col min="9988" max="9989" width="5.625" style="3" customWidth="1"/>
    <col min="9990" max="9990" width="6.5" style="3" customWidth="1"/>
    <col min="9991" max="9991" width="3.125" style="3" customWidth="1"/>
    <col min="9992" max="9993" width="6.25" style="3" customWidth="1"/>
    <col min="9994" max="9994" width="3.625" style="3" customWidth="1"/>
    <col min="9995" max="9995" width="4.25" style="3" customWidth="1"/>
    <col min="9996" max="9996" width="2.25" style="3" customWidth="1"/>
    <col min="9997" max="9997" width="2.75" style="3" customWidth="1"/>
    <col min="9998" max="9998" width="4" style="3" customWidth="1"/>
    <col min="9999" max="10000" width="5.625" style="3" customWidth="1"/>
    <col min="10001" max="10001" width="6.5" style="3" customWidth="1"/>
    <col min="10002" max="10002" width="3.125" style="3" customWidth="1"/>
    <col min="10003" max="10004" width="6.25" style="3" customWidth="1"/>
    <col min="10005" max="10005" width="3.625" style="3" customWidth="1"/>
    <col min="10006" max="10006" width="2.25" style="3" customWidth="1"/>
    <col min="10007" max="10240" width="9" style="3"/>
    <col min="10241" max="10241" width="2" style="3" customWidth="1"/>
    <col min="10242" max="10242" width="2.75" style="3" customWidth="1"/>
    <col min="10243" max="10243" width="4" style="3" customWidth="1"/>
    <col min="10244" max="10245" width="5.625" style="3" customWidth="1"/>
    <col min="10246" max="10246" width="6.5" style="3" customWidth="1"/>
    <col min="10247" max="10247" width="3.125" style="3" customWidth="1"/>
    <col min="10248" max="10249" width="6.25" style="3" customWidth="1"/>
    <col min="10250" max="10250" width="3.625" style="3" customWidth="1"/>
    <col min="10251" max="10251" width="4.25" style="3" customWidth="1"/>
    <col min="10252" max="10252" width="2.25" style="3" customWidth="1"/>
    <col min="10253" max="10253" width="2.75" style="3" customWidth="1"/>
    <col min="10254" max="10254" width="4" style="3" customWidth="1"/>
    <col min="10255" max="10256" width="5.625" style="3" customWidth="1"/>
    <col min="10257" max="10257" width="6.5" style="3" customWidth="1"/>
    <col min="10258" max="10258" width="3.125" style="3" customWidth="1"/>
    <col min="10259" max="10260" width="6.25" style="3" customWidth="1"/>
    <col min="10261" max="10261" width="3.625" style="3" customWidth="1"/>
    <col min="10262" max="10262" width="2.25" style="3" customWidth="1"/>
    <col min="10263" max="10496" width="9" style="3"/>
    <col min="10497" max="10497" width="2" style="3" customWidth="1"/>
    <col min="10498" max="10498" width="2.75" style="3" customWidth="1"/>
    <col min="10499" max="10499" width="4" style="3" customWidth="1"/>
    <col min="10500" max="10501" width="5.625" style="3" customWidth="1"/>
    <col min="10502" max="10502" width="6.5" style="3" customWidth="1"/>
    <col min="10503" max="10503" width="3.125" style="3" customWidth="1"/>
    <col min="10504" max="10505" width="6.25" style="3" customWidth="1"/>
    <col min="10506" max="10506" width="3.625" style="3" customWidth="1"/>
    <col min="10507" max="10507" width="4.25" style="3" customWidth="1"/>
    <col min="10508" max="10508" width="2.25" style="3" customWidth="1"/>
    <col min="10509" max="10509" width="2.75" style="3" customWidth="1"/>
    <col min="10510" max="10510" width="4" style="3" customWidth="1"/>
    <col min="10511" max="10512" width="5.625" style="3" customWidth="1"/>
    <col min="10513" max="10513" width="6.5" style="3" customWidth="1"/>
    <col min="10514" max="10514" width="3.125" style="3" customWidth="1"/>
    <col min="10515" max="10516" width="6.25" style="3" customWidth="1"/>
    <col min="10517" max="10517" width="3.625" style="3" customWidth="1"/>
    <col min="10518" max="10518" width="2.25" style="3" customWidth="1"/>
    <col min="10519" max="10752" width="9" style="3"/>
    <col min="10753" max="10753" width="2" style="3" customWidth="1"/>
    <col min="10754" max="10754" width="2.75" style="3" customWidth="1"/>
    <col min="10755" max="10755" width="4" style="3" customWidth="1"/>
    <col min="10756" max="10757" width="5.625" style="3" customWidth="1"/>
    <col min="10758" max="10758" width="6.5" style="3" customWidth="1"/>
    <col min="10759" max="10759" width="3.125" style="3" customWidth="1"/>
    <col min="10760" max="10761" width="6.25" style="3" customWidth="1"/>
    <col min="10762" max="10762" width="3.625" style="3" customWidth="1"/>
    <col min="10763" max="10763" width="4.25" style="3" customWidth="1"/>
    <col min="10764" max="10764" width="2.25" style="3" customWidth="1"/>
    <col min="10765" max="10765" width="2.75" style="3" customWidth="1"/>
    <col min="10766" max="10766" width="4" style="3" customWidth="1"/>
    <col min="10767" max="10768" width="5.625" style="3" customWidth="1"/>
    <col min="10769" max="10769" width="6.5" style="3" customWidth="1"/>
    <col min="10770" max="10770" width="3.125" style="3" customWidth="1"/>
    <col min="10771" max="10772" width="6.25" style="3" customWidth="1"/>
    <col min="10773" max="10773" width="3.625" style="3" customWidth="1"/>
    <col min="10774" max="10774" width="2.25" style="3" customWidth="1"/>
    <col min="10775" max="11008" width="9" style="3"/>
    <col min="11009" max="11009" width="2" style="3" customWidth="1"/>
    <col min="11010" max="11010" width="2.75" style="3" customWidth="1"/>
    <col min="11011" max="11011" width="4" style="3" customWidth="1"/>
    <col min="11012" max="11013" width="5.625" style="3" customWidth="1"/>
    <col min="11014" max="11014" width="6.5" style="3" customWidth="1"/>
    <col min="11015" max="11015" width="3.125" style="3" customWidth="1"/>
    <col min="11016" max="11017" width="6.25" style="3" customWidth="1"/>
    <col min="11018" max="11018" width="3.625" style="3" customWidth="1"/>
    <col min="11019" max="11019" width="4.25" style="3" customWidth="1"/>
    <col min="11020" max="11020" width="2.25" style="3" customWidth="1"/>
    <col min="11021" max="11021" width="2.75" style="3" customWidth="1"/>
    <col min="11022" max="11022" width="4" style="3" customWidth="1"/>
    <col min="11023" max="11024" width="5.625" style="3" customWidth="1"/>
    <col min="11025" max="11025" width="6.5" style="3" customWidth="1"/>
    <col min="11026" max="11026" width="3.125" style="3" customWidth="1"/>
    <col min="11027" max="11028" width="6.25" style="3" customWidth="1"/>
    <col min="11029" max="11029" width="3.625" style="3" customWidth="1"/>
    <col min="11030" max="11030" width="2.25" style="3" customWidth="1"/>
    <col min="11031" max="11264" width="9" style="3"/>
    <col min="11265" max="11265" width="2" style="3" customWidth="1"/>
    <col min="11266" max="11266" width="2.75" style="3" customWidth="1"/>
    <col min="11267" max="11267" width="4" style="3" customWidth="1"/>
    <col min="11268" max="11269" width="5.625" style="3" customWidth="1"/>
    <col min="11270" max="11270" width="6.5" style="3" customWidth="1"/>
    <col min="11271" max="11271" width="3.125" style="3" customWidth="1"/>
    <col min="11272" max="11273" width="6.25" style="3" customWidth="1"/>
    <col min="11274" max="11274" width="3.625" style="3" customWidth="1"/>
    <col min="11275" max="11275" width="4.25" style="3" customWidth="1"/>
    <col min="11276" max="11276" width="2.25" style="3" customWidth="1"/>
    <col min="11277" max="11277" width="2.75" style="3" customWidth="1"/>
    <col min="11278" max="11278" width="4" style="3" customWidth="1"/>
    <col min="11279" max="11280" width="5.625" style="3" customWidth="1"/>
    <col min="11281" max="11281" width="6.5" style="3" customWidth="1"/>
    <col min="11282" max="11282" width="3.125" style="3" customWidth="1"/>
    <col min="11283" max="11284" width="6.25" style="3" customWidth="1"/>
    <col min="11285" max="11285" width="3.625" style="3" customWidth="1"/>
    <col min="11286" max="11286" width="2.25" style="3" customWidth="1"/>
    <col min="11287" max="11520" width="9" style="3"/>
    <col min="11521" max="11521" width="2" style="3" customWidth="1"/>
    <col min="11522" max="11522" width="2.75" style="3" customWidth="1"/>
    <col min="11523" max="11523" width="4" style="3" customWidth="1"/>
    <col min="11524" max="11525" width="5.625" style="3" customWidth="1"/>
    <col min="11526" max="11526" width="6.5" style="3" customWidth="1"/>
    <col min="11527" max="11527" width="3.125" style="3" customWidth="1"/>
    <col min="11528" max="11529" width="6.25" style="3" customWidth="1"/>
    <col min="11530" max="11530" width="3.625" style="3" customWidth="1"/>
    <col min="11531" max="11531" width="4.25" style="3" customWidth="1"/>
    <col min="11532" max="11532" width="2.25" style="3" customWidth="1"/>
    <col min="11533" max="11533" width="2.75" style="3" customWidth="1"/>
    <col min="11534" max="11534" width="4" style="3" customWidth="1"/>
    <col min="11535" max="11536" width="5.625" style="3" customWidth="1"/>
    <col min="11537" max="11537" width="6.5" style="3" customWidth="1"/>
    <col min="11538" max="11538" width="3.125" style="3" customWidth="1"/>
    <col min="11539" max="11540" width="6.25" style="3" customWidth="1"/>
    <col min="11541" max="11541" width="3.625" style="3" customWidth="1"/>
    <col min="11542" max="11542" width="2.25" style="3" customWidth="1"/>
    <col min="11543" max="11776" width="9" style="3"/>
    <col min="11777" max="11777" width="2" style="3" customWidth="1"/>
    <col min="11778" max="11778" width="2.75" style="3" customWidth="1"/>
    <col min="11779" max="11779" width="4" style="3" customWidth="1"/>
    <col min="11780" max="11781" width="5.625" style="3" customWidth="1"/>
    <col min="11782" max="11782" width="6.5" style="3" customWidth="1"/>
    <col min="11783" max="11783" width="3.125" style="3" customWidth="1"/>
    <col min="11784" max="11785" width="6.25" style="3" customWidth="1"/>
    <col min="11786" max="11786" width="3.625" style="3" customWidth="1"/>
    <col min="11787" max="11787" width="4.25" style="3" customWidth="1"/>
    <col min="11788" max="11788" width="2.25" style="3" customWidth="1"/>
    <col min="11789" max="11789" width="2.75" style="3" customWidth="1"/>
    <col min="11790" max="11790" width="4" style="3" customWidth="1"/>
    <col min="11791" max="11792" width="5.625" style="3" customWidth="1"/>
    <col min="11793" max="11793" width="6.5" style="3" customWidth="1"/>
    <col min="11794" max="11794" width="3.125" style="3" customWidth="1"/>
    <col min="11795" max="11796" width="6.25" style="3" customWidth="1"/>
    <col min="11797" max="11797" width="3.625" style="3" customWidth="1"/>
    <col min="11798" max="11798" width="2.25" style="3" customWidth="1"/>
    <col min="11799" max="12032" width="9" style="3"/>
    <col min="12033" max="12033" width="2" style="3" customWidth="1"/>
    <col min="12034" max="12034" width="2.75" style="3" customWidth="1"/>
    <col min="12035" max="12035" width="4" style="3" customWidth="1"/>
    <col min="12036" max="12037" width="5.625" style="3" customWidth="1"/>
    <col min="12038" max="12038" width="6.5" style="3" customWidth="1"/>
    <col min="12039" max="12039" width="3.125" style="3" customWidth="1"/>
    <col min="12040" max="12041" width="6.25" style="3" customWidth="1"/>
    <col min="12042" max="12042" width="3.625" style="3" customWidth="1"/>
    <col min="12043" max="12043" width="4.25" style="3" customWidth="1"/>
    <col min="12044" max="12044" width="2.25" style="3" customWidth="1"/>
    <col min="12045" max="12045" width="2.75" style="3" customWidth="1"/>
    <col min="12046" max="12046" width="4" style="3" customWidth="1"/>
    <col min="12047" max="12048" width="5.625" style="3" customWidth="1"/>
    <col min="12049" max="12049" width="6.5" style="3" customWidth="1"/>
    <col min="12050" max="12050" width="3.125" style="3" customWidth="1"/>
    <col min="12051" max="12052" width="6.25" style="3" customWidth="1"/>
    <col min="12053" max="12053" width="3.625" style="3" customWidth="1"/>
    <col min="12054" max="12054" width="2.25" style="3" customWidth="1"/>
    <col min="12055" max="12288" width="9" style="3"/>
    <col min="12289" max="12289" width="2" style="3" customWidth="1"/>
    <col min="12290" max="12290" width="2.75" style="3" customWidth="1"/>
    <col min="12291" max="12291" width="4" style="3" customWidth="1"/>
    <col min="12292" max="12293" width="5.625" style="3" customWidth="1"/>
    <col min="12294" max="12294" width="6.5" style="3" customWidth="1"/>
    <col min="12295" max="12295" width="3.125" style="3" customWidth="1"/>
    <col min="12296" max="12297" width="6.25" style="3" customWidth="1"/>
    <col min="12298" max="12298" width="3.625" style="3" customWidth="1"/>
    <col min="12299" max="12299" width="4.25" style="3" customWidth="1"/>
    <col min="12300" max="12300" width="2.25" style="3" customWidth="1"/>
    <col min="12301" max="12301" width="2.75" style="3" customWidth="1"/>
    <col min="12302" max="12302" width="4" style="3" customWidth="1"/>
    <col min="12303" max="12304" width="5.625" style="3" customWidth="1"/>
    <col min="12305" max="12305" width="6.5" style="3" customWidth="1"/>
    <col min="12306" max="12306" width="3.125" style="3" customWidth="1"/>
    <col min="12307" max="12308" width="6.25" style="3" customWidth="1"/>
    <col min="12309" max="12309" width="3.625" style="3" customWidth="1"/>
    <col min="12310" max="12310" width="2.25" style="3" customWidth="1"/>
    <col min="12311" max="12544" width="9" style="3"/>
    <col min="12545" max="12545" width="2" style="3" customWidth="1"/>
    <col min="12546" max="12546" width="2.75" style="3" customWidth="1"/>
    <col min="12547" max="12547" width="4" style="3" customWidth="1"/>
    <col min="12548" max="12549" width="5.625" style="3" customWidth="1"/>
    <col min="12550" max="12550" width="6.5" style="3" customWidth="1"/>
    <col min="12551" max="12551" width="3.125" style="3" customWidth="1"/>
    <col min="12552" max="12553" width="6.25" style="3" customWidth="1"/>
    <col min="12554" max="12554" width="3.625" style="3" customWidth="1"/>
    <col min="12555" max="12555" width="4.25" style="3" customWidth="1"/>
    <col min="12556" max="12556" width="2.25" style="3" customWidth="1"/>
    <col min="12557" max="12557" width="2.75" style="3" customWidth="1"/>
    <col min="12558" max="12558" width="4" style="3" customWidth="1"/>
    <col min="12559" max="12560" width="5.625" style="3" customWidth="1"/>
    <col min="12561" max="12561" width="6.5" style="3" customWidth="1"/>
    <col min="12562" max="12562" width="3.125" style="3" customWidth="1"/>
    <col min="12563" max="12564" width="6.25" style="3" customWidth="1"/>
    <col min="12565" max="12565" width="3.625" style="3" customWidth="1"/>
    <col min="12566" max="12566" width="2.25" style="3" customWidth="1"/>
    <col min="12567" max="12800" width="9" style="3"/>
    <col min="12801" max="12801" width="2" style="3" customWidth="1"/>
    <col min="12802" max="12802" width="2.75" style="3" customWidth="1"/>
    <col min="12803" max="12803" width="4" style="3" customWidth="1"/>
    <col min="12804" max="12805" width="5.625" style="3" customWidth="1"/>
    <col min="12806" max="12806" width="6.5" style="3" customWidth="1"/>
    <col min="12807" max="12807" width="3.125" style="3" customWidth="1"/>
    <col min="12808" max="12809" width="6.25" style="3" customWidth="1"/>
    <col min="12810" max="12810" width="3.625" style="3" customWidth="1"/>
    <col min="12811" max="12811" width="4.25" style="3" customWidth="1"/>
    <col min="12812" max="12812" width="2.25" style="3" customWidth="1"/>
    <col min="12813" max="12813" width="2.75" style="3" customWidth="1"/>
    <col min="12814" max="12814" width="4" style="3" customWidth="1"/>
    <col min="12815" max="12816" width="5.625" style="3" customWidth="1"/>
    <col min="12817" max="12817" width="6.5" style="3" customWidth="1"/>
    <col min="12818" max="12818" width="3.125" style="3" customWidth="1"/>
    <col min="12819" max="12820" width="6.25" style="3" customWidth="1"/>
    <col min="12821" max="12821" width="3.625" style="3" customWidth="1"/>
    <col min="12822" max="12822" width="2.25" style="3" customWidth="1"/>
    <col min="12823" max="13056" width="9" style="3"/>
    <col min="13057" max="13057" width="2" style="3" customWidth="1"/>
    <col min="13058" max="13058" width="2.75" style="3" customWidth="1"/>
    <col min="13059" max="13059" width="4" style="3" customWidth="1"/>
    <col min="13060" max="13061" width="5.625" style="3" customWidth="1"/>
    <col min="13062" max="13062" width="6.5" style="3" customWidth="1"/>
    <col min="13063" max="13063" width="3.125" style="3" customWidth="1"/>
    <col min="13064" max="13065" width="6.25" style="3" customWidth="1"/>
    <col min="13066" max="13066" width="3.625" style="3" customWidth="1"/>
    <col min="13067" max="13067" width="4.25" style="3" customWidth="1"/>
    <col min="13068" max="13068" width="2.25" style="3" customWidth="1"/>
    <col min="13069" max="13069" width="2.75" style="3" customWidth="1"/>
    <col min="13070" max="13070" width="4" style="3" customWidth="1"/>
    <col min="13071" max="13072" width="5.625" style="3" customWidth="1"/>
    <col min="13073" max="13073" width="6.5" style="3" customWidth="1"/>
    <col min="13074" max="13074" width="3.125" style="3" customWidth="1"/>
    <col min="13075" max="13076" width="6.25" style="3" customWidth="1"/>
    <col min="13077" max="13077" width="3.625" style="3" customWidth="1"/>
    <col min="13078" max="13078" width="2.25" style="3" customWidth="1"/>
    <col min="13079" max="13312" width="9" style="3"/>
    <col min="13313" max="13313" width="2" style="3" customWidth="1"/>
    <col min="13314" max="13314" width="2.75" style="3" customWidth="1"/>
    <col min="13315" max="13315" width="4" style="3" customWidth="1"/>
    <col min="13316" max="13317" width="5.625" style="3" customWidth="1"/>
    <col min="13318" max="13318" width="6.5" style="3" customWidth="1"/>
    <col min="13319" max="13319" width="3.125" style="3" customWidth="1"/>
    <col min="13320" max="13321" width="6.25" style="3" customWidth="1"/>
    <col min="13322" max="13322" width="3.625" style="3" customWidth="1"/>
    <col min="13323" max="13323" width="4.25" style="3" customWidth="1"/>
    <col min="13324" max="13324" width="2.25" style="3" customWidth="1"/>
    <col min="13325" max="13325" width="2.75" style="3" customWidth="1"/>
    <col min="13326" max="13326" width="4" style="3" customWidth="1"/>
    <col min="13327" max="13328" width="5.625" style="3" customWidth="1"/>
    <col min="13329" max="13329" width="6.5" style="3" customWidth="1"/>
    <col min="13330" max="13330" width="3.125" style="3" customWidth="1"/>
    <col min="13331" max="13332" width="6.25" style="3" customWidth="1"/>
    <col min="13333" max="13333" width="3.625" style="3" customWidth="1"/>
    <col min="13334" max="13334" width="2.25" style="3" customWidth="1"/>
    <col min="13335" max="13568" width="9" style="3"/>
    <col min="13569" max="13569" width="2" style="3" customWidth="1"/>
    <col min="13570" max="13570" width="2.75" style="3" customWidth="1"/>
    <col min="13571" max="13571" width="4" style="3" customWidth="1"/>
    <col min="13572" max="13573" width="5.625" style="3" customWidth="1"/>
    <col min="13574" max="13574" width="6.5" style="3" customWidth="1"/>
    <col min="13575" max="13575" width="3.125" style="3" customWidth="1"/>
    <col min="13576" max="13577" width="6.25" style="3" customWidth="1"/>
    <col min="13578" max="13578" width="3.625" style="3" customWidth="1"/>
    <col min="13579" max="13579" width="4.25" style="3" customWidth="1"/>
    <col min="13580" max="13580" width="2.25" style="3" customWidth="1"/>
    <col min="13581" max="13581" width="2.75" style="3" customWidth="1"/>
    <col min="13582" max="13582" width="4" style="3" customWidth="1"/>
    <col min="13583" max="13584" width="5.625" style="3" customWidth="1"/>
    <col min="13585" max="13585" width="6.5" style="3" customWidth="1"/>
    <col min="13586" max="13586" width="3.125" style="3" customWidth="1"/>
    <col min="13587" max="13588" width="6.25" style="3" customWidth="1"/>
    <col min="13589" max="13589" width="3.625" style="3" customWidth="1"/>
    <col min="13590" max="13590" width="2.25" style="3" customWidth="1"/>
    <col min="13591" max="13824" width="9" style="3"/>
    <col min="13825" max="13825" width="2" style="3" customWidth="1"/>
    <col min="13826" max="13826" width="2.75" style="3" customWidth="1"/>
    <col min="13827" max="13827" width="4" style="3" customWidth="1"/>
    <col min="13828" max="13829" width="5.625" style="3" customWidth="1"/>
    <col min="13830" max="13830" width="6.5" style="3" customWidth="1"/>
    <col min="13831" max="13831" width="3.125" style="3" customWidth="1"/>
    <col min="13832" max="13833" width="6.25" style="3" customWidth="1"/>
    <col min="13834" max="13834" width="3.625" style="3" customWidth="1"/>
    <col min="13835" max="13835" width="4.25" style="3" customWidth="1"/>
    <col min="13836" max="13836" width="2.25" style="3" customWidth="1"/>
    <col min="13837" max="13837" width="2.75" style="3" customWidth="1"/>
    <col min="13838" max="13838" width="4" style="3" customWidth="1"/>
    <col min="13839" max="13840" width="5.625" style="3" customWidth="1"/>
    <col min="13841" max="13841" width="6.5" style="3" customWidth="1"/>
    <col min="13842" max="13842" width="3.125" style="3" customWidth="1"/>
    <col min="13843" max="13844" width="6.25" style="3" customWidth="1"/>
    <col min="13845" max="13845" width="3.625" style="3" customWidth="1"/>
    <col min="13846" max="13846" width="2.25" style="3" customWidth="1"/>
    <col min="13847" max="14080" width="9" style="3"/>
    <col min="14081" max="14081" width="2" style="3" customWidth="1"/>
    <col min="14082" max="14082" width="2.75" style="3" customWidth="1"/>
    <col min="14083" max="14083" width="4" style="3" customWidth="1"/>
    <col min="14084" max="14085" width="5.625" style="3" customWidth="1"/>
    <col min="14086" max="14086" width="6.5" style="3" customWidth="1"/>
    <col min="14087" max="14087" width="3.125" style="3" customWidth="1"/>
    <col min="14088" max="14089" width="6.25" style="3" customWidth="1"/>
    <col min="14090" max="14090" width="3.625" style="3" customWidth="1"/>
    <col min="14091" max="14091" width="4.25" style="3" customWidth="1"/>
    <col min="14092" max="14092" width="2.25" style="3" customWidth="1"/>
    <col min="14093" max="14093" width="2.75" style="3" customWidth="1"/>
    <col min="14094" max="14094" width="4" style="3" customWidth="1"/>
    <col min="14095" max="14096" width="5.625" style="3" customWidth="1"/>
    <col min="14097" max="14097" width="6.5" style="3" customWidth="1"/>
    <col min="14098" max="14098" width="3.125" style="3" customWidth="1"/>
    <col min="14099" max="14100" width="6.25" style="3" customWidth="1"/>
    <col min="14101" max="14101" width="3.625" style="3" customWidth="1"/>
    <col min="14102" max="14102" width="2.25" style="3" customWidth="1"/>
    <col min="14103" max="14336" width="9" style="3"/>
    <col min="14337" max="14337" width="2" style="3" customWidth="1"/>
    <col min="14338" max="14338" width="2.75" style="3" customWidth="1"/>
    <col min="14339" max="14339" width="4" style="3" customWidth="1"/>
    <col min="14340" max="14341" width="5.625" style="3" customWidth="1"/>
    <col min="14342" max="14342" width="6.5" style="3" customWidth="1"/>
    <col min="14343" max="14343" width="3.125" style="3" customWidth="1"/>
    <col min="14344" max="14345" width="6.25" style="3" customWidth="1"/>
    <col min="14346" max="14346" width="3.625" style="3" customWidth="1"/>
    <col min="14347" max="14347" width="4.25" style="3" customWidth="1"/>
    <col min="14348" max="14348" width="2.25" style="3" customWidth="1"/>
    <col min="14349" max="14349" width="2.75" style="3" customWidth="1"/>
    <col min="14350" max="14350" width="4" style="3" customWidth="1"/>
    <col min="14351" max="14352" width="5.625" style="3" customWidth="1"/>
    <col min="14353" max="14353" width="6.5" style="3" customWidth="1"/>
    <col min="14354" max="14354" width="3.125" style="3" customWidth="1"/>
    <col min="14355" max="14356" width="6.25" style="3" customWidth="1"/>
    <col min="14357" max="14357" width="3.625" style="3" customWidth="1"/>
    <col min="14358" max="14358" width="2.25" style="3" customWidth="1"/>
    <col min="14359" max="14592" width="9" style="3"/>
    <col min="14593" max="14593" width="2" style="3" customWidth="1"/>
    <col min="14594" max="14594" width="2.75" style="3" customWidth="1"/>
    <col min="14595" max="14595" width="4" style="3" customWidth="1"/>
    <col min="14596" max="14597" width="5.625" style="3" customWidth="1"/>
    <col min="14598" max="14598" width="6.5" style="3" customWidth="1"/>
    <col min="14599" max="14599" width="3.125" style="3" customWidth="1"/>
    <col min="14600" max="14601" width="6.25" style="3" customWidth="1"/>
    <col min="14602" max="14602" width="3.625" style="3" customWidth="1"/>
    <col min="14603" max="14603" width="4.25" style="3" customWidth="1"/>
    <col min="14604" max="14604" width="2.25" style="3" customWidth="1"/>
    <col min="14605" max="14605" width="2.75" style="3" customWidth="1"/>
    <col min="14606" max="14606" width="4" style="3" customWidth="1"/>
    <col min="14607" max="14608" width="5.625" style="3" customWidth="1"/>
    <col min="14609" max="14609" width="6.5" style="3" customWidth="1"/>
    <col min="14610" max="14610" width="3.125" style="3" customWidth="1"/>
    <col min="14611" max="14612" width="6.25" style="3" customWidth="1"/>
    <col min="14613" max="14613" width="3.625" style="3" customWidth="1"/>
    <col min="14614" max="14614" width="2.25" style="3" customWidth="1"/>
    <col min="14615" max="14848" width="9" style="3"/>
    <col min="14849" max="14849" width="2" style="3" customWidth="1"/>
    <col min="14850" max="14850" width="2.75" style="3" customWidth="1"/>
    <col min="14851" max="14851" width="4" style="3" customWidth="1"/>
    <col min="14852" max="14853" width="5.625" style="3" customWidth="1"/>
    <col min="14854" max="14854" width="6.5" style="3" customWidth="1"/>
    <col min="14855" max="14855" width="3.125" style="3" customWidth="1"/>
    <col min="14856" max="14857" width="6.25" style="3" customWidth="1"/>
    <col min="14858" max="14858" width="3.625" style="3" customWidth="1"/>
    <col min="14859" max="14859" width="4.25" style="3" customWidth="1"/>
    <col min="14860" max="14860" width="2.25" style="3" customWidth="1"/>
    <col min="14861" max="14861" width="2.75" style="3" customWidth="1"/>
    <col min="14862" max="14862" width="4" style="3" customWidth="1"/>
    <col min="14863" max="14864" width="5.625" style="3" customWidth="1"/>
    <col min="14865" max="14865" width="6.5" style="3" customWidth="1"/>
    <col min="14866" max="14866" width="3.125" style="3" customWidth="1"/>
    <col min="14867" max="14868" width="6.25" style="3" customWidth="1"/>
    <col min="14869" max="14869" width="3.625" style="3" customWidth="1"/>
    <col min="14870" max="14870" width="2.25" style="3" customWidth="1"/>
    <col min="14871" max="15104" width="9" style="3"/>
    <col min="15105" max="15105" width="2" style="3" customWidth="1"/>
    <col min="15106" max="15106" width="2.75" style="3" customWidth="1"/>
    <col min="15107" max="15107" width="4" style="3" customWidth="1"/>
    <col min="15108" max="15109" width="5.625" style="3" customWidth="1"/>
    <col min="15110" max="15110" width="6.5" style="3" customWidth="1"/>
    <col min="15111" max="15111" width="3.125" style="3" customWidth="1"/>
    <col min="15112" max="15113" width="6.25" style="3" customWidth="1"/>
    <col min="15114" max="15114" width="3.625" style="3" customWidth="1"/>
    <col min="15115" max="15115" width="4.25" style="3" customWidth="1"/>
    <col min="15116" max="15116" width="2.25" style="3" customWidth="1"/>
    <col min="15117" max="15117" width="2.75" style="3" customWidth="1"/>
    <col min="15118" max="15118" width="4" style="3" customWidth="1"/>
    <col min="15119" max="15120" width="5.625" style="3" customWidth="1"/>
    <col min="15121" max="15121" width="6.5" style="3" customWidth="1"/>
    <col min="15122" max="15122" width="3.125" style="3" customWidth="1"/>
    <col min="15123" max="15124" width="6.25" style="3" customWidth="1"/>
    <col min="15125" max="15125" width="3.625" style="3" customWidth="1"/>
    <col min="15126" max="15126" width="2.25" style="3" customWidth="1"/>
    <col min="15127" max="15360" width="9" style="3"/>
    <col min="15361" max="15361" width="2" style="3" customWidth="1"/>
    <col min="15362" max="15362" width="2.75" style="3" customWidth="1"/>
    <col min="15363" max="15363" width="4" style="3" customWidth="1"/>
    <col min="15364" max="15365" width="5.625" style="3" customWidth="1"/>
    <col min="15366" max="15366" width="6.5" style="3" customWidth="1"/>
    <col min="15367" max="15367" width="3.125" style="3" customWidth="1"/>
    <col min="15368" max="15369" width="6.25" style="3" customWidth="1"/>
    <col min="15370" max="15370" width="3.625" style="3" customWidth="1"/>
    <col min="15371" max="15371" width="4.25" style="3" customWidth="1"/>
    <col min="15372" max="15372" width="2.25" style="3" customWidth="1"/>
    <col min="15373" max="15373" width="2.75" style="3" customWidth="1"/>
    <col min="15374" max="15374" width="4" style="3" customWidth="1"/>
    <col min="15375" max="15376" width="5.625" style="3" customWidth="1"/>
    <col min="15377" max="15377" width="6.5" style="3" customWidth="1"/>
    <col min="15378" max="15378" width="3.125" style="3" customWidth="1"/>
    <col min="15379" max="15380" width="6.25" style="3" customWidth="1"/>
    <col min="15381" max="15381" width="3.625" style="3" customWidth="1"/>
    <col min="15382" max="15382" width="2.25" style="3" customWidth="1"/>
    <col min="15383" max="15616" width="9" style="3"/>
    <col min="15617" max="15617" width="2" style="3" customWidth="1"/>
    <col min="15618" max="15618" width="2.75" style="3" customWidth="1"/>
    <col min="15619" max="15619" width="4" style="3" customWidth="1"/>
    <col min="15620" max="15621" width="5.625" style="3" customWidth="1"/>
    <col min="15622" max="15622" width="6.5" style="3" customWidth="1"/>
    <col min="15623" max="15623" width="3.125" style="3" customWidth="1"/>
    <col min="15624" max="15625" width="6.25" style="3" customWidth="1"/>
    <col min="15626" max="15626" width="3.625" style="3" customWidth="1"/>
    <col min="15627" max="15627" width="4.25" style="3" customWidth="1"/>
    <col min="15628" max="15628" width="2.25" style="3" customWidth="1"/>
    <col min="15629" max="15629" width="2.75" style="3" customWidth="1"/>
    <col min="15630" max="15630" width="4" style="3" customWidth="1"/>
    <col min="15631" max="15632" width="5.625" style="3" customWidth="1"/>
    <col min="15633" max="15633" width="6.5" style="3" customWidth="1"/>
    <col min="15634" max="15634" width="3.125" style="3" customWidth="1"/>
    <col min="15635" max="15636" width="6.25" style="3" customWidth="1"/>
    <col min="15637" max="15637" width="3.625" style="3" customWidth="1"/>
    <col min="15638" max="15638" width="2.25" style="3" customWidth="1"/>
    <col min="15639" max="15872" width="9" style="3"/>
    <col min="15873" max="15873" width="2" style="3" customWidth="1"/>
    <col min="15874" max="15874" width="2.75" style="3" customWidth="1"/>
    <col min="15875" max="15875" width="4" style="3" customWidth="1"/>
    <col min="15876" max="15877" width="5.625" style="3" customWidth="1"/>
    <col min="15878" max="15878" width="6.5" style="3" customWidth="1"/>
    <col min="15879" max="15879" width="3.125" style="3" customWidth="1"/>
    <col min="15880" max="15881" width="6.25" style="3" customWidth="1"/>
    <col min="15882" max="15882" width="3.625" style="3" customWidth="1"/>
    <col min="15883" max="15883" width="4.25" style="3" customWidth="1"/>
    <col min="15884" max="15884" width="2.25" style="3" customWidth="1"/>
    <col min="15885" max="15885" width="2.75" style="3" customWidth="1"/>
    <col min="15886" max="15886" width="4" style="3" customWidth="1"/>
    <col min="15887" max="15888" width="5.625" style="3" customWidth="1"/>
    <col min="15889" max="15889" width="6.5" style="3" customWidth="1"/>
    <col min="15890" max="15890" width="3.125" style="3" customWidth="1"/>
    <col min="15891" max="15892" width="6.25" style="3" customWidth="1"/>
    <col min="15893" max="15893" width="3.625" style="3" customWidth="1"/>
    <col min="15894" max="15894" width="2.25" style="3" customWidth="1"/>
    <col min="15895" max="16128" width="9" style="3"/>
    <col min="16129" max="16129" width="2" style="3" customWidth="1"/>
    <col min="16130" max="16130" width="2.75" style="3" customWidth="1"/>
    <col min="16131" max="16131" width="4" style="3" customWidth="1"/>
    <col min="16132" max="16133" width="5.625" style="3" customWidth="1"/>
    <col min="16134" max="16134" width="6.5" style="3" customWidth="1"/>
    <col min="16135" max="16135" width="3.125" style="3" customWidth="1"/>
    <col min="16136" max="16137" width="6.25" style="3" customWidth="1"/>
    <col min="16138" max="16138" width="3.625" style="3" customWidth="1"/>
    <col min="16139" max="16139" width="4.25" style="3" customWidth="1"/>
    <col min="16140" max="16140" width="2.25" style="3" customWidth="1"/>
    <col min="16141" max="16141" width="2.75" style="3" customWidth="1"/>
    <col min="16142" max="16142" width="4" style="3" customWidth="1"/>
    <col min="16143" max="16144" width="5.625" style="3" customWidth="1"/>
    <col min="16145" max="16145" width="6.5" style="3" customWidth="1"/>
    <col min="16146" max="16146" width="3.125" style="3" customWidth="1"/>
    <col min="16147" max="16148" width="6.25" style="3" customWidth="1"/>
    <col min="16149" max="16149" width="3.625" style="3" customWidth="1"/>
    <col min="16150" max="16150" width="2.25" style="3" customWidth="1"/>
    <col min="16151" max="16384" width="9" style="3"/>
  </cols>
  <sheetData>
    <row r="1" spans="2:27" ht="10.5" customHeight="1">
      <c r="B1" s="1"/>
      <c r="C1" s="1"/>
      <c r="D1" s="1"/>
      <c r="E1" s="1"/>
      <c r="F1" s="1"/>
      <c r="G1" s="1"/>
      <c r="H1" s="1"/>
      <c r="I1" s="1"/>
      <c r="J1" s="1"/>
      <c r="K1" s="1"/>
      <c r="L1" s="2"/>
      <c r="M1" s="1"/>
      <c r="N1" s="1"/>
      <c r="O1" s="1"/>
      <c r="P1" s="1"/>
      <c r="Q1" s="1"/>
      <c r="R1" s="1"/>
      <c r="S1" s="1"/>
      <c r="T1" s="1"/>
      <c r="U1" s="1"/>
      <c r="V1" s="1"/>
    </row>
    <row r="2" spans="2:27" ht="21">
      <c r="B2" s="1"/>
      <c r="C2" s="1"/>
      <c r="D2" s="4" t="s">
        <v>4</v>
      </c>
      <c r="E2" s="1"/>
      <c r="F2" s="1"/>
      <c r="G2" s="1"/>
      <c r="H2" s="1"/>
      <c r="I2" s="1"/>
      <c r="J2" s="1"/>
      <c r="K2" s="1"/>
      <c r="L2" s="2"/>
      <c r="M2" s="1"/>
      <c r="N2" s="1"/>
      <c r="O2" s="4" t="s">
        <v>4</v>
      </c>
      <c r="P2" s="1"/>
      <c r="Q2" s="1"/>
      <c r="R2" s="1"/>
      <c r="S2" s="1"/>
      <c r="T2" s="1"/>
      <c r="U2" s="1"/>
      <c r="V2" s="1"/>
      <c r="X2" s="117">
        <v>5</v>
      </c>
      <c r="Y2" s="117" t="s">
        <v>16</v>
      </c>
      <c r="Z2" s="117" t="s">
        <v>15</v>
      </c>
      <c r="AA2" s="117" t="s">
        <v>13</v>
      </c>
    </row>
    <row r="3" spans="2:27" ht="8.25" customHeight="1">
      <c r="B3" s="1"/>
      <c r="C3" s="1"/>
      <c r="D3" s="1"/>
      <c r="E3" s="1"/>
      <c r="F3" s="1"/>
      <c r="G3" s="1"/>
      <c r="H3" s="1"/>
      <c r="I3" s="1"/>
      <c r="J3" s="1"/>
      <c r="K3" s="1"/>
      <c r="L3" s="2"/>
      <c r="M3" s="1"/>
      <c r="N3" s="1"/>
      <c r="O3" s="1"/>
      <c r="P3" s="1"/>
      <c r="Q3" s="1"/>
      <c r="R3" s="1"/>
      <c r="S3" s="1"/>
      <c r="T3" s="1"/>
      <c r="U3" s="1"/>
      <c r="V3" s="1"/>
    </row>
    <row r="4" spans="2:27" ht="18.75">
      <c r="B4" s="1"/>
      <c r="C4" s="1"/>
      <c r="D4" s="1"/>
      <c r="E4" s="1"/>
      <c r="F4" s="140">
        <f>領収証内訳!$AA$3</f>
        <v>46275</v>
      </c>
      <c r="G4" s="141"/>
      <c r="H4" s="141"/>
      <c r="I4" s="141"/>
      <c r="J4" s="141"/>
      <c r="K4" s="1"/>
      <c r="L4" s="2"/>
      <c r="M4" s="1"/>
      <c r="N4" s="1"/>
      <c r="O4" s="1"/>
      <c r="P4" s="1"/>
      <c r="Q4" s="140">
        <f>領収証内訳!$AA$3</f>
        <v>46275</v>
      </c>
      <c r="R4" s="142"/>
      <c r="S4" s="142"/>
      <c r="T4" s="142"/>
      <c r="U4" s="142"/>
      <c r="V4" s="1"/>
    </row>
    <row r="5" spans="2:27" ht="9.9499999999999993" customHeight="1">
      <c r="B5" s="1"/>
      <c r="C5" s="1"/>
      <c r="D5" s="1"/>
      <c r="E5" s="1"/>
      <c r="F5" s="1"/>
      <c r="G5" s="1"/>
      <c r="H5" s="1"/>
      <c r="I5" s="1"/>
      <c r="J5" s="1"/>
      <c r="K5" s="1"/>
      <c r="L5" s="2"/>
      <c r="M5" s="1"/>
      <c r="N5" s="1"/>
      <c r="O5" s="1"/>
      <c r="P5" s="1"/>
      <c r="Q5" s="1"/>
      <c r="R5" s="1"/>
      <c r="S5" s="1"/>
      <c r="T5" s="1"/>
      <c r="U5" s="1"/>
      <c r="V5" s="1"/>
    </row>
    <row r="6" spans="2:27" ht="18.75">
      <c r="B6" s="154" t="str">
        <f ca="1">INDIRECT("領収証内訳!"&amp;$Z$2&amp;$X2)&amp;" さん保護者　様"</f>
        <v xml:space="preserve"> さん保護者　様</v>
      </c>
      <c r="C6" s="155"/>
      <c r="D6" s="156"/>
      <c r="E6" s="156"/>
      <c r="F6" s="156"/>
      <c r="G6" s="1"/>
      <c r="H6" s="1"/>
      <c r="I6" s="1"/>
      <c r="J6" s="1"/>
      <c r="K6" s="1"/>
      <c r="L6" s="2"/>
      <c r="M6" s="154" t="str">
        <f ca="1">INDIRECT("領収証内訳!"&amp;$Z$2&amp;$X2+1)&amp;" さん保護者　様"</f>
        <v xml:space="preserve"> さん保護者　様</v>
      </c>
      <c r="N6" s="155"/>
      <c r="O6" s="157"/>
      <c r="P6" s="157"/>
      <c r="Q6" s="157"/>
      <c r="R6" s="1"/>
      <c r="S6" s="1"/>
      <c r="T6" s="1"/>
      <c r="U6" s="1"/>
      <c r="V6" s="1"/>
    </row>
    <row r="7" spans="2:27" ht="9.9499999999999993" customHeight="1">
      <c r="B7" s="1"/>
      <c r="C7" s="1"/>
      <c r="D7" s="1"/>
      <c r="E7" s="1"/>
      <c r="F7" s="1"/>
      <c r="G7" s="1"/>
      <c r="H7" s="1"/>
      <c r="I7" s="1"/>
      <c r="J7" s="1"/>
      <c r="K7" s="1"/>
      <c r="L7" s="2"/>
      <c r="M7" s="1"/>
      <c r="N7" s="1"/>
      <c r="O7" s="1"/>
      <c r="P7" s="1"/>
      <c r="Q7" s="1"/>
      <c r="R7" s="1"/>
      <c r="S7" s="1"/>
      <c r="T7" s="1"/>
      <c r="U7" s="1"/>
      <c r="V7" s="1"/>
    </row>
    <row r="8" spans="2:27" ht="7.5" customHeight="1">
      <c r="B8" s="1"/>
      <c r="C8" s="1"/>
      <c r="D8" s="1"/>
      <c r="E8" s="1"/>
      <c r="F8" s="1"/>
      <c r="G8" s="1"/>
      <c r="H8" s="1"/>
      <c r="I8" s="1"/>
      <c r="J8" s="1"/>
      <c r="K8" s="1"/>
      <c r="L8" s="2"/>
      <c r="M8" s="1"/>
      <c r="N8" s="1"/>
      <c r="O8" s="1"/>
      <c r="P8" s="1"/>
      <c r="Q8" s="1"/>
      <c r="R8" s="1"/>
      <c r="S8" s="1"/>
      <c r="T8" s="1"/>
      <c r="U8" s="1"/>
      <c r="V8" s="1"/>
    </row>
    <row r="9" spans="2:27" ht="21">
      <c r="B9" s="1"/>
      <c r="C9" s="5"/>
      <c r="D9" s="6" t="s">
        <v>5</v>
      </c>
      <c r="E9" s="143">
        <f ca="1">INDIRECT("領収証内訳!"&amp;$Y$2&amp;$X2)</f>
        <v>0</v>
      </c>
      <c r="F9" s="144"/>
      <c r="G9" s="7" t="s">
        <v>6</v>
      </c>
      <c r="H9" s="8"/>
      <c r="I9" s="1"/>
      <c r="J9" s="1"/>
      <c r="K9" s="1"/>
      <c r="L9" s="2"/>
      <c r="M9" s="1"/>
      <c r="N9" s="5"/>
      <c r="O9" s="6" t="s">
        <v>5</v>
      </c>
      <c r="P9" s="143">
        <f ca="1">INDIRECT("領収証内訳!"&amp;$Y$2&amp;$X2+1)</f>
        <v>0</v>
      </c>
      <c r="Q9" s="144"/>
      <c r="R9" s="7" t="s">
        <v>6</v>
      </c>
      <c r="S9" s="8"/>
      <c r="T9" s="1"/>
      <c r="U9" s="1"/>
      <c r="V9" s="1"/>
    </row>
    <row r="10" spans="2:27">
      <c r="B10" s="1"/>
      <c r="C10" s="1"/>
      <c r="D10" s="1"/>
      <c r="E10" s="1"/>
      <c r="F10" s="1"/>
      <c r="G10" s="1"/>
      <c r="H10" s="1"/>
      <c r="I10" s="1"/>
      <c r="J10" s="1"/>
      <c r="K10" s="1"/>
      <c r="L10" s="2"/>
      <c r="M10" s="1"/>
      <c r="N10" s="1"/>
      <c r="O10" s="1"/>
      <c r="P10" s="1"/>
      <c r="Q10" s="1"/>
      <c r="R10" s="1"/>
      <c r="S10" s="1"/>
      <c r="T10" s="1"/>
      <c r="U10" s="1"/>
      <c r="V10" s="1"/>
    </row>
    <row r="11" spans="2:27" ht="18.75">
      <c r="B11" s="1"/>
      <c r="C11" s="1"/>
      <c r="D11" s="145" t="str">
        <f>"　　※但　　参加費等収入（"&amp;領収証内訳!$X$4&amp;"分）として"</f>
        <v>　　※但　　参加費等収入（４月分）として</v>
      </c>
      <c r="E11" s="146"/>
      <c r="F11" s="146"/>
      <c r="G11" s="146"/>
      <c r="H11" s="146"/>
      <c r="I11" s="146"/>
      <c r="J11" s="146"/>
      <c r="K11" s="1"/>
      <c r="L11" s="2"/>
      <c r="M11" s="1"/>
      <c r="N11" s="1"/>
      <c r="O11" s="145" t="str">
        <f>"　　※但　　参加費等収入（"&amp;領収証内訳!$X$4&amp;"分）として"</f>
        <v>　　※但　　参加費等収入（４月分）として</v>
      </c>
      <c r="P11" s="139"/>
      <c r="Q11" s="139"/>
      <c r="R11" s="139"/>
      <c r="S11" s="139"/>
      <c r="T11" s="139"/>
      <c r="U11" s="139"/>
      <c r="V11" s="1"/>
    </row>
    <row r="12" spans="2:27" ht="9.9499999999999993" customHeight="1">
      <c r="B12" s="1"/>
      <c r="C12" s="1"/>
      <c r="D12" s="1"/>
      <c r="E12" s="1"/>
      <c r="F12" s="1"/>
      <c r="G12" s="1"/>
      <c r="H12" s="1"/>
      <c r="I12" s="1"/>
      <c r="J12" s="1"/>
      <c r="K12" s="1"/>
      <c r="L12" s="2"/>
      <c r="M12" s="1"/>
      <c r="N12" s="1"/>
      <c r="O12" s="1"/>
      <c r="P12" s="1"/>
      <c r="Q12" s="1"/>
      <c r="R12" s="1"/>
      <c r="S12" s="1"/>
      <c r="T12" s="1"/>
      <c r="U12" s="1"/>
      <c r="V12" s="1"/>
    </row>
    <row r="13" spans="2:27" ht="18.75">
      <c r="B13" s="1"/>
      <c r="C13" s="1"/>
      <c r="D13" s="1"/>
      <c r="E13" s="17" t="s">
        <v>7</v>
      </c>
      <c r="F13" s="1"/>
      <c r="G13" s="1"/>
      <c r="H13" s="1"/>
      <c r="I13" s="1"/>
      <c r="J13" s="1"/>
      <c r="K13" s="1"/>
      <c r="L13" s="2"/>
      <c r="M13" s="1"/>
      <c r="N13" s="1"/>
      <c r="O13" s="1"/>
      <c r="P13" s="17" t="s">
        <v>7</v>
      </c>
      <c r="Q13" s="1"/>
      <c r="R13" s="1"/>
      <c r="S13" s="1"/>
      <c r="T13" s="1"/>
      <c r="U13" s="1"/>
      <c r="V13" s="1"/>
    </row>
    <row r="14" spans="2:27" ht="6" customHeight="1">
      <c r="B14" s="1"/>
      <c r="C14" s="1"/>
      <c r="D14" s="1"/>
      <c r="E14" s="1"/>
      <c r="F14" s="1"/>
      <c r="G14" s="1"/>
      <c r="H14" s="1"/>
      <c r="I14" s="1"/>
      <c r="J14" s="1"/>
      <c r="K14" s="1"/>
      <c r="L14" s="2"/>
      <c r="M14" s="1"/>
      <c r="N14" s="1"/>
      <c r="O14" s="1"/>
      <c r="P14" s="1"/>
      <c r="Q14" s="1"/>
      <c r="R14" s="1"/>
      <c r="S14" s="1"/>
      <c r="T14" s="1"/>
      <c r="U14" s="1"/>
      <c r="V14" s="1"/>
    </row>
    <row r="15" spans="2:27" ht="20.100000000000001" customHeight="1">
      <c r="B15" s="1"/>
      <c r="C15" s="1"/>
      <c r="D15" s="1"/>
      <c r="F15" s="136" t="s">
        <v>68</v>
      </c>
      <c r="G15" s="137"/>
      <c r="H15" s="147">
        <f>領収証内訳!$X$2</f>
        <v>0</v>
      </c>
      <c r="I15" s="158"/>
      <c r="J15" s="159"/>
      <c r="K15" s="160"/>
      <c r="L15" s="2"/>
      <c r="M15" s="1"/>
      <c r="N15" s="1"/>
      <c r="O15" s="1"/>
      <c r="P15" s="5"/>
      <c r="Q15" s="136" t="s">
        <v>68</v>
      </c>
      <c r="R15" s="137"/>
      <c r="S15" s="147">
        <f>領収証内訳!$X$2</f>
        <v>0</v>
      </c>
      <c r="T15" s="158"/>
      <c r="U15" s="161"/>
      <c r="V15" s="161"/>
    </row>
    <row r="16" spans="2:27" ht="20.100000000000001" customHeight="1">
      <c r="B16" s="1"/>
      <c r="C16" s="1"/>
      <c r="D16" s="1"/>
      <c r="F16" s="138" t="s">
        <v>67</v>
      </c>
      <c r="G16" s="139"/>
      <c r="H16" s="151">
        <f>領収証内訳!$AA$2</f>
        <v>0</v>
      </c>
      <c r="I16" s="152"/>
      <c r="J16" s="9" t="s">
        <v>8</v>
      </c>
      <c r="K16" s="9"/>
      <c r="L16" s="12"/>
      <c r="M16" s="1"/>
      <c r="N16" s="1"/>
      <c r="O16" s="1"/>
      <c r="P16" s="5"/>
      <c r="Q16" s="138" t="s">
        <v>67</v>
      </c>
      <c r="R16" s="139"/>
      <c r="S16" s="151">
        <f>領収証内訳!$AA$2</f>
        <v>0</v>
      </c>
      <c r="T16" s="152"/>
      <c r="U16" s="9" t="s">
        <v>8</v>
      </c>
      <c r="V16" s="9"/>
    </row>
    <row r="17" spans="2:22" ht="6.95" customHeight="1">
      <c r="B17" s="10"/>
      <c r="C17" s="10"/>
      <c r="D17" s="10"/>
      <c r="E17" s="10"/>
      <c r="F17" s="13"/>
      <c r="G17" s="14"/>
      <c r="H17" s="10"/>
      <c r="I17" s="10"/>
      <c r="J17" s="11"/>
      <c r="K17" s="11"/>
      <c r="L17" s="15"/>
      <c r="M17" s="10"/>
      <c r="N17" s="10"/>
      <c r="O17" s="10"/>
      <c r="P17" s="10"/>
      <c r="Q17" s="13"/>
      <c r="R17" s="14"/>
      <c r="S17" s="10"/>
      <c r="T17" s="10"/>
      <c r="U17" s="11"/>
      <c r="V17" s="11"/>
    </row>
    <row r="18" spans="2:22" ht="10.5" customHeight="1">
      <c r="B18" s="1"/>
      <c r="C18" s="1"/>
      <c r="D18" s="1"/>
      <c r="E18" s="1"/>
      <c r="F18" s="1"/>
      <c r="G18" s="1"/>
      <c r="H18" s="1"/>
      <c r="I18" s="1"/>
      <c r="J18" s="1"/>
      <c r="K18" s="1"/>
      <c r="L18" s="2"/>
      <c r="M18" s="1"/>
      <c r="N18" s="1"/>
      <c r="O18" s="1"/>
      <c r="P18" s="1"/>
      <c r="Q18" s="1"/>
      <c r="R18" s="1"/>
      <c r="S18" s="1"/>
      <c r="T18" s="1"/>
      <c r="U18" s="1"/>
      <c r="V18" s="1"/>
    </row>
    <row r="19" spans="2:22" ht="21">
      <c r="B19" s="1"/>
      <c r="C19" s="1"/>
      <c r="D19" s="4" t="s">
        <v>4</v>
      </c>
      <c r="E19" s="1"/>
      <c r="F19" s="1"/>
      <c r="G19" s="1"/>
      <c r="H19" s="1"/>
      <c r="I19" s="1"/>
      <c r="J19" s="1"/>
      <c r="K19" s="1"/>
      <c r="L19" s="2"/>
      <c r="M19" s="1"/>
      <c r="N19" s="1"/>
      <c r="O19" s="4" t="s">
        <v>4</v>
      </c>
      <c r="P19" s="1"/>
      <c r="Q19" s="1"/>
      <c r="R19" s="1"/>
      <c r="S19" s="1"/>
      <c r="T19" s="1"/>
      <c r="U19" s="1"/>
      <c r="V19" s="1"/>
    </row>
    <row r="20" spans="2:22" ht="8.25" customHeight="1">
      <c r="B20" s="1"/>
      <c r="C20" s="1"/>
      <c r="D20" s="1"/>
      <c r="E20" s="1"/>
      <c r="F20" s="1"/>
      <c r="G20" s="1"/>
      <c r="H20" s="1"/>
      <c r="I20" s="1"/>
      <c r="J20" s="1"/>
      <c r="K20" s="1"/>
      <c r="L20" s="2"/>
      <c r="M20" s="1"/>
      <c r="N20" s="1"/>
      <c r="O20" s="1"/>
      <c r="P20" s="1"/>
      <c r="Q20" s="1"/>
      <c r="R20" s="1"/>
      <c r="S20" s="1"/>
      <c r="T20" s="1"/>
      <c r="U20" s="1"/>
      <c r="V20" s="1"/>
    </row>
    <row r="21" spans="2:22" ht="18.75">
      <c r="B21" s="1"/>
      <c r="C21" s="1"/>
      <c r="D21" s="1"/>
      <c r="E21" s="1"/>
      <c r="F21" s="140">
        <f>領収証内訳!$AA$3</f>
        <v>46275</v>
      </c>
      <c r="G21" s="141"/>
      <c r="H21" s="141"/>
      <c r="I21" s="141"/>
      <c r="J21" s="141"/>
      <c r="K21" s="1"/>
      <c r="L21" s="2"/>
      <c r="M21" s="1"/>
      <c r="N21" s="1"/>
      <c r="O21" s="1"/>
      <c r="P21" s="1"/>
      <c r="Q21" s="140">
        <f>領収証内訳!$AA$3</f>
        <v>46275</v>
      </c>
      <c r="R21" s="142"/>
      <c r="S21" s="142"/>
      <c r="T21" s="142"/>
      <c r="U21" s="142"/>
      <c r="V21" s="1"/>
    </row>
    <row r="22" spans="2:22" ht="9.9499999999999993" customHeight="1">
      <c r="B22" s="1"/>
      <c r="C22" s="1"/>
      <c r="D22" s="1"/>
      <c r="E22" s="1"/>
      <c r="F22" s="1"/>
      <c r="G22" s="1"/>
      <c r="H22" s="1"/>
      <c r="I22" s="1"/>
      <c r="J22" s="1"/>
      <c r="K22" s="1"/>
      <c r="L22" s="2"/>
      <c r="M22" s="1"/>
      <c r="N22" s="1"/>
      <c r="O22" s="1"/>
      <c r="P22" s="1"/>
      <c r="Q22" s="1"/>
      <c r="R22" s="1"/>
      <c r="S22" s="1"/>
      <c r="T22" s="1"/>
      <c r="U22" s="1"/>
      <c r="V22" s="1"/>
    </row>
    <row r="23" spans="2:22" ht="18.75">
      <c r="B23" s="154" t="str">
        <f ca="1">INDIRECT("領収証内訳!"&amp;$Z$2&amp;$X2+2)&amp;" さん保護者　様"</f>
        <v xml:space="preserve"> さん保護者　様</v>
      </c>
      <c r="C23" s="155"/>
      <c r="D23" s="156"/>
      <c r="E23" s="156"/>
      <c r="F23" s="156"/>
      <c r="G23" s="1"/>
      <c r="H23" s="1"/>
      <c r="I23" s="1"/>
      <c r="J23" s="1"/>
      <c r="K23" s="1"/>
      <c r="L23" s="2"/>
      <c r="M23" s="154" t="str">
        <f ca="1">INDIRECT("領収証内訳!"&amp;$Z$2&amp;$X2+3)&amp;" さん保護者　様"</f>
        <v xml:space="preserve"> さん保護者　様</v>
      </c>
      <c r="N23" s="155"/>
      <c r="O23" s="157"/>
      <c r="P23" s="157"/>
      <c r="Q23" s="157"/>
      <c r="R23" s="1"/>
      <c r="S23" s="1"/>
      <c r="T23" s="1"/>
      <c r="U23" s="1"/>
      <c r="V23" s="1"/>
    </row>
    <row r="24" spans="2:22" ht="9.9499999999999993" customHeight="1">
      <c r="B24" s="1"/>
      <c r="C24" s="1"/>
      <c r="D24" s="1"/>
      <c r="E24" s="1"/>
      <c r="F24" s="1"/>
      <c r="G24" s="1"/>
      <c r="H24" s="1"/>
      <c r="I24" s="1"/>
      <c r="J24" s="1"/>
      <c r="K24" s="1"/>
      <c r="L24" s="2"/>
      <c r="M24" s="1"/>
      <c r="N24" s="1"/>
      <c r="O24" s="1"/>
      <c r="P24" s="1"/>
      <c r="Q24" s="1"/>
      <c r="R24" s="1"/>
      <c r="S24" s="1"/>
      <c r="T24" s="1"/>
      <c r="U24" s="1"/>
      <c r="V24" s="1"/>
    </row>
    <row r="25" spans="2:22" ht="7.5" customHeight="1">
      <c r="B25" s="1"/>
      <c r="C25" s="1"/>
      <c r="D25" s="1"/>
      <c r="E25" s="1"/>
      <c r="F25" s="1"/>
      <c r="G25" s="1"/>
      <c r="H25" s="1"/>
      <c r="I25" s="1"/>
      <c r="J25" s="1"/>
      <c r="K25" s="1"/>
      <c r="L25" s="2"/>
      <c r="M25" s="1"/>
      <c r="N25" s="1"/>
      <c r="O25" s="1"/>
      <c r="P25" s="1"/>
      <c r="Q25" s="1"/>
      <c r="R25" s="1"/>
      <c r="S25" s="1"/>
      <c r="T25" s="1"/>
      <c r="U25" s="1"/>
      <c r="V25" s="1"/>
    </row>
    <row r="26" spans="2:22" ht="21">
      <c r="B26" s="1"/>
      <c r="C26" s="5"/>
      <c r="D26" s="6" t="s">
        <v>5</v>
      </c>
      <c r="E26" s="143">
        <f ca="1">INDIRECT("領収証内訳!"&amp;$Y$2&amp;$X2+2)</f>
        <v>0</v>
      </c>
      <c r="F26" s="144"/>
      <c r="G26" s="7" t="s">
        <v>6</v>
      </c>
      <c r="H26" s="8"/>
      <c r="I26" s="1"/>
      <c r="J26" s="1"/>
      <c r="K26" s="1"/>
      <c r="L26" s="2"/>
      <c r="M26" s="1"/>
      <c r="N26" s="5"/>
      <c r="O26" s="6" t="s">
        <v>5</v>
      </c>
      <c r="P26" s="143">
        <f ca="1">INDIRECT("領収証内訳!"&amp;$Y$2&amp;$X2+3)</f>
        <v>0</v>
      </c>
      <c r="Q26" s="144"/>
      <c r="R26" s="7" t="s">
        <v>6</v>
      </c>
      <c r="S26" s="8"/>
      <c r="T26" s="1"/>
      <c r="U26" s="1"/>
      <c r="V26" s="1"/>
    </row>
    <row r="27" spans="2:22">
      <c r="B27" s="1"/>
      <c r="C27" s="1"/>
      <c r="D27" s="1"/>
      <c r="E27" s="1"/>
      <c r="F27" s="1"/>
      <c r="G27" s="1"/>
      <c r="H27" s="1"/>
      <c r="I27" s="1"/>
      <c r="J27" s="1"/>
      <c r="K27" s="1"/>
      <c r="L27" s="2"/>
      <c r="M27" s="1"/>
      <c r="N27" s="1"/>
      <c r="O27" s="1"/>
      <c r="P27" s="1"/>
      <c r="Q27" s="1"/>
      <c r="R27" s="1"/>
      <c r="S27" s="1"/>
      <c r="T27" s="1"/>
      <c r="U27" s="1"/>
      <c r="V27" s="1"/>
    </row>
    <row r="28" spans="2:22" ht="18.75">
      <c r="B28" s="1"/>
      <c r="C28" s="1"/>
      <c r="D28" s="145" t="str">
        <f>"　　※但　　参加費等収入（"&amp;領収証内訳!$X$4&amp;"分）として"</f>
        <v>　　※但　　参加費等収入（４月分）として</v>
      </c>
      <c r="E28" s="146"/>
      <c r="F28" s="146"/>
      <c r="G28" s="146"/>
      <c r="H28" s="146"/>
      <c r="I28" s="146"/>
      <c r="J28" s="146"/>
      <c r="K28" s="1"/>
      <c r="L28" s="2"/>
      <c r="M28" s="1"/>
      <c r="N28" s="1"/>
      <c r="O28" s="145" t="str">
        <f>"　　※但　　参加費等収入（"&amp;領収証内訳!$X$4&amp;"分）として"</f>
        <v>　　※但　　参加費等収入（４月分）として</v>
      </c>
      <c r="P28" s="139"/>
      <c r="Q28" s="139"/>
      <c r="R28" s="139"/>
      <c r="S28" s="139"/>
      <c r="T28" s="139"/>
      <c r="U28" s="139"/>
      <c r="V28" s="1"/>
    </row>
    <row r="29" spans="2:22" ht="9.9499999999999993" customHeight="1">
      <c r="B29" s="1"/>
      <c r="C29" s="1"/>
      <c r="D29" s="1"/>
      <c r="E29" s="1"/>
      <c r="F29" s="1"/>
      <c r="G29" s="1"/>
      <c r="H29" s="1"/>
      <c r="I29" s="1"/>
      <c r="J29" s="1"/>
      <c r="K29" s="1"/>
      <c r="L29" s="2"/>
      <c r="M29" s="1"/>
      <c r="N29" s="1"/>
      <c r="O29" s="1"/>
      <c r="P29" s="1"/>
      <c r="Q29" s="1"/>
      <c r="R29" s="1"/>
      <c r="S29" s="1"/>
      <c r="T29" s="1"/>
      <c r="U29" s="1"/>
      <c r="V29" s="1"/>
    </row>
    <row r="30" spans="2:22" ht="18.75">
      <c r="B30" s="1"/>
      <c r="C30" s="1"/>
      <c r="D30" s="1"/>
      <c r="E30" s="17" t="s">
        <v>7</v>
      </c>
      <c r="F30" s="1"/>
      <c r="G30" s="1"/>
      <c r="H30" s="1"/>
      <c r="I30" s="1"/>
      <c r="J30" s="1"/>
      <c r="K30" s="1"/>
      <c r="L30" s="2"/>
      <c r="M30" s="1"/>
      <c r="N30" s="1"/>
      <c r="O30" s="1"/>
      <c r="P30" s="17" t="s">
        <v>7</v>
      </c>
      <c r="Q30" s="1"/>
      <c r="R30" s="1"/>
      <c r="S30" s="1"/>
      <c r="T30" s="1"/>
      <c r="U30" s="1"/>
      <c r="V30" s="1"/>
    </row>
    <row r="31" spans="2:22" ht="6" customHeight="1">
      <c r="B31" s="1"/>
      <c r="C31" s="1"/>
      <c r="D31" s="1"/>
      <c r="E31" s="1"/>
      <c r="F31" s="1"/>
      <c r="G31" s="1"/>
      <c r="H31" s="1"/>
      <c r="I31" s="1"/>
      <c r="J31" s="1"/>
      <c r="K31" s="1"/>
      <c r="L31" s="2"/>
      <c r="M31" s="1"/>
      <c r="N31" s="1"/>
      <c r="O31" s="1"/>
      <c r="P31" s="1"/>
      <c r="Q31" s="1"/>
      <c r="R31" s="1"/>
      <c r="S31" s="1"/>
      <c r="T31" s="1"/>
      <c r="U31" s="1"/>
      <c r="V31" s="1"/>
    </row>
    <row r="32" spans="2:22" ht="20.100000000000001" customHeight="1">
      <c r="B32" s="1"/>
      <c r="C32" s="1"/>
      <c r="D32" s="1"/>
      <c r="F32" s="136" t="s">
        <v>68</v>
      </c>
      <c r="G32" s="137"/>
      <c r="H32" s="147">
        <f>領収証内訳!$X$2</f>
        <v>0</v>
      </c>
      <c r="I32" s="148"/>
      <c r="J32" s="149"/>
      <c r="K32" s="150"/>
      <c r="L32" s="2"/>
      <c r="M32" s="1"/>
      <c r="N32" s="1"/>
      <c r="O32" s="1"/>
      <c r="P32" s="5"/>
      <c r="Q32" s="136" t="s">
        <v>68</v>
      </c>
      <c r="R32" s="137"/>
      <c r="S32" s="147">
        <f>領収証内訳!$X$2</f>
        <v>0</v>
      </c>
      <c r="T32" s="148"/>
      <c r="U32" s="153"/>
      <c r="V32" s="153"/>
    </row>
    <row r="33" spans="2:22" ht="20.100000000000001" customHeight="1">
      <c r="B33" s="1"/>
      <c r="C33" s="1"/>
      <c r="D33" s="1"/>
      <c r="F33" s="138" t="s">
        <v>67</v>
      </c>
      <c r="G33" s="139"/>
      <c r="H33" s="151">
        <f>領収証内訳!$AA$2</f>
        <v>0</v>
      </c>
      <c r="I33" s="152"/>
      <c r="J33" s="9" t="s">
        <v>8</v>
      </c>
      <c r="K33" s="9"/>
      <c r="L33" s="12"/>
      <c r="M33" s="1"/>
      <c r="N33" s="1"/>
      <c r="O33" s="1"/>
      <c r="P33" s="5"/>
      <c r="Q33" s="138" t="s">
        <v>67</v>
      </c>
      <c r="R33" s="139"/>
      <c r="S33" s="151">
        <f>領収証内訳!$AA$2</f>
        <v>0</v>
      </c>
      <c r="T33" s="152"/>
      <c r="U33" s="9" t="s">
        <v>8</v>
      </c>
      <c r="V33" s="9"/>
    </row>
    <row r="34" spans="2:22" ht="6.95" customHeight="1">
      <c r="B34" s="10"/>
      <c r="C34" s="10"/>
      <c r="D34" s="10"/>
      <c r="E34" s="10"/>
      <c r="F34" s="13"/>
      <c r="G34" s="14"/>
      <c r="H34" s="10"/>
      <c r="I34" s="10"/>
      <c r="J34" s="11"/>
      <c r="K34" s="11"/>
      <c r="L34" s="15"/>
      <c r="M34" s="10"/>
      <c r="N34" s="10"/>
      <c r="O34" s="10"/>
      <c r="P34" s="10"/>
      <c r="Q34" s="13"/>
      <c r="R34" s="14"/>
      <c r="S34" s="10"/>
      <c r="T34" s="10"/>
      <c r="U34" s="11"/>
      <c r="V34" s="11"/>
    </row>
    <row r="35" spans="2:22" ht="10.5" customHeight="1">
      <c r="B35" s="1"/>
      <c r="C35" s="1"/>
      <c r="D35" s="1"/>
      <c r="E35" s="1"/>
      <c r="F35" s="1"/>
      <c r="G35" s="1"/>
      <c r="H35" s="1"/>
      <c r="I35" s="1"/>
      <c r="J35" s="1"/>
      <c r="K35" s="1"/>
      <c r="L35" s="2"/>
      <c r="M35" s="1"/>
      <c r="N35" s="1"/>
      <c r="O35" s="1"/>
      <c r="P35" s="1"/>
      <c r="Q35" s="1"/>
      <c r="R35" s="1"/>
      <c r="S35" s="1"/>
      <c r="T35" s="1"/>
      <c r="U35" s="1"/>
      <c r="V35" s="1"/>
    </row>
    <row r="36" spans="2:22" ht="21">
      <c r="B36" s="1"/>
      <c r="C36" s="1"/>
      <c r="D36" s="4" t="s">
        <v>4</v>
      </c>
      <c r="E36" s="1"/>
      <c r="F36" s="1"/>
      <c r="G36" s="1"/>
      <c r="H36" s="1"/>
      <c r="I36" s="1"/>
      <c r="J36" s="1"/>
      <c r="K36" s="1"/>
      <c r="L36" s="2"/>
      <c r="M36" s="1"/>
      <c r="N36" s="1"/>
      <c r="O36" s="4" t="s">
        <v>4</v>
      </c>
      <c r="P36" s="1"/>
      <c r="Q36" s="1"/>
      <c r="R36" s="1"/>
      <c r="S36" s="1"/>
      <c r="T36" s="1"/>
      <c r="U36" s="1"/>
      <c r="V36" s="1"/>
    </row>
    <row r="37" spans="2:22" ht="8.25" customHeight="1">
      <c r="B37" s="1"/>
      <c r="C37" s="1"/>
      <c r="D37" s="1"/>
      <c r="E37" s="1"/>
      <c r="F37" s="1"/>
      <c r="G37" s="1"/>
      <c r="H37" s="1"/>
      <c r="I37" s="1"/>
      <c r="J37" s="1"/>
      <c r="K37" s="1"/>
      <c r="L37" s="2"/>
      <c r="M37" s="1"/>
      <c r="N37" s="1"/>
      <c r="O37" s="1"/>
      <c r="P37" s="1"/>
      <c r="Q37" s="1"/>
      <c r="R37" s="1"/>
      <c r="S37" s="1"/>
      <c r="T37" s="1"/>
      <c r="U37" s="1"/>
      <c r="V37" s="1"/>
    </row>
    <row r="38" spans="2:22" ht="18.75">
      <c r="B38" s="1"/>
      <c r="C38" s="1"/>
      <c r="D38" s="1"/>
      <c r="E38" s="1"/>
      <c r="F38" s="140">
        <f>領収証内訳!$AA$3</f>
        <v>46275</v>
      </c>
      <c r="G38" s="141"/>
      <c r="H38" s="141"/>
      <c r="I38" s="141"/>
      <c r="J38" s="141"/>
      <c r="K38" s="1"/>
      <c r="L38" s="2"/>
      <c r="M38" s="1"/>
      <c r="N38" s="1"/>
      <c r="O38" s="1"/>
      <c r="P38" s="1"/>
      <c r="Q38" s="140">
        <f>領収証内訳!$AA$3</f>
        <v>46275</v>
      </c>
      <c r="R38" s="142"/>
      <c r="S38" s="142"/>
      <c r="T38" s="142"/>
      <c r="U38" s="142"/>
      <c r="V38" s="1"/>
    </row>
    <row r="39" spans="2:22" ht="9.9499999999999993" customHeight="1">
      <c r="B39" s="1"/>
      <c r="C39" s="1"/>
      <c r="D39" s="1"/>
      <c r="E39" s="1"/>
      <c r="F39" s="1"/>
      <c r="G39" s="1"/>
      <c r="H39" s="1"/>
      <c r="I39" s="1"/>
      <c r="J39" s="1"/>
      <c r="K39" s="1"/>
      <c r="L39" s="2"/>
      <c r="M39" s="1"/>
      <c r="N39" s="1"/>
      <c r="O39" s="1"/>
      <c r="P39" s="1"/>
      <c r="Q39" s="1"/>
      <c r="R39" s="1"/>
      <c r="S39" s="1"/>
      <c r="T39" s="1"/>
      <c r="U39" s="1"/>
      <c r="V39" s="1"/>
    </row>
    <row r="40" spans="2:22" ht="18.75">
      <c r="B40" s="154" t="str">
        <f ca="1">INDIRECT("領収証内訳!"&amp;$Z$2&amp;$X2+4)&amp;" さん保護者　様"</f>
        <v xml:space="preserve"> さん保護者　様</v>
      </c>
      <c r="C40" s="155"/>
      <c r="D40" s="156"/>
      <c r="E40" s="156"/>
      <c r="F40" s="156"/>
      <c r="G40" s="1"/>
      <c r="H40" s="1"/>
      <c r="I40" s="1"/>
      <c r="J40" s="1"/>
      <c r="K40" s="1"/>
      <c r="L40" s="2"/>
      <c r="M40" s="154" t="str">
        <f ca="1">INDIRECT("領収証内訳!"&amp;$Z$2&amp;$X2+5)&amp;" さん保護者　様"</f>
        <v xml:space="preserve"> さん保護者　様</v>
      </c>
      <c r="N40" s="155"/>
      <c r="O40" s="157"/>
      <c r="P40" s="157"/>
      <c r="Q40" s="157"/>
      <c r="R40" s="1"/>
      <c r="S40" s="1"/>
      <c r="T40" s="1"/>
      <c r="U40" s="1"/>
      <c r="V40" s="1"/>
    </row>
    <row r="41" spans="2:22" ht="9.9499999999999993" customHeight="1">
      <c r="B41" s="1"/>
      <c r="C41" s="1"/>
      <c r="D41" s="1"/>
      <c r="E41" s="1"/>
      <c r="F41" s="1"/>
      <c r="G41" s="1"/>
      <c r="H41" s="1"/>
      <c r="I41" s="1"/>
      <c r="J41" s="1"/>
      <c r="K41" s="1"/>
      <c r="L41" s="2"/>
      <c r="M41" s="1"/>
      <c r="N41" s="1"/>
      <c r="O41" s="1"/>
      <c r="P41" s="1"/>
      <c r="Q41" s="1"/>
      <c r="R41" s="1"/>
      <c r="S41" s="1"/>
      <c r="T41" s="1"/>
      <c r="U41" s="1"/>
      <c r="V41" s="1"/>
    </row>
    <row r="42" spans="2:22" ht="7.5" customHeight="1">
      <c r="B42" s="1"/>
      <c r="C42" s="1"/>
      <c r="D42" s="1"/>
      <c r="E42" s="1"/>
      <c r="F42" s="1"/>
      <c r="G42" s="1"/>
      <c r="H42" s="1"/>
      <c r="I42" s="1"/>
      <c r="J42" s="1"/>
      <c r="K42" s="1"/>
      <c r="L42" s="2"/>
      <c r="M42" s="1"/>
      <c r="N42" s="1"/>
      <c r="O42" s="1"/>
      <c r="P42" s="1"/>
      <c r="Q42" s="1"/>
      <c r="R42" s="1"/>
      <c r="S42" s="1"/>
      <c r="T42" s="1"/>
      <c r="U42" s="1"/>
      <c r="V42" s="1"/>
    </row>
    <row r="43" spans="2:22" ht="21">
      <c r="B43" s="1"/>
      <c r="C43" s="5"/>
      <c r="D43" s="6" t="s">
        <v>5</v>
      </c>
      <c r="E43" s="143">
        <f ca="1">INDIRECT("領収証内訳!"&amp;$Y$2&amp;$X2+4)</f>
        <v>0</v>
      </c>
      <c r="F43" s="144"/>
      <c r="G43" s="7" t="s">
        <v>6</v>
      </c>
      <c r="H43" s="8"/>
      <c r="I43" s="1"/>
      <c r="J43" s="1"/>
      <c r="K43" s="1"/>
      <c r="L43" s="2"/>
      <c r="M43" s="1"/>
      <c r="N43" s="5"/>
      <c r="O43" s="6" t="s">
        <v>5</v>
      </c>
      <c r="P43" s="143">
        <f ca="1">INDIRECT("領収証内訳!"&amp;$Y$2&amp;$X2+5)</f>
        <v>0</v>
      </c>
      <c r="Q43" s="144"/>
      <c r="R43" s="7" t="s">
        <v>6</v>
      </c>
      <c r="S43" s="8"/>
      <c r="T43" s="1"/>
      <c r="U43" s="1"/>
      <c r="V43" s="1"/>
    </row>
    <row r="44" spans="2:22" ht="9.9499999999999993" customHeight="1">
      <c r="B44" s="1"/>
      <c r="C44" s="1"/>
      <c r="D44" s="1"/>
      <c r="E44" s="1"/>
      <c r="F44" s="1"/>
      <c r="G44" s="1"/>
      <c r="H44" s="1"/>
      <c r="I44" s="1"/>
      <c r="J44" s="1"/>
      <c r="K44" s="1"/>
      <c r="L44" s="2"/>
      <c r="M44" s="1"/>
      <c r="N44" s="1"/>
      <c r="O44" s="1"/>
      <c r="P44" s="1"/>
      <c r="Q44" s="1"/>
      <c r="R44" s="1"/>
      <c r="S44" s="1"/>
      <c r="T44" s="1"/>
      <c r="U44" s="1"/>
      <c r="V44" s="1"/>
    </row>
    <row r="45" spans="2:22" ht="18.75">
      <c r="B45" s="1"/>
      <c r="C45" s="1"/>
      <c r="D45" s="145" t="str">
        <f>"　　※但　　参加費等収入（"&amp;領収証内訳!$X$4&amp;"分）として"</f>
        <v>　　※但　　参加費等収入（４月分）として</v>
      </c>
      <c r="E45" s="146"/>
      <c r="F45" s="146"/>
      <c r="G45" s="146"/>
      <c r="H45" s="146"/>
      <c r="I45" s="146"/>
      <c r="J45" s="146"/>
      <c r="K45" s="1"/>
      <c r="L45" s="2"/>
      <c r="M45" s="1"/>
      <c r="N45" s="1"/>
      <c r="O45" s="145" t="str">
        <f>"　　※但　　参加費等収入（"&amp;領収証内訳!$X$4&amp;"分）として"</f>
        <v>　　※但　　参加費等収入（４月分）として</v>
      </c>
      <c r="P45" s="139"/>
      <c r="Q45" s="139"/>
      <c r="R45" s="139"/>
      <c r="S45" s="139"/>
      <c r="T45" s="139"/>
      <c r="U45" s="139"/>
      <c r="V45" s="1"/>
    </row>
    <row r="46" spans="2:22" ht="9.9499999999999993" customHeight="1">
      <c r="B46" s="1"/>
      <c r="C46" s="1"/>
      <c r="D46" s="1"/>
      <c r="E46" s="1"/>
      <c r="F46" s="1"/>
      <c r="G46" s="1"/>
      <c r="H46" s="1"/>
      <c r="I46" s="1"/>
      <c r="J46" s="1"/>
      <c r="K46" s="1"/>
      <c r="L46" s="2"/>
      <c r="M46" s="1"/>
      <c r="N46" s="1"/>
      <c r="O46" s="1"/>
      <c r="P46" s="1"/>
      <c r="Q46" s="1"/>
      <c r="R46" s="1"/>
      <c r="S46" s="1"/>
      <c r="T46" s="1"/>
      <c r="U46" s="1"/>
      <c r="V46" s="1"/>
    </row>
    <row r="47" spans="2:22" ht="18.75">
      <c r="B47" s="1"/>
      <c r="C47" s="1"/>
      <c r="D47" s="1"/>
      <c r="E47" s="17" t="s">
        <v>7</v>
      </c>
      <c r="F47" s="1"/>
      <c r="G47" s="1"/>
      <c r="H47" s="1"/>
      <c r="I47" s="1"/>
      <c r="J47" s="1"/>
      <c r="K47" s="1"/>
      <c r="L47" s="2"/>
      <c r="M47" s="1"/>
      <c r="N47" s="1"/>
      <c r="O47" s="1"/>
      <c r="P47" s="17" t="s">
        <v>7</v>
      </c>
      <c r="Q47" s="1"/>
      <c r="R47" s="1"/>
      <c r="S47" s="1"/>
      <c r="T47" s="1"/>
      <c r="U47" s="1"/>
      <c r="V47" s="1"/>
    </row>
    <row r="48" spans="2:22" ht="6" customHeight="1">
      <c r="B48" s="1"/>
      <c r="C48" s="1"/>
      <c r="D48" s="1"/>
      <c r="E48" s="1"/>
      <c r="F48" s="1"/>
      <c r="G48" s="1"/>
      <c r="H48" s="1"/>
      <c r="I48" s="1"/>
      <c r="J48" s="1"/>
      <c r="K48" s="1"/>
      <c r="L48" s="2"/>
      <c r="M48" s="1"/>
      <c r="N48" s="1"/>
      <c r="O48" s="1"/>
      <c r="P48" s="1"/>
      <c r="Q48" s="1"/>
      <c r="R48" s="1"/>
      <c r="S48" s="1"/>
      <c r="T48" s="1"/>
      <c r="U48" s="1"/>
      <c r="V48" s="1"/>
    </row>
    <row r="49" spans="2:22" ht="20.100000000000001" customHeight="1">
      <c r="B49" s="1"/>
      <c r="C49" s="1"/>
      <c r="D49" s="1"/>
      <c r="F49" s="136" t="s">
        <v>68</v>
      </c>
      <c r="G49" s="137"/>
      <c r="H49" s="147">
        <f>領収証内訳!$X$2</f>
        <v>0</v>
      </c>
      <c r="I49" s="148"/>
      <c r="J49" s="149"/>
      <c r="K49" s="150"/>
      <c r="L49" s="2"/>
      <c r="M49" s="1"/>
      <c r="N49" s="1"/>
      <c r="O49" s="1"/>
      <c r="P49" s="5"/>
      <c r="Q49" s="136" t="s">
        <v>68</v>
      </c>
      <c r="R49" s="137"/>
      <c r="S49" s="147">
        <f>領収証内訳!$X$2</f>
        <v>0</v>
      </c>
      <c r="T49" s="148"/>
      <c r="U49" s="153"/>
      <c r="V49" s="153"/>
    </row>
    <row r="50" spans="2:22" ht="20.100000000000001" customHeight="1">
      <c r="B50" s="1"/>
      <c r="C50" s="1"/>
      <c r="D50" s="1"/>
      <c r="F50" s="138" t="s">
        <v>67</v>
      </c>
      <c r="G50" s="139"/>
      <c r="H50" s="151">
        <f>領収証内訳!$AA$2</f>
        <v>0</v>
      </c>
      <c r="I50" s="152"/>
      <c r="J50" s="9" t="s">
        <v>8</v>
      </c>
      <c r="K50" s="9"/>
      <c r="L50" s="12"/>
      <c r="M50" s="1"/>
      <c r="N50" s="1"/>
      <c r="O50" s="1"/>
      <c r="P50" s="5"/>
      <c r="Q50" s="138" t="s">
        <v>67</v>
      </c>
      <c r="R50" s="139"/>
      <c r="S50" s="151">
        <f>領収証内訳!$AA$2</f>
        <v>0</v>
      </c>
      <c r="T50" s="152"/>
      <c r="U50" s="9" t="s">
        <v>8</v>
      </c>
      <c r="V50" s="9"/>
    </row>
    <row r="51" spans="2:22" ht="6.95" customHeight="1">
      <c r="B51" s="10"/>
      <c r="C51" s="10"/>
      <c r="D51" s="10"/>
      <c r="E51" s="10"/>
      <c r="F51" s="13"/>
      <c r="G51" s="14"/>
      <c r="H51" s="10"/>
      <c r="I51" s="10"/>
      <c r="J51" s="11"/>
      <c r="K51" s="11"/>
      <c r="L51" s="15"/>
      <c r="M51" s="10"/>
      <c r="N51" s="10"/>
      <c r="O51" s="10"/>
      <c r="P51" s="10"/>
      <c r="Q51" s="13"/>
      <c r="R51" s="14"/>
      <c r="S51" s="10"/>
      <c r="T51" s="10"/>
      <c r="U51" s="11"/>
      <c r="V51" s="11"/>
    </row>
    <row r="52" spans="2:22" ht="10.5" customHeight="1">
      <c r="B52" s="1"/>
      <c r="C52" s="1"/>
      <c r="D52" s="1"/>
      <c r="E52" s="1"/>
      <c r="F52" s="1"/>
      <c r="G52" s="1"/>
      <c r="H52" s="1"/>
      <c r="I52" s="1"/>
      <c r="J52" s="1"/>
      <c r="K52" s="1"/>
      <c r="L52" s="2"/>
      <c r="M52" s="1"/>
      <c r="N52" s="1"/>
      <c r="O52" s="1"/>
      <c r="P52" s="1"/>
      <c r="Q52" s="1"/>
      <c r="R52" s="1"/>
      <c r="S52" s="1"/>
      <c r="T52" s="1"/>
      <c r="U52" s="1"/>
      <c r="V52" s="1"/>
    </row>
    <row r="53" spans="2:22" ht="21">
      <c r="B53" s="1"/>
      <c r="C53" s="1"/>
      <c r="D53" s="4" t="s">
        <v>4</v>
      </c>
      <c r="E53" s="1"/>
      <c r="F53" s="1"/>
      <c r="G53" s="1"/>
      <c r="H53" s="1"/>
      <c r="I53" s="1"/>
      <c r="J53" s="1"/>
      <c r="K53" s="1"/>
      <c r="L53" s="2"/>
      <c r="M53" s="1"/>
      <c r="N53" s="1"/>
      <c r="O53" s="4" t="s">
        <v>4</v>
      </c>
      <c r="P53" s="1"/>
      <c r="Q53" s="1"/>
      <c r="R53" s="1"/>
      <c r="S53" s="1"/>
      <c r="T53" s="1"/>
      <c r="U53" s="1"/>
      <c r="V53" s="1"/>
    </row>
    <row r="54" spans="2:22" ht="8.25" customHeight="1">
      <c r="B54" s="1"/>
      <c r="C54" s="1"/>
      <c r="D54" s="1"/>
      <c r="E54" s="1"/>
      <c r="F54" s="1"/>
      <c r="G54" s="1"/>
      <c r="H54" s="1"/>
      <c r="I54" s="1"/>
      <c r="J54" s="1"/>
      <c r="K54" s="1"/>
      <c r="L54" s="2"/>
      <c r="M54" s="1"/>
      <c r="N54" s="1"/>
      <c r="O54" s="1"/>
      <c r="P54" s="1"/>
      <c r="Q54" s="1"/>
      <c r="R54" s="1"/>
      <c r="S54" s="1"/>
      <c r="T54" s="1"/>
      <c r="U54" s="1"/>
      <c r="V54" s="1"/>
    </row>
    <row r="55" spans="2:22" ht="18.75">
      <c r="B55" s="1"/>
      <c r="C55" s="1"/>
      <c r="D55" s="1"/>
      <c r="E55" s="1"/>
      <c r="F55" s="140">
        <f>領収証内訳!$AA$3</f>
        <v>46275</v>
      </c>
      <c r="G55" s="141"/>
      <c r="H55" s="141"/>
      <c r="I55" s="141"/>
      <c r="J55" s="141"/>
      <c r="K55" s="1"/>
      <c r="L55" s="2"/>
      <c r="M55" s="1"/>
      <c r="N55" s="1"/>
      <c r="O55" s="1"/>
      <c r="P55" s="1"/>
      <c r="Q55" s="140">
        <f>領収証内訳!$AA$3</f>
        <v>46275</v>
      </c>
      <c r="R55" s="142"/>
      <c r="S55" s="142"/>
      <c r="T55" s="142"/>
      <c r="U55" s="142"/>
      <c r="V55" s="1"/>
    </row>
    <row r="56" spans="2:22" ht="9.9499999999999993" customHeight="1">
      <c r="B56" s="1"/>
      <c r="C56" s="1"/>
      <c r="D56" s="1"/>
      <c r="E56" s="1"/>
      <c r="F56" s="1"/>
      <c r="G56" s="1"/>
      <c r="H56" s="1"/>
      <c r="I56" s="1"/>
      <c r="J56" s="1"/>
      <c r="K56" s="1"/>
      <c r="L56" s="2"/>
      <c r="M56" s="1"/>
      <c r="N56" s="1"/>
      <c r="O56" s="1"/>
      <c r="P56" s="1"/>
      <c r="Q56" s="1"/>
      <c r="R56" s="1"/>
      <c r="S56" s="1"/>
      <c r="T56" s="1"/>
      <c r="U56" s="1"/>
      <c r="V56" s="1"/>
    </row>
    <row r="57" spans="2:22" ht="18.75">
      <c r="B57" s="154" t="str">
        <f ca="1">INDIRECT("領収証内訳!"&amp;$Z$2&amp;$X2+6)&amp;" さん保護者　様"</f>
        <v xml:space="preserve"> さん保護者　様</v>
      </c>
      <c r="C57" s="155"/>
      <c r="D57" s="156"/>
      <c r="E57" s="156"/>
      <c r="F57" s="156"/>
      <c r="G57" s="1"/>
      <c r="H57" s="1"/>
      <c r="I57" s="1"/>
      <c r="J57" s="1"/>
      <c r="K57" s="1"/>
      <c r="L57" s="2"/>
      <c r="M57" s="154" t="str">
        <f ca="1">INDIRECT("領収証内訳!"&amp;$Z$2&amp;$X2+7)&amp;" さん保護者　様"</f>
        <v xml:space="preserve"> さん保護者　様</v>
      </c>
      <c r="N57" s="155"/>
      <c r="O57" s="157"/>
      <c r="P57" s="157"/>
      <c r="Q57" s="157"/>
      <c r="R57" s="1"/>
      <c r="S57" s="1"/>
      <c r="T57" s="1"/>
      <c r="U57" s="1"/>
      <c r="V57" s="1"/>
    </row>
    <row r="58" spans="2:22">
      <c r="B58" s="1"/>
      <c r="C58" s="1"/>
      <c r="D58" s="1"/>
      <c r="E58" s="1"/>
      <c r="F58" s="1"/>
      <c r="G58" s="1"/>
      <c r="H58" s="1"/>
      <c r="I58" s="1"/>
      <c r="J58" s="1"/>
      <c r="K58" s="1"/>
      <c r="L58" s="2"/>
      <c r="M58" s="1"/>
      <c r="N58" s="1"/>
      <c r="O58" s="1"/>
      <c r="P58" s="1"/>
      <c r="Q58" s="1"/>
      <c r="R58" s="1"/>
      <c r="S58" s="1"/>
      <c r="T58" s="1"/>
      <c r="U58" s="1"/>
      <c r="V58" s="1"/>
    </row>
    <row r="59" spans="2:22" ht="7.5" customHeight="1">
      <c r="B59" s="1"/>
      <c r="C59" s="1"/>
      <c r="D59" s="1"/>
      <c r="E59" s="1"/>
      <c r="F59" s="1"/>
      <c r="G59" s="1"/>
      <c r="H59" s="1"/>
      <c r="I59" s="1"/>
      <c r="J59" s="1"/>
      <c r="K59" s="1"/>
      <c r="L59" s="2"/>
      <c r="M59" s="1"/>
      <c r="N59" s="1"/>
      <c r="O59" s="1"/>
      <c r="P59" s="1"/>
      <c r="Q59" s="1"/>
      <c r="R59" s="1"/>
      <c r="S59" s="1"/>
      <c r="T59" s="1"/>
      <c r="U59" s="1"/>
      <c r="V59" s="1"/>
    </row>
    <row r="60" spans="2:22" ht="21">
      <c r="B60" s="1"/>
      <c r="C60" s="5"/>
      <c r="D60" s="6" t="s">
        <v>5</v>
      </c>
      <c r="E60" s="143">
        <f ca="1">INDIRECT("領収証内訳!"&amp;$Y$2&amp;$X2+6)</f>
        <v>0</v>
      </c>
      <c r="F60" s="144"/>
      <c r="G60" s="7" t="s">
        <v>6</v>
      </c>
      <c r="H60" s="8"/>
      <c r="I60" s="1"/>
      <c r="J60" s="1"/>
      <c r="K60" s="1"/>
      <c r="L60" s="2"/>
      <c r="M60" s="1"/>
      <c r="N60" s="5"/>
      <c r="O60" s="6" t="s">
        <v>5</v>
      </c>
      <c r="P60" s="143">
        <f ca="1">INDIRECT("領収証内訳!"&amp;$Y$2&amp;$X2+7)</f>
        <v>0</v>
      </c>
      <c r="Q60" s="144"/>
      <c r="R60" s="7" t="s">
        <v>6</v>
      </c>
      <c r="S60" s="8"/>
      <c r="T60" s="1"/>
      <c r="U60" s="1"/>
      <c r="V60" s="1"/>
    </row>
    <row r="61" spans="2:22">
      <c r="B61" s="1"/>
      <c r="C61" s="1"/>
      <c r="D61" s="1"/>
      <c r="E61" s="1"/>
      <c r="F61" s="1"/>
      <c r="G61" s="1"/>
      <c r="H61" s="1"/>
      <c r="I61" s="1"/>
      <c r="J61" s="1"/>
      <c r="K61" s="1"/>
      <c r="L61" s="2"/>
      <c r="M61" s="1"/>
      <c r="N61" s="1"/>
      <c r="O61" s="1"/>
      <c r="P61" s="1"/>
      <c r="Q61" s="1"/>
      <c r="R61" s="1"/>
      <c r="S61" s="1"/>
      <c r="T61" s="1"/>
      <c r="U61" s="1"/>
      <c r="V61" s="1"/>
    </row>
    <row r="62" spans="2:22" ht="18.75">
      <c r="B62" s="1"/>
      <c r="C62" s="1"/>
      <c r="D62" s="145" t="str">
        <f>"　　※但　　参加費等収入（"&amp;領収証内訳!$X$4&amp;"分）として"</f>
        <v>　　※但　　参加費等収入（４月分）として</v>
      </c>
      <c r="E62" s="146"/>
      <c r="F62" s="146"/>
      <c r="G62" s="146"/>
      <c r="H62" s="146"/>
      <c r="I62" s="146"/>
      <c r="J62" s="146"/>
      <c r="K62" s="1"/>
      <c r="L62" s="2"/>
      <c r="M62" s="1"/>
      <c r="N62" s="1"/>
      <c r="O62" s="145" t="str">
        <f>"　　※但　　参加費等収入（"&amp;領収証内訳!$X$4&amp;"分）として"</f>
        <v>　　※但　　参加費等収入（４月分）として</v>
      </c>
      <c r="P62" s="139"/>
      <c r="Q62" s="139"/>
      <c r="R62" s="139"/>
      <c r="S62" s="139"/>
      <c r="T62" s="139"/>
      <c r="U62" s="139"/>
      <c r="V62" s="1"/>
    </row>
    <row r="63" spans="2:22">
      <c r="B63" s="1"/>
      <c r="C63" s="1"/>
      <c r="D63" s="1"/>
      <c r="E63" s="1"/>
      <c r="F63" s="1"/>
      <c r="G63" s="1"/>
      <c r="H63" s="1"/>
      <c r="I63" s="1"/>
      <c r="J63" s="1"/>
      <c r="K63" s="1"/>
      <c r="L63" s="2"/>
      <c r="M63" s="1"/>
      <c r="N63" s="1"/>
      <c r="O63" s="1"/>
      <c r="P63" s="1"/>
      <c r="Q63" s="1"/>
      <c r="R63" s="1"/>
      <c r="S63" s="1"/>
      <c r="T63" s="1"/>
      <c r="U63" s="1"/>
      <c r="V63" s="1"/>
    </row>
    <row r="64" spans="2:22" ht="18.75">
      <c r="B64" s="1"/>
      <c r="C64" s="1"/>
      <c r="D64" s="1"/>
      <c r="E64" s="17" t="s">
        <v>7</v>
      </c>
      <c r="F64" s="1"/>
      <c r="G64" s="1"/>
      <c r="H64" s="1"/>
      <c r="I64" s="1"/>
      <c r="J64" s="1"/>
      <c r="K64" s="1"/>
      <c r="L64" s="2"/>
      <c r="M64" s="1"/>
      <c r="N64" s="1"/>
      <c r="O64" s="1"/>
      <c r="P64" s="17" t="s">
        <v>7</v>
      </c>
      <c r="Q64" s="1"/>
      <c r="R64" s="1"/>
      <c r="S64" s="1"/>
      <c r="T64" s="1"/>
      <c r="U64" s="1"/>
      <c r="V64" s="1"/>
    </row>
    <row r="65" spans="2:24" ht="6" customHeight="1">
      <c r="B65" s="1"/>
      <c r="C65" s="1"/>
      <c r="D65" s="1"/>
      <c r="E65" s="1"/>
      <c r="F65" s="1"/>
      <c r="G65" s="1"/>
      <c r="H65" s="1"/>
      <c r="I65" s="1"/>
      <c r="J65" s="1"/>
      <c r="K65" s="1"/>
      <c r="L65" s="2"/>
      <c r="M65" s="1"/>
      <c r="N65" s="1"/>
      <c r="O65" s="1"/>
      <c r="P65" s="1"/>
      <c r="Q65" s="1"/>
      <c r="R65" s="1"/>
      <c r="S65" s="1"/>
      <c r="T65" s="1"/>
      <c r="U65" s="1"/>
      <c r="V65" s="1"/>
    </row>
    <row r="66" spans="2:24" ht="20.100000000000001" customHeight="1">
      <c r="B66" s="1"/>
      <c r="C66" s="1"/>
      <c r="D66" s="1"/>
      <c r="F66" s="136" t="s">
        <v>68</v>
      </c>
      <c r="G66" s="137"/>
      <c r="H66" s="147">
        <f>領収証内訳!$X$2</f>
        <v>0</v>
      </c>
      <c r="I66" s="148"/>
      <c r="J66" s="149"/>
      <c r="K66" s="150"/>
      <c r="L66" s="2"/>
      <c r="M66" s="1"/>
      <c r="N66" s="1"/>
      <c r="O66" s="1"/>
      <c r="P66" s="5"/>
      <c r="Q66" s="136" t="s">
        <v>68</v>
      </c>
      <c r="R66" s="137"/>
      <c r="S66" s="147">
        <f>領収証内訳!$X$2</f>
        <v>0</v>
      </c>
      <c r="T66" s="148"/>
      <c r="U66" s="153"/>
      <c r="V66" s="153"/>
    </row>
    <row r="67" spans="2:24" ht="20.100000000000001" customHeight="1">
      <c r="B67" s="1"/>
      <c r="C67" s="1"/>
      <c r="D67" s="1"/>
      <c r="F67" s="138" t="s">
        <v>67</v>
      </c>
      <c r="G67" s="139"/>
      <c r="H67" s="151">
        <f>領収証内訳!$AA$2</f>
        <v>0</v>
      </c>
      <c r="I67" s="152"/>
      <c r="J67" s="9" t="s">
        <v>8</v>
      </c>
      <c r="K67" s="9"/>
      <c r="L67" s="12"/>
      <c r="M67" s="1"/>
      <c r="N67" s="1"/>
      <c r="O67" s="1"/>
      <c r="P67" s="5"/>
      <c r="Q67" s="138" t="s">
        <v>67</v>
      </c>
      <c r="R67" s="139"/>
      <c r="S67" s="151">
        <f>領収証内訳!$AA$2</f>
        <v>0</v>
      </c>
      <c r="T67" s="152"/>
      <c r="U67" s="9" t="s">
        <v>8</v>
      </c>
      <c r="V67" s="9"/>
    </row>
    <row r="68" spans="2:24" ht="5.25" customHeight="1">
      <c r="B68" s="1"/>
      <c r="C68" s="1"/>
      <c r="D68" s="1"/>
      <c r="E68" s="1"/>
      <c r="F68" s="16"/>
      <c r="G68" s="5"/>
      <c r="H68" s="1"/>
      <c r="I68" s="1"/>
      <c r="J68" s="9"/>
      <c r="K68" s="9"/>
      <c r="L68" s="12"/>
      <c r="M68" s="1"/>
      <c r="N68" s="1"/>
      <c r="O68" s="1"/>
      <c r="P68" s="1"/>
      <c r="Q68" s="16"/>
      <c r="R68" s="5"/>
      <c r="S68" s="1"/>
      <c r="T68" s="1"/>
      <c r="U68" s="9"/>
      <c r="V68" s="9"/>
    </row>
    <row r="69" spans="2:24" ht="10.5" customHeight="1">
      <c r="B69" s="1"/>
      <c r="C69" s="1"/>
      <c r="D69" s="1"/>
      <c r="E69" s="1"/>
      <c r="F69" s="1"/>
      <c r="G69" s="1"/>
      <c r="H69" s="1"/>
      <c r="I69" s="1"/>
      <c r="J69" s="1"/>
      <c r="K69" s="1"/>
      <c r="L69" s="2"/>
      <c r="M69" s="1"/>
      <c r="N69" s="1"/>
      <c r="O69" s="1"/>
      <c r="P69" s="1"/>
      <c r="Q69" s="1"/>
      <c r="R69" s="1"/>
      <c r="S69" s="1"/>
      <c r="T69" s="1"/>
      <c r="U69" s="1"/>
      <c r="V69" s="1"/>
    </row>
    <row r="70" spans="2:24" ht="21">
      <c r="B70" s="1"/>
      <c r="C70" s="1"/>
      <c r="D70" s="4" t="s">
        <v>4</v>
      </c>
      <c r="E70" s="1"/>
      <c r="F70" s="1"/>
      <c r="G70" s="1"/>
      <c r="H70" s="1"/>
      <c r="I70" s="1"/>
      <c r="J70" s="1"/>
      <c r="K70" s="1"/>
      <c r="L70" s="2"/>
      <c r="M70" s="1"/>
      <c r="N70" s="1"/>
      <c r="O70" s="4" t="s">
        <v>4</v>
      </c>
      <c r="P70" s="1"/>
      <c r="Q70" s="1"/>
      <c r="R70" s="1"/>
      <c r="S70" s="1"/>
      <c r="T70" s="1"/>
      <c r="U70" s="1"/>
      <c r="V70" s="1"/>
      <c r="X70" s="3">
        <f>X2+8</f>
        <v>13</v>
      </c>
    </row>
    <row r="71" spans="2:24" ht="8.25" customHeight="1">
      <c r="B71" s="1"/>
      <c r="C71" s="1"/>
      <c r="D71" s="1"/>
      <c r="E71" s="1"/>
      <c r="F71" s="1"/>
      <c r="G71" s="1"/>
      <c r="H71" s="1"/>
      <c r="I71" s="1"/>
      <c r="J71" s="1"/>
      <c r="K71" s="1"/>
      <c r="L71" s="2"/>
      <c r="M71" s="1"/>
      <c r="N71" s="1"/>
      <c r="O71" s="1"/>
      <c r="P71" s="1"/>
      <c r="Q71" s="1"/>
      <c r="R71" s="1"/>
      <c r="S71" s="1"/>
      <c r="T71" s="1"/>
      <c r="U71" s="1"/>
      <c r="V71" s="1"/>
    </row>
    <row r="72" spans="2:24" ht="18.75">
      <c r="B72" s="1"/>
      <c r="C72" s="1"/>
      <c r="D72" s="1"/>
      <c r="E72" s="1"/>
      <c r="F72" s="140">
        <f>領収証内訳!$AA$3</f>
        <v>46275</v>
      </c>
      <c r="G72" s="141"/>
      <c r="H72" s="141"/>
      <c r="I72" s="141"/>
      <c r="J72" s="141"/>
      <c r="K72" s="1"/>
      <c r="L72" s="2"/>
      <c r="M72" s="1"/>
      <c r="N72" s="1"/>
      <c r="O72" s="1"/>
      <c r="P72" s="1"/>
      <c r="Q72" s="140">
        <f>領収証内訳!$AA$3</f>
        <v>46275</v>
      </c>
      <c r="R72" s="142"/>
      <c r="S72" s="142"/>
      <c r="T72" s="142"/>
      <c r="U72" s="142"/>
      <c r="V72" s="1"/>
    </row>
    <row r="73" spans="2:24" ht="9.9499999999999993" customHeight="1">
      <c r="B73" s="1"/>
      <c r="C73" s="1"/>
      <c r="D73" s="1"/>
      <c r="E73" s="1"/>
      <c r="F73" s="1"/>
      <c r="G73" s="1"/>
      <c r="H73" s="1"/>
      <c r="I73" s="1"/>
      <c r="J73" s="1"/>
      <c r="K73" s="1"/>
      <c r="L73" s="2"/>
      <c r="M73" s="1"/>
      <c r="N73" s="1"/>
      <c r="O73" s="1"/>
      <c r="P73" s="1"/>
      <c r="Q73" s="1"/>
      <c r="R73" s="1"/>
      <c r="S73" s="1"/>
      <c r="T73" s="1"/>
      <c r="U73" s="1"/>
      <c r="V73" s="1"/>
    </row>
    <row r="74" spans="2:24" ht="18.75">
      <c r="B74" s="154" t="str">
        <f ca="1">INDIRECT("領収証内訳!"&amp;$Z$2&amp;$X70)&amp;" さん保護者　様"</f>
        <v xml:space="preserve"> さん保護者　様</v>
      </c>
      <c r="C74" s="155"/>
      <c r="D74" s="156"/>
      <c r="E74" s="156"/>
      <c r="F74" s="156"/>
      <c r="G74" s="1"/>
      <c r="H74" s="1"/>
      <c r="I74" s="1"/>
      <c r="J74" s="1"/>
      <c r="K74" s="1"/>
      <c r="L74" s="2"/>
      <c r="M74" s="154" t="str">
        <f ca="1">INDIRECT("領収証内訳!"&amp;$Z$2&amp;$X70+1)&amp;" さん保護者　様"</f>
        <v xml:space="preserve"> さん保護者　様</v>
      </c>
      <c r="N74" s="155"/>
      <c r="O74" s="157"/>
      <c r="P74" s="157"/>
      <c r="Q74" s="157"/>
      <c r="R74" s="1"/>
      <c r="S74" s="1"/>
      <c r="T74" s="1"/>
      <c r="U74" s="1"/>
      <c r="V74" s="1"/>
    </row>
    <row r="75" spans="2:24" ht="9.9499999999999993" customHeight="1">
      <c r="B75" s="1"/>
      <c r="C75" s="1"/>
      <c r="D75" s="1"/>
      <c r="E75" s="1"/>
      <c r="F75" s="1"/>
      <c r="G75" s="1"/>
      <c r="H75" s="1"/>
      <c r="I75" s="1"/>
      <c r="J75" s="1"/>
      <c r="K75" s="1"/>
      <c r="L75" s="2"/>
      <c r="M75" s="1"/>
      <c r="N75" s="1"/>
      <c r="O75" s="1"/>
      <c r="P75" s="1"/>
      <c r="Q75" s="1"/>
      <c r="R75" s="1"/>
      <c r="S75" s="1"/>
      <c r="T75" s="1"/>
      <c r="U75" s="1"/>
      <c r="V75" s="1"/>
    </row>
    <row r="76" spans="2:24" ht="7.5" customHeight="1">
      <c r="B76" s="1"/>
      <c r="C76" s="1"/>
      <c r="D76" s="1"/>
      <c r="E76" s="1"/>
      <c r="F76" s="1"/>
      <c r="G76" s="1"/>
      <c r="H76" s="1"/>
      <c r="I76" s="1"/>
      <c r="J76" s="1"/>
      <c r="K76" s="1"/>
      <c r="L76" s="2"/>
      <c r="M76" s="1"/>
      <c r="N76" s="1"/>
      <c r="O76" s="1"/>
      <c r="P76" s="1"/>
      <c r="Q76" s="1"/>
      <c r="R76" s="1"/>
      <c r="S76" s="1"/>
      <c r="T76" s="1"/>
      <c r="U76" s="1"/>
      <c r="V76" s="1"/>
    </row>
    <row r="77" spans="2:24" ht="21">
      <c r="B77" s="1"/>
      <c r="C77" s="5"/>
      <c r="D77" s="6" t="s">
        <v>5</v>
      </c>
      <c r="E77" s="143">
        <f ca="1">INDIRECT("領収証内訳!"&amp;$Y$2&amp;$X70)</f>
        <v>0</v>
      </c>
      <c r="F77" s="144"/>
      <c r="G77" s="7" t="s">
        <v>6</v>
      </c>
      <c r="H77" s="8"/>
      <c r="I77" s="1"/>
      <c r="J77" s="1"/>
      <c r="K77" s="1"/>
      <c r="L77" s="2"/>
      <c r="M77" s="1"/>
      <c r="N77" s="5"/>
      <c r="O77" s="6" t="s">
        <v>5</v>
      </c>
      <c r="P77" s="143">
        <f ca="1">INDIRECT("領収証内訳!"&amp;$Y$2&amp;$X70+1)</f>
        <v>0</v>
      </c>
      <c r="Q77" s="144"/>
      <c r="R77" s="7" t="s">
        <v>6</v>
      </c>
      <c r="S77" s="8"/>
      <c r="T77" s="1"/>
      <c r="U77" s="1"/>
      <c r="V77" s="1"/>
    </row>
    <row r="78" spans="2:24">
      <c r="B78" s="1"/>
      <c r="C78" s="1"/>
      <c r="D78" s="1"/>
      <c r="E78" s="1"/>
      <c r="F78" s="1"/>
      <c r="G78" s="1"/>
      <c r="H78" s="1"/>
      <c r="I78" s="1"/>
      <c r="J78" s="1"/>
      <c r="K78" s="1"/>
      <c r="L78" s="2"/>
      <c r="M78" s="1"/>
      <c r="N78" s="1"/>
      <c r="O78" s="1"/>
      <c r="P78" s="1"/>
      <c r="Q78" s="1"/>
      <c r="R78" s="1"/>
      <c r="S78" s="1"/>
      <c r="T78" s="1"/>
      <c r="U78" s="1"/>
      <c r="V78" s="1"/>
    </row>
    <row r="79" spans="2:24" ht="18.75">
      <c r="B79" s="1"/>
      <c r="C79" s="1"/>
      <c r="D79" s="145" t="str">
        <f>"　　※但　　参加費等収入（"&amp;領収証内訳!$X$4&amp;"分）として"</f>
        <v>　　※但　　参加費等収入（４月分）として</v>
      </c>
      <c r="E79" s="146"/>
      <c r="F79" s="146"/>
      <c r="G79" s="146"/>
      <c r="H79" s="146"/>
      <c r="I79" s="146"/>
      <c r="J79" s="146"/>
      <c r="K79" s="1"/>
      <c r="L79" s="2"/>
      <c r="M79" s="1"/>
      <c r="N79" s="1"/>
      <c r="O79" s="145" t="str">
        <f>"　　※但　　参加費等収入（"&amp;領収証内訳!$X$4&amp;"分）として"</f>
        <v>　　※但　　参加費等収入（４月分）として</v>
      </c>
      <c r="P79" s="139"/>
      <c r="Q79" s="139"/>
      <c r="R79" s="139"/>
      <c r="S79" s="139"/>
      <c r="T79" s="139"/>
      <c r="U79" s="139"/>
      <c r="V79" s="1"/>
    </row>
    <row r="80" spans="2:24" ht="9.9499999999999993" customHeight="1">
      <c r="B80" s="1"/>
      <c r="C80" s="1"/>
      <c r="D80" s="1"/>
      <c r="E80" s="1"/>
      <c r="F80" s="1"/>
      <c r="G80" s="1"/>
      <c r="H80" s="1"/>
      <c r="I80" s="1"/>
      <c r="J80" s="1"/>
      <c r="K80" s="1"/>
      <c r="L80" s="2"/>
      <c r="M80" s="1"/>
      <c r="N80" s="1"/>
      <c r="O80" s="1"/>
      <c r="P80" s="1"/>
      <c r="Q80" s="1"/>
      <c r="R80" s="1"/>
      <c r="S80" s="1"/>
      <c r="T80" s="1"/>
      <c r="U80" s="1"/>
      <c r="V80" s="1"/>
    </row>
    <row r="81" spans="2:22" ht="18.75">
      <c r="B81" s="1"/>
      <c r="C81" s="1"/>
      <c r="D81" s="1"/>
      <c r="E81" s="17" t="s">
        <v>7</v>
      </c>
      <c r="F81" s="1"/>
      <c r="G81" s="1"/>
      <c r="H81" s="1"/>
      <c r="I81" s="1"/>
      <c r="J81" s="1"/>
      <c r="K81" s="1"/>
      <c r="L81" s="2"/>
      <c r="M81" s="1"/>
      <c r="N81" s="1"/>
      <c r="O81" s="1"/>
      <c r="P81" s="17" t="s">
        <v>7</v>
      </c>
      <c r="Q81" s="1"/>
      <c r="R81" s="1"/>
      <c r="S81" s="1"/>
      <c r="T81" s="1"/>
      <c r="U81" s="1"/>
      <c r="V81" s="1"/>
    </row>
    <row r="82" spans="2:22" ht="6" customHeight="1">
      <c r="B82" s="1"/>
      <c r="C82" s="1"/>
      <c r="D82" s="1"/>
      <c r="E82" s="1"/>
      <c r="F82" s="1"/>
      <c r="G82" s="1"/>
      <c r="H82" s="1"/>
      <c r="I82" s="1"/>
      <c r="J82" s="1"/>
      <c r="K82" s="1"/>
      <c r="L82" s="2"/>
      <c r="M82" s="1"/>
      <c r="N82" s="1"/>
      <c r="O82" s="1"/>
      <c r="P82" s="1"/>
      <c r="Q82" s="1"/>
      <c r="R82" s="1"/>
      <c r="S82" s="1"/>
      <c r="T82" s="1"/>
      <c r="U82" s="1"/>
      <c r="V82" s="1"/>
    </row>
    <row r="83" spans="2:22" ht="20.100000000000001" customHeight="1">
      <c r="B83" s="1"/>
      <c r="C83" s="1"/>
      <c r="D83" s="1"/>
      <c r="F83" s="136" t="s">
        <v>68</v>
      </c>
      <c r="G83" s="137"/>
      <c r="H83" s="147">
        <f>領収証内訳!$X$2</f>
        <v>0</v>
      </c>
      <c r="I83" s="148"/>
      <c r="J83" s="149"/>
      <c r="K83" s="150"/>
      <c r="L83" s="2"/>
      <c r="M83" s="1"/>
      <c r="N83" s="1"/>
      <c r="O83" s="1"/>
      <c r="P83" s="5"/>
      <c r="Q83" s="136" t="s">
        <v>68</v>
      </c>
      <c r="R83" s="137"/>
      <c r="S83" s="147">
        <f>領収証内訳!$X$2</f>
        <v>0</v>
      </c>
      <c r="T83" s="148"/>
      <c r="U83" s="153"/>
      <c r="V83" s="153"/>
    </row>
    <row r="84" spans="2:22" ht="20.100000000000001" customHeight="1">
      <c r="B84" s="1"/>
      <c r="C84" s="1"/>
      <c r="D84" s="1"/>
      <c r="F84" s="138" t="s">
        <v>67</v>
      </c>
      <c r="G84" s="139"/>
      <c r="H84" s="151">
        <f>領収証内訳!$AA$2</f>
        <v>0</v>
      </c>
      <c r="I84" s="152"/>
      <c r="J84" s="9" t="s">
        <v>8</v>
      </c>
      <c r="K84" s="9"/>
      <c r="L84" s="12"/>
      <c r="M84" s="1"/>
      <c r="N84" s="1"/>
      <c r="O84" s="1"/>
      <c r="P84" s="5"/>
      <c r="Q84" s="138" t="s">
        <v>67</v>
      </c>
      <c r="R84" s="139"/>
      <c r="S84" s="151">
        <f>領収証内訳!$AA$2</f>
        <v>0</v>
      </c>
      <c r="T84" s="152"/>
      <c r="U84" s="9" t="s">
        <v>8</v>
      </c>
      <c r="V84" s="9"/>
    </row>
    <row r="85" spans="2:22" ht="6.95" customHeight="1">
      <c r="B85" s="10"/>
      <c r="C85" s="10"/>
      <c r="D85" s="10"/>
      <c r="E85" s="10"/>
      <c r="F85" s="13"/>
      <c r="G85" s="14"/>
      <c r="H85" s="10"/>
      <c r="I85" s="10"/>
      <c r="J85" s="11"/>
      <c r="K85" s="11"/>
      <c r="L85" s="15"/>
      <c r="M85" s="10"/>
      <c r="N85" s="10"/>
      <c r="O85" s="10"/>
      <c r="P85" s="10"/>
      <c r="Q85" s="13"/>
      <c r="R85" s="14"/>
      <c r="S85" s="10"/>
      <c r="T85" s="10"/>
      <c r="U85" s="11"/>
      <c r="V85" s="11"/>
    </row>
    <row r="86" spans="2:22" ht="10.5" customHeight="1">
      <c r="B86" s="1"/>
      <c r="C86" s="1"/>
      <c r="D86" s="1"/>
      <c r="E86" s="1"/>
      <c r="F86" s="1"/>
      <c r="G86" s="1"/>
      <c r="H86" s="1"/>
      <c r="I86" s="1"/>
      <c r="J86" s="1"/>
      <c r="K86" s="1"/>
      <c r="L86" s="2"/>
      <c r="M86" s="1"/>
      <c r="N86" s="1"/>
      <c r="O86" s="1"/>
      <c r="P86" s="1"/>
      <c r="Q86" s="1"/>
      <c r="R86" s="1"/>
      <c r="S86" s="1"/>
      <c r="T86" s="1"/>
      <c r="U86" s="1"/>
      <c r="V86" s="1"/>
    </row>
    <row r="87" spans="2:22" ht="21">
      <c r="B87" s="1"/>
      <c r="C87" s="1"/>
      <c r="D87" s="4" t="s">
        <v>4</v>
      </c>
      <c r="E87" s="1"/>
      <c r="F87" s="1"/>
      <c r="G87" s="1"/>
      <c r="H87" s="1"/>
      <c r="I87" s="1"/>
      <c r="J87" s="1"/>
      <c r="K87" s="1"/>
      <c r="L87" s="2"/>
      <c r="M87" s="1"/>
      <c r="N87" s="1"/>
      <c r="O87" s="4" t="s">
        <v>4</v>
      </c>
      <c r="P87" s="1"/>
      <c r="Q87" s="1"/>
      <c r="R87" s="1"/>
      <c r="S87" s="1"/>
      <c r="T87" s="1"/>
      <c r="U87" s="1"/>
      <c r="V87" s="1"/>
    </row>
    <row r="88" spans="2:22" ht="8.25" customHeight="1">
      <c r="B88" s="1"/>
      <c r="C88" s="1"/>
      <c r="D88" s="1"/>
      <c r="E88" s="1"/>
      <c r="F88" s="1"/>
      <c r="G88" s="1"/>
      <c r="H88" s="1"/>
      <c r="I88" s="1"/>
      <c r="J88" s="1"/>
      <c r="K88" s="1"/>
      <c r="L88" s="2"/>
      <c r="M88" s="1"/>
      <c r="N88" s="1"/>
      <c r="O88" s="1"/>
      <c r="P88" s="1"/>
      <c r="Q88" s="1"/>
      <c r="R88" s="1"/>
      <c r="S88" s="1"/>
      <c r="T88" s="1"/>
      <c r="U88" s="1"/>
      <c r="V88" s="1"/>
    </row>
    <row r="89" spans="2:22" ht="18.75">
      <c r="B89" s="1"/>
      <c r="C89" s="1"/>
      <c r="D89" s="1"/>
      <c r="E89" s="1"/>
      <c r="F89" s="140">
        <f>領収証内訳!$AA$3</f>
        <v>46275</v>
      </c>
      <c r="G89" s="141"/>
      <c r="H89" s="141"/>
      <c r="I89" s="141"/>
      <c r="J89" s="141"/>
      <c r="K89" s="1"/>
      <c r="L89" s="2"/>
      <c r="M89" s="1"/>
      <c r="N89" s="1"/>
      <c r="O89" s="1"/>
      <c r="P89" s="1"/>
      <c r="Q89" s="140">
        <f>領収証内訳!$AA$3</f>
        <v>46275</v>
      </c>
      <c r="R89" s="142"/>
      <c r="S89" s="142"/>
      <c r="T89" s="142"/>
      <c r="U89" s="142"/>
      <c r="V89" s="1"/>
    </row>
    <row r="90" spans="2:22" ht="9.9499999999999993" customHeight="1">
      <c r="B90" s="1"/>
      <c r="C90" s="1"/>
      <c r="D90" s="1"/>
      <c r="E90" s="1"/>
      <c r="F90" s="1"/>
      <c r="G90" s="1"/>
      <c r="H90" s="1"/>
      <c r="I90" s="1"/>
      <c r="J90" s="1"/>
      <c r="K90" s="1"/>
      <c r="L90" s="2"/>
      <c r="M90" s="1"/>
      <c r="N90" s="1"/>
      <c r="O90" s="1"/>
      <c r="P90" s="1"/>
      <c r="Q90" s="1"/>
      <c r="R90" s="1"/>
      <c r="S90" s="1"/>
      <c r="T90" s="1"/>
      <c r="U90" s="1"/>
      <c r="V90" s="1"/>
    </row>
    <row r="91" spans="2:22" ht="18.75">
      <c r="B91" s="154" t="str">
        <f ca="1">INDIRECT("領収証内訳!"&amp;$Z$2&amp;$X70+2)&amp;" さん保護者　様"</f>
        <v xml:space="preserve"> さん保護者　様</v>
      </c>
      <c r="C91" s="155"/>
      <c r="D91" s="156"/>
      <c r="E91" s="156"/>
      <c r="F91" s="156"/>
      <c r="G91" s="1"/>
      <c r="H91" s="1"/>
      <c r="I91" s="1"/>
      <c r="J91" s="1"/>
      <c r="K91" s="1"/>
      <c r="L91" s="2"/>
      <c r="M91" s="154" t="str">
        <f ca="1">INDIRECT("領収証内訳!"&amp;$Z$2&amp;$X70+3)&amp;" さん保護者　様"</f>
        <v xml:space="preserve"> さん保護者　様</v>
      </c>
      <c r="N91" s="155"/>
      <c r="O91" s="157"/>
      <c r="P91" s="157"/>
      <c r="Q91" s="157"/>
      <c r="R91" s="1"/>
      <c r="S91" s="1"/>
      <c r="T91" s="1"/>
      <c r="U91" s="1"/>
      <c r="V91" s="1"/>
    </row>
    <row r="92" spans="2:22" ht="9.9499999999999993" customHeight="1">
      <c r="B92" s="1"/>
      <c r="C92" s="1"/>
      <c r="D92" s="1"/>
      <c r="E92" s="1"/>
      <c r="F92" s="1"/>
      <c r="G92" s="1"/>
      <c r="H92" s="1"/>
      <c r="I92" s="1"/>
      <c r="J92" s="1"/>
      <c r="K92" s="1"/>
      <c r="L92" s="2"/>
      <c r="M92" s="1"/>
      <c r="N92" s="1"/>
      <c r="O92" s="1"/>
      <c r="P92" s="1"/>
      <c r="Q92" s="1"/>
      <c r="R92" s="1"/>
      <c r="S92" s="1"/>
      <c r="T92" s="1"/>
      <c r="U92" s="1"/>
      <c r="V92" s="1"/>
    </row>
    <row r="93" spans="2:22" ht="7.5" customHeight="1">
      <c r="B93" s="1"/>
      <c r="C93" s="1"/>
      <c r="D93" s="1"/>
      <c r="E93" s="1"/>
      <c r="F93" s="1"/>
      <c r="G93" s="1"/>
      <c r="H93" s="1"/>
      <c r="I93" s="1"/>
      <c r="J93" s="1"/>
      <c r="K93" s="1"/>
      <c r="L93" s="2"/>
      <c r="M93" s="1"/>
      <c r="N93" s="1"/>
      <c r="O93" s="1"/>
      <c r="P93" s="1"/>
      <c r="Q93" s="1"/>
      <c r="R93" s="1"/>
      <c r="S93" s="1"/>
      <c r="T93" s="1"/>
      <c r="U93" s="1"/>
      <c r="V93" s="1"/>
    </row>
    <row r="94" spans="2:22" ht="21">
      <c r="B94" s="1"/>
      <c r="C94" s="5"/>
      <c r="D94" s="6" t="s">
        <v>5</v>
      </c>
      <c r="E94" s="143">
        <f ca="1">INDIRECT("領収証内訳!"&amp;$Y$2&amp;$X70+2)</f>
        <v>0</v>
      </c>
      <c r="F94" s="144"/>
      <c r="G94" s="7" t="s">
        <v>6</v>
      </c>
      <c r="H94" s="8"/>
      <c r="I94" s="1"/>
      <c r="J94" s="1"/>
      <c r="K94" s="1"/>
      <c r="L94" s="2"/>
      <c r="M94" s="1"/>
      <c r="N94" s="5"/>
      <c r="O94" s="6" t="s">
        <v>5</v>
      </c>
      <c r="P94" s="143">
        <f ca="1">INDIRECT("領収証内訳!"&amp;$Y$2&amp;$X70+3)</f>
        <v>0</v>
      </c>
      <c r="Q94" s="144"/>
      <c r="R94" s="7" t="s">
        <v>6</v>
      </c>
      <c r="S94" s="8"/>
      <c r="T94" s="1"/>
      <c r="U94" s="1"/>
      <c r="V94" s="1"/>
    </row>
    <row r="95" spans="2:22">
      <c r="B95" s="1"/>
      <c r="C95" s="1"/>
      <c r="D95" s="1"/>
      <c r="E95" s="1"/>
      <c r="F95" s="1"/>
      <c r="G95" s="1"/>
      <c r="H95" s="1"/>
      <c r="I95" s="1"/>
      <c r="J95" s="1"/>
      <c r="K95" s="1"/>
      <c r="L95" s="2"/>
      <c r="M95" s="1"/>
      <c r="N95" s="1"/>
      <c r="O95" s="1"/>
      <c r="P95" s="1"/>
      <c r="Q95" s="1"/>
      <c r="R95" s="1"/>
      <c r="S95" s="1"/>
      <c r="T95" s="1"/>
      <c r="U95" s="1"/>
      <c r="V95" s="1"/>
    </row>
    <row r="96" spans="2:22" ht="18.75">
      <c r="B96" s="1"/>
      <c r="C96" s="1"/>
      <c r="D96" s="145" t="str">
        <f>"　　※但　　参加費等収入（"&amp;領収証内訳!$X$4&amp;"分）として"</f>
        <v>　　※但　　参加費等収入（４月分）として</v>
      </c>
      <c r="E96" s="146"/>
      <c r="F96" s="146"/>
      <c r="G96" s="146"/>
      <c r="H96" s="146"/>
      <c r="I96" s="146"/>
      <c r="J96" s="146"/>
      <c r="K96" s="1"/>
      <c r="L96" s="2"/>
      <c r="M96" s="1"/>
      <c r="N96" s="1"/>
      <c r="O96" s="145" t="str">
        <f>"　　※但　　参加費等収入（"&amp;領収証内訳!$X$4&amp;"分）として"</f>
        <v>　　※但　　参加費等収入（４月分）として</v>
      </c>
      <c r="P96" s="139"/>
      <c r="Q96" s="139"/>
      <c r="R96" s="139"/>
      <c r="S96" s="139"/>
      <c r="T96" s="139"/>
      <c r="U96" s="139"/>
      <c r="V96" s="1"/>
    </row>
    <row r="97" spans="2:22" ht="9.9499999999999993" customHeight="1">
      <c r="B97" s="1"/>
      <c r="C97" s="1"/>
      <c r="D97" s="1"/>
      <c r="E97" s="1"/>
      <c r="F97" s="1"/>
      <c r="G97" s="1"/>
      <c r="H97" s="1"/>
      <c r="I97" s="1"/>
      <c r="J97" s="1"/>
      <c r="K97" s="1"/>
      <c r="L97" s="2"/>
      <c r="M97" s="1"/>
      <c r="N97" s="1"/>
      <c r="O97" s="1"/>
      <c r="P97" s="1"/>
      <c r="Q97" s="1"/>
      <c r="R97" s="1"/>
      <c r="S97" s="1"/>
      <c r="T97" s="1"/>
      <c r="U97" s="1"/>
      <c r="V97" s="1"/>
    </row>
    <row r="98" spans="2:22" ht="18.75">
      <c r="B98" s="1"/>
      <c r="C98" s="1"/>
      <c r="D98" s="1"/>
      <c r="E98" s="17" t="s">
        <v>7</v>
      </c>
      <c r="F98" s="1"/>
      <c r="G98" s="1"/>
      <c r="H98" s="1"/>
      <c r="I98" s="1"/>
      <c r="J98" s="1"/>
      <c r="K98" s="1"/>
      <c r="L98" s="2"/>
      <c r="M98" s="1"/>
      <c r="N98" s="1"/>
      <c r="O98" s="1"/>
      <c r="P98" s="17" t="s">
        <v>7</v>
      </c>
      <c r="Q98" s="1"/>
      <c r="R98" s="1"/>
      <c r="S98" s="1"/>
      <c r="T98" s="1"/>
      <c r="U98" s="1"/>
      <c r="V98" s="1"/>
    </row>
    <row r="99" spans="2:22" ht="6" customHeight="1">
      <c r="B99" s="1"/>
      <c r="C99" s="1"/>
      <c r="D99" s="1"/>
      <c r="E99" s="1"/>
      <c r="F99" s="1"/>
      <c r="G99" s="1"/>
      <c r="H99" s="1"/>
      <c r="I99" s="1"/>
      <c r="J99" s="1"/>
      <c r="K99" s="1"/>
      <c r="L99" s="2"/>
      <c r="M99" s="1"/>
      <c r="N99" s="1"/>
      <c r="O99" s="1"/>
      <c r="P99" s="1"/>
      <c r="Q99" s="1"/>
      <c r="R99" s="1"/>
      <c r="S99" s="1"/>
      <c r="T99" s="1"/>
      <c r="U99" s="1"/>
      <c r="V99" s="1"/>
    </row>
    <row r="100" spans="2:22" ht="20.100000000000001" customHeight="1">
      <c r="B100" s="1"/>
      <c r="C100" s="1"/>
      <c r="D100" s="1"/>
      <c r="F100" s="136" t="s">
        <v>68</v>
      </c>
      <c r="G100" s="137"/>
      <c r="H100" s="147">
        <f>領収証内訳!$X$2</f>
        <v>0</v>
      </c>
      <c r="I100" s="148"/>
      <c r="J100" s="149"/>
      <c r="K100" s="150"/>
      <c r="L100" s="2"/>
      <c r="M100" s="1"/>
      <c r="N100" s="1"/>
      <c r="O100" s="1"/>
      <c r="P100" s="5"/>
      <c r="Q100" s="136" t="s">
        <v>68</v>
      </c>
      <c r="R100" s="137"/>
      <c r="S100" s="147">
        <f>領収証内訳!$X$2</f>
        <v>0</v>
      </c>
      <c r="T100" s="148"/>
      <c r="U100" s="153"/>
      <c r="V100" s="153"/>
    </row>
    <row r="101" spans="2:22" ht="20.100000000000001" customHeight="1">
      <c r="B101" s="1"/>
      <c r="C101" s="1"/>
      <c r="D101" s="1"/>
      <c r="F101" s="138" t="s">
        <v>67</v>
      </c>
      <c r="G101" s="139"/>
      <c r="H101" s="151">
        <f>領収証内訳!$AA$2</f>
        <v>0</v>
      </c>
      <c r="I101" s="152"/>
      <c r="J101" s="9" t="s">
        <v>8</v>
      </c>
      <c r="K101" s="9"/>
      <c r="L101" s="12"/>
      <c r="M101" s="1"/>
      <c r="N101" s="1"/>
      <c r="O101" s="1"/>
      <c r="P101" s="5"/>
      <c r="Q101" s="138" t="s">
        <v>67</v>
      </c>
      <c r="R101" s="139"/>
      <c r="S101" s="151">
        <f>領収証内訳!$AA$2</f>
        <v>0</v>
      </c>
      <c r="T101" s="152"/>
      <c r="U101" s="9" t="s">
        <v>8</v>
      </c>
      <c r="V101" s="9"/>
    </row>
    <row r="102" spans="2:22" ht="6.95" customHeight="1">
      <c r="B102" s="10"/>
      <c r="C102" s="10"/>
      <c r="D102" s="10"/>
      <c r="E102" s="10"/>
      <c r="F102" s="13"/>
      <c r="G102" s="14"/>
      <c r="H102" s="10"/>
      <c r="I102" s="10"/>
      <c r="J102" s="11"/>
      <c r="K102" s="11"/>
      <c r="L102" s="15"/>
      <c r="M102" s="10"/>
      <c r="N102" s="10"/>
      <c r="O102" s="10"/>
      <c r="P102" s="10"/>
      <c r="Q102" s="13"/>
      <c r="R102" s="14"/>
      <c r="S102" s="10"/>
      <c r="T102" s="10"/>
      <c r="U102" s="11"/>
      <c r="V102" s="11"/>
    </row>
    <row r="103" spans="2:22" ht="10.5" customHeight="1">
      <c r="B103" s="1"/>
      <c r="C103" s="1"/>
      <c r="D103" s="1"/>
      <c r="E103" s="1"/>
      <c r="F103" s="1"/>
      <c r="G103" s="1"/>
      <c r="H103" s="1"/>
      <c r="I103" s="1"/>
      <c r="J103" s="1"/>
      <c r="K103" s="1"/>
      <c r="L103" s="2"/>
      <c r="M103" s="1"/>
      <c r="N103" s="1"/>
      <c r="O103" s="1"/>
      <c r="P103" s="1"/>
      <c r="Q103" s="1"/>
      <c r="R103" s="1"/>
      <c r="S103" s="1"/>
      <c r="T103" s="1"/>
      <c r="U103" s="1"/>
      <c r="V103" s="1"/>
    </row>
    <row r="104" spans="2:22" ht="21">
      <c r="B104" s="1"/>
      <c r="C104" s="1"/>
      <c r="D104" s="4" t="s">
        <v>4</v>
      </c>
      <c r="E104" s="1"/>
      <c r="F104" s="1"/>
      <c r="G104" s="1"/>
      <c r="H104" s="1"/>
      <c r="I104" s="1"/>
      <c r="J104" s="1"/>
      <c r="K104" s="1"/>
      <c r="L104" s="2"/>
      <c r="M104" s="1"/>
      <c r="N104" s="1"/>
      <c r="O104" s="4" t="s">
        <v>4</v>
      </c>
      <c r="P104" s="1"/>
      <c r="Q104" s="1"/>
      <c r="R104" s="1"/>
      <c r="S104" s="1"/>
      <c r="T104" s="1"/>
      <c r="U104" s="1"/>
      <c r="V104" s="1"/>
    </row>
    <row r="105" spans="2:22" ht="8.25" customHeight="1">
      <c r="B105" s="1"/>
      <c r="C105" s="1"/>
      <c r="D105" s="1"/>
      <c r="E105" s="1"/>
      <c r="F105" s="1"/>
      <c r="G105" s="1"/>
      <c r="H105" s="1"/>
      <c r="I105" s="1"/>
      <c r="J105" s="1"/>
      <c r="K105" s="1"/>
      <c r="L105" s="2"/>
      <c r="M105" s="1"/>
      <c r="N105" s="1"/>
      <c r="O105" s="1"/>
      <c r="P105" s="1"/>
      <c r="Q105" s="1"/>
      <c r="R105" s="1"/>
      <c r="S105" s="1"/>
      <c r="T105" s="1"/>
      <c r="U105" s="1"/>
      <c r="V105" s="1"/>
    </row>
    <row r="106" spans="2:22" ht="18.75">
      <c r="B106" s="1"/>
      <c r="C106" s="1"/>
      <c r="D106" s="1"/>
      <c r="E106" s="1"/>
      <c r="F106" s="140">
        <f>領収証内訳!$AA$3</f>
        <v>46275</v>
      </c>
      <c r="G106" s="141"/>
      <c r="H106" s="141"/>
      <c r="I106" s="141"/>
      <c r="J106" s="141"/>
      <c r="K106" s="1"/>
      <c r="L106" s="2"/>
      <c r="M106" s="1"/>
      <c r="N106" s="1"/>
      <c r="O106" s="1"/>
      <c r="P106" s="1"/>
      <c r="Q106" s="140">
        <f>領収証内訳!$AA$3</f>
        <v>46275</v>
      </c>
      <c r="R106" s="142"/>
      <c r="S106" s="142"/>
      <c r="T106" s="142"/>
      <c r="U106" s="142"/>
      <c r="V106" s="1"/>
    </row>
    <row r="107" spans="2:22" ht="9.9499999999999993" customHeight="1">
      <c r="B107" s="1"/>
      <c r="C107" s="1"/>
      <c r="D107" s="1"/>
      <c r="E107" s="1"/>
      <c r="F107" s="1"/>
      <c r="G107" s="1"/>
      <c r="H107" s="1"/>
      <c r="I107" s="1"/>
      <c r="J107" s="1"/>
      <c r="K107" s="1"/>
      <c r="L107" s="2"/>
      <c r="M107" s="1"/>
      <c r="N107" s="1"/>
      <c r="O107" s="1"/>
      <c r="P107" s="1"/>
      <c r="Q107" s="1"/>
      <c r="R107" s="1"/>
      <c r="S107" s="1"/>
      <c r="T107" s="1"/>
      <c r="U107" s="1"/>
      <c r="V107" s="1"/>
    </row>
    <row r="108" spans="2:22" ht="18.75">
      <c r="B108" s="154" t="str">
        <f ca="1">INDIRECT("領収証内訳!"&amp;$Z$2&amp;$X70+4)&amp;" さん保護者　様"</f>
        <v xml:space="preserve"> さん保護者　様</v>
      </c>
      <c r="C108" s="155"/>
      <c r="D108" s="156"/>
      <c r="E108" s="156"/>
      <c r="F108" s="156"/>
      <c r="G108" s="1"/>
      <c r="H108" s="1"/>
      <c r="I108" s="1"/>
      <c r="J108" s="1"/>
      <c r="K108" s="1"/>
      <c r="L108" s="2"/>
      <c r="M108" s="154" t="str">
        <f ca="1">INDIRECT("領収証内訳!"&amp;$Z$2&amp;$X70+5)&amp;" さん保護者　様"</f>
        <v xml:space="preserve"> さん保護者　様</v>
      </c>
      <c r="N108" s="155"/>
      <c r="O108" s="157"/>
      <c r="P108" s="157"/>
      <c r="Q108" s="157"/>
      <c r="R108" s="1"/>
      <c r="S108" s="1"/>
      <c r="T108" s="1"/>
      <c r="U108" s="1"/>
      <c r="V108" s="1"/>
    </row>
    <row r="109" spans="2:22" ht="9.9499999999999993" customHeight="1">
      <c r="B109" s="1"/>
      <c r="C109" s="1"/>
      <c r="D109" s="1"/>
      <c r="E109" s="1"/>
      <c r="F109" s="1"/>
      <c r="G109" s="1"/>
      <c r="H109" s="1"/>
      <c r="I109" s="1"/>
      <c r="J109" s="1"/>
      <c r="K109" s="1"/>
      <c r="L109" s="2"/>
      <c r="M109" s="1"/>
      <c r="N109" s="1"/>
      <c r="O109" s="1"/>
      <c r="P109" s="1"/>
      <c r="Q109" s="1"/>
      <c r="R109" s="1"/>
      <c r="S109" s="1"/>
      <c r="T109" s="1"/>
      <c r="U109" s="1"/>
      <c r="V109" s="1"/>
    </row>
    <row r="110" spans="2:22" ht="7.5" customHeight="1">
      <c r="B110" s="1"/>
      <c r="C110" s="1"/>
      <c r="D110" s="1"/>
      <c r="E110" s="1"/>
      <c r="F110" s="1"/>
      <c r="G110" s="1"/>
      <c r="H110" s="1"/>
      <c r="I110" s="1"/>
      <c r="J110" s="1"/>
      <c r="K110" s="1"/>
      <c r="L110" s="2"/>
      <c r="M110" s="1"/>
      <c r="N110" s="1"/>
      <c r="O110" s="1"/>
      <c r="P110" s="1"/>
      <c r="Q110" s="1"/>
      <c r="R110" s="1"/>
      <c r="S110" s="1"/>
      <c r="T110" s="1"/>
      <c r="U110" s="1"/>
      <c r="V110" s="1"/>
    </row>
    <row r="111" spans="2:22" ht="21">
      <c r="B111" s="1"/>
      <c r="C111" s="5"/>
      <c r="D111" s="6" t="s">
        <v>5</v>
      </c>
      <c r="E111" s="143">
        <f ca="1">INDIRECT("領収証内訳!"&amp;$Y$2&amp;$X70+4)</f>
        <v>0</v>
      </c>
      <c r="F111" s="144"/>
      <c r="G111" s="7" t="s">
        <v>6</v>
      </c>
      <c r="H111" s="8"/>
      <c r="I111" s="1"/>
      <c r="J111" s="1"/>
      <c r="K111" s="1"/>
      <c r="L111" s="2"/>
      <c r="M111" s="1"/>
      <c r="N111" s="5"/>
      <c r="O111" s="6" t="s">
        <v>5</v>
      </c>
      <c r="P111" s="143">
        <f ca="1">INDIRECT("領収証内訳!"&amp;$Y$2&amp;$X70+5)</f>
        <v>0</v>
      </c>
      <c r="Q111" s="144"/>
      <c r="R111" s="7" t="s">
        <v>6</v>
      </c>
      <c r="S111" s="8"/>
      <c r="T111" s="1"/>
      <c r="U111" s="1"/>
      <c r="V111" s="1"/>
    </row>
    <row r="112" spans="2:22" ht="9.9499999999999993" customHeight="1">
      <c r="B112" s="1"/>
      <c r="C112" s="1"/>
      <c r="D112" s="1"/>
      <c r="E112" s="1"/>
      <c r="F112" s="1"/>
      <c r="G112" s="1"/>
      <c r="H112" s="1"/>
      <c r="I112" s="1"/>
      <c r="J112" s="1"/>
      <c r="K112" s="1"/>
      <c r="L112" s="2"/>
      <c r="M112" s="1"/>
      <c r="N112" s="1"/>
      <c r="O112" s="1"/>
      <c r="P112" s="1"/>
      <c r="Q112" s="1"/>
      <c r="R112" s="1"/>
      <c r="S112" s="1"/>
      <c r="T112" s="1"/>
      <c r="U112" s="1"/>
      <c r="V112" s="1"/>
    </row>
    <row r="113" spans="2:22" ht="18.75">
      <c r="B113" s="1"/>
      <c r="C113" s="1"/>
      <c r="D113" s="145" t="str">
        <f>"　　※但　　参加費等収入（"&amp;領収証内訳!$X$4&amp;"分）として"</f>
        <v>　　※但　　参加費等収入（４月分）として</v>
      </c>
      <c r="E113" s="146"/>
      <c r="F113" s="146"/>
      <c r="G113" s="146"/>
      <c r="H113" s="146"/>
      <c r="I113" s="146"/>
      <c r="J113" s="146"/>
      <c r="K113" s="1"/>
      <c r="L113" s="2"/>
      <c r="M113" s="1"/>
      <c r="N113" s="1"/>
      <c r="O113" s="145" t="str">
        <f>"　　※但　　参加費等収入（"&amp;領収証内訳!$X$4&amp;"分）として"</f>
        <v>　　※但　　参加費等収入（４月分）として</v>
      </c>
      <c r="P113" s="139"/>
      <c r="Q113" s="139"/>
      <c r="R113" s="139"/>
      <c r="S113" s="139"/>
      <c r="T113" s="139"/>
      <c r="U113" s="139"/>
      <c r="V113" s="1"/>
    </row>
    <row r="114" spans="2:22" ht="9.9499999999999993" customHeight="1">
      <c r="B114" s="1"/>
      <c r="C114" s="1"/>
      <c r="D114" s="1"/>
      <c r="E114" s="1"/>
      <c r="F114" s="1"/>
      <c r="G114" s="1"/>
      <c r="H114" s="1"/>
      <c r="I114" s="1"/>
      <c r="J114" s="1"/>
      <c r="K114" s="1"/>
      <c r="L114" s="2"/>
      <c r="M114" s="1"/>
      <c r="N114" s="1"/>
      <c r="O114" s="1"/>
      <c r="P114" s="1"/>
      <c r="Q114" s="1"/>
      <c r="R114" s="1"/>
      <c r="S114" s="1"/>
      <c r="T114" s="1"/>
      <c r="U114" s="1"/>
      <c r="V114" s="1"/>
    </row>
    <row r="115" spans="2:22" ht="18.75">
      <c r="B115" s="1"/>
      <c r="C115" s="1"/>
      <c r="D115" s="1"/>
      <c r="E115" s="17" t="s">
        <v>7</v>
      </c>
      <c r="F115" s="1"/>
      <c r="G115" s="1"/>
      <c r="H115" s="1"/>
      <c r="I115" s="1"/>
      <c r="J115" s="1"/>
      <c r="K115" s="1"/>
      <c r="L115" s="2"/>
      <c r="M115" s="1"/>
      <c r="N115" s="1"/>
      <c r="O115" s="1"/>
      <c r="P115" s="17" t="s">
        <v>7</v>
      </c>
      <c r="Q115" s="1"/>
      <c r="R115" s="1"/>
      <c r="S115" s="1"/>
      <c r="T115" s="1"/>
      <c r="U115" s="1"/>
      <c r="V115" s="1"/>
    </row>
    <row r="116" spans="2:22" ht="6" customHeight="1">
      <c r="B116" s="1"/>
      <c r="C116" s="1"/>
      <c r="D116" s="1"/>
      <c r="E116" s="1"/>
      <c r="F116" s="1"/>
      <c r="G116" s="1"/>
      <c r="H116" s="1"/>
      <c r="I116" s="1"/>
      <c r="J116" s="1"/>
      <c r="K116" s="1"/>
      <c r="L116" s="2"/>
      <c r="M116" s="1"/>
      <c r="N116" s="1"/>
      <c r="O116" s="1"/>
      <c r="P116" s="1"/>
      <c r="Q116" s="1"/>
      <c r="R116" s="1"/>
      <c r="S116" s="1"/>
      <c r="T116" s="1"/>
      <c r="U116" s="1"/>
      <c r="V116" s="1"/>
    </row>
    <row r="117" spans="2:22" ht="20.100000000000001" customHeight="1">
      <c r="B117" s="1"/>
      <c r="C117" s="1"/>
      <c r="D117" s="1"/>
      <c r="F117" s="136" t="s">
        <v>68</v>
      </c>
      <c r="G117" s="137"/>
      <c r="H117" s="147">
        <f>領収証内訳!$X$2</f>
        <v>0</v>
      </c>
      <c r="I117" s="148"/>
      <c r="J117" s="149"/>
      <c r="K117" s="150"/>
      <c r="L117" s="2"/>
      <c r="M117" s="1"/>
      <c r="N117" s="1"/>
      <c r="O117" s="1"/>
      <c r="P117" s="5"/>
      <c r="Q117" s="136" t="s">
        <v>68</v>
      </c>
      <c r="R117" s="137"/>
      <c r="S117" s="147">
        <f>領収証内訳!$X$2</f>
        <v>0</v>
      </c>
      <c r="T117" s="148"/>
      <c r="U117" s="153"/>
      <c r="V117" s="153"/>
    </row>
    <row r="118" spans="2:22" ht="20.100000000000001" customHeight="1">
      <c r="B118" s="1"/>
      <c r="C118" s="1"/>
      <c r="D118" s="1"/>
      <c r="F118" s="138" t="s">
        <v>67</v>
      </c>
      <c r="G118" s="139"/>
      <c r="H118" s="151">
        <f>領収証内訳!$AA$2</f>
        <v>0</v>
      </c>
      <c r="I118" s="152"/>
      <c r="J118" s="9" t="s">
        <v>8</v>
      </c>
      <c r="K118" s="9"/>
      <c r="L118" s="12"/>
      <c r="M118" s="1"/>
      <c r="N118" s="1"/>
      <c r="O118" s="1"/>
      <c r="P118" s="5"/>
      <c r="Q118" s="138" t="s">
        <v>67</v>
      </c>
      <c r="R118" s="139"/>
      <c r="S118" s="151">
        <f>領収証内訳!$AA$2</f>
        <v>0</v>
      </c>
      <c r="T118" s="152"/>
      <c r="U118" s="9" t="s">
        <v>8</v>
      </c>
      <c r="V118" s="9"/>
    </row>
    <row r="119" spans="2:22" ht="6.95" customHeight="1">
      <c r="B119" s="10"/>
      <c r="C119" s="10"/>
      <c r="D119" s="10"/>
      <c r="E119" s="10"/>
      <c r="F119" s="13"/>
      <c r="G119" s="14"/>
      <c r="H119" s="10"/>
      <c r="I119" s="10"/>
      <c r="J119" s="11"/>
      <c r="K119" s="11"/>
      <c r="L119" s="15"/>
      <c r="M119" s="10"/>
      <c r="N119" s="10"/>
      <c r="O119" s="10"/>
      <c r="P119" s="10"/>
      <c r="Q119" s="13"/>
      <c r="R119" s="14"/>
      <c r="S119" s="10"/>
      <c r="T119" s="10"/>
      <c r="U119" s="11"/>
      <c r="V119" s="11"/>
    </row>
    <row r="120" spans="2:22" ht="10.5" customHeight="1">
      <c r="B120" s="1"/>
      <c r="C120" s="1"/>
      <c r="D120" s="1"/>
      <c r="E120" s="1"/>
      <c r="F120" s="1"/>
      <c r="G120" s="1"/>
      <c r="H120" s="1"/>
      <c r="I120" s="1"/>
      <c r="J120" s="1"/>
      <c r="K120" s="1"/>
      <c r="L120" s="2"/>
      <c r="M120" s="1"/>
      <c r="N120" s="1"/>
      <c r="O120" s="1"/>
      <c r="P120" s="1"/>
      <c r="Q120" s="1"/>
      <c r="R120" s="1"/>
      <c r="S120" s="1"/>
      <c r="T120" s="1"/>
      <c r="U120" s="1"/>
      <c r="V120" s="1"/>
    </row>
    <row r="121" spans="2:22" ht="21">
      <c r="B121" s="1"/>
      <c r="C121" s="1"/>
      <c r="D121" s="4" t="s">
        <v>4</v>
      </c>
      <c r="E121" s="1"/>
      <c r="F121" s="1"/>
      <c r="G121" s="1"/>
      <c r="H121" s="1"/>
      <c r="I121" s="1"/>
      <c r="J121" s="1"/>
      <c r="K121" s="1"/>
      <c r="L121" s="2"/>
      <c r="M121" s="1"/>
      <c r="N121" s="1"/>
      <c r="O121" s="4" t="s">
        <v>4</v>
      </c>
      <c r="P121" s="1"/>
      <c r="Q121" s="1"/>
      <c r="R121" s="1"/>
      <c r="S121" s="1"/>
      <c r="T121" s="1"/>
      <c r="U121" s="1"/>
      <c r="V121" s="1"/>
    </row>
    <row r="122" spans="2:22" ht="8.25" customHeight="1">
      <c r="B122" s="1"/>
      <c r="C122" s="1"/>
      <c r="D122" s="1"/>
      <c r="E122" s="1"/>
      <c r="F122" s="1"/>
      <c r="G122" s="1"/>
      <c r="H122" s="1"/>
      <c r="I122" s="1"/>
      <c r="J122" s="1"/>
      <c r="K122" s="1"/>
      <c r="L122" s="2"/>
      <c r="M122" s="1"/>
      <c r="N122" s="1"/>
      <c r="O122" s="1"/>
      <c r="P122" s="1"/>
      <c r="Q122" s="1"/>
      <c r="R122" s="1"/>
      <c r="S122" s="1"/>
      <c r="T122" s="1"/>
      <c r="U122" s="1"/>
      <c r="V122" s="1"/>
    </row>
    <row r="123" spans="2:22" ht="18.75">
      <c r="B123" s="1"/>
      <c r="C123" s="1"/>
      <c r="D123" s="1"/>
      <c r="E123" s="1"/>
      <c r="F123" s="140">
        <f>領収証内訳!$AA$3</f>
        <v>46275</v>
      </c>
      <c r="G123" s="141"/>
      <c r="H123" s="141"/>
      <c r="I123" s="141"/>
      <c r="J123" s="141"/>
      <c r="K123" s="1"/>
      <c r="L123" s="2"/>
      <c r="M123" s="1"/>
      <c r="N123" s="1"/>
      <c r="O123" s="1"/>
      <c r="P123" s="1"/>
      <c r="Q123" s="140">
        <f>領収証内訳!$AA$3</f>
        <v>46275</v>
      </c>
      <c r="R123" s="142"/>
      <c r="S123" s="142"/>
      <c r="T123" s="142"/>
      <c r="U123" s="142"/>
      <c r="V123" s="1"/>
    </row>
    <row r="124" spans="2:22" ht="9.9499999999999993" customHeight="1">
      <c r="B124" s="1"/>
      <c r="C124" s="1"/>
      <c r="D124" s="1"/>
      <c r="E124" s="1"/>
      <c r="F124" s="1"/>
      <c r="G124" s="1"/>
      <c r="H124" s="1"/>
      <c r="I124" s="1"/>
      <c r="J124" s="1"/>
      <c r="K124" s="1"/>
      <c r="L124" s="2"/>
      <c r="M124" s="1"/>
      <c r="N124" s="1"/>
      <c r="O124" s="1"/>
      <c r="P124" s="1"/>
      <c r="Q124" s="1"/>
      <c r="R124" s="1"/>
      <c r="S124" s="1"/>
      <c r="T124" s="1"/>
      <c r="U124" s="1"/>
      <c r="V124" s="1"/>
    </row>
    <row r="125" spans="2:22" ht="18.75">
      <c r="B125" s="154" t="str">
        <f ca="1">INDIRECT("領収証内訳!"&amp;$Z$2&amp;$X70+6)&amp;" さん保護者　様"</f>
        <v xml:space="preserve"> さん保護者　様</v>
      </c>
      <c r="C125" s="155"/>
      <c r="D125" s="156"/>
      <c r="E125" s="156"/>
      <c r="F125" s="156"/>
      <c r="G125" s="1"/>
      <c r="H125" s="1"/>
      <c r="I125" s="1"/>
      <c r="J125" s="1"/>
      <c r="K125" s="1"/>
      <c r="L125" s="2"/>
      <c r="M125" s="154" t="str">
        <f ca="1">INDIRECT("領収証内訳!"&amp;$Z$2&amp;$X70+7)&amp;" さん保護者　様"</f>
        <v xml:space="preserve"> さん保護者　様</v>
      </c>
      <c r="N125" s="155"/>
      <c r="O125" s="157"/>
      <c r="P125" s="157"/>
      <c r="Q125" s="157"/>
      <c r="R125" s="1"/>
      <c r="S125" s="1"/>
      <c r="T125" s="1"/>
      <c r="U125" s="1"/>
      <c r="V125" s="1"/>
    </row>
    <row r="126" spans="2:22">
      <c r="B126" s="1"/>
      <c r="C126" s="1"/>
      <c r="D126" s="1"/>
      <c r="E126" s="1"/>
      <c r="F126" s="1"/>
      <c r="G126" s="1"/>
      <c r="H126" s="1"/>
      <c r="I126" s="1"/>
      <c r="J126" s="1"/>
      <c r="K126" s="1"/>
      <c r="L126" s="2"/>
      <c r="M126" s="1"/>
      <c r="N126" s="1"/>
      <c r="O126" s="1"/>
      <c r="P126" s="1"/>
      <c r="Q126" s="1"/>
      <c r="R126" s="1"/>
      <c r="S126" s="1"/>
      <c r="T126" s="1"/>
      <c r="U126" s="1"/>
      <c r="V126" s="1"/>
    </row>
    <row r="127" spans="2:22" ht="7.5" customHeight="1">
      <c r="B127" s="1"/>
      <c r="C127" s="1"/>
      <c r="D127" s="1"/>
      <c r="E127" s="1"/>
      <c r="F127" s="1"/>
      <c r="G127" s="1"/>
      <c r="H127" s="1"/>
      <c r="I127" s="1"/>
      <c r="J127" s="1"/>
      <c r="K127" s="1"/>
      <c r="L127" s="2"/>
      <c r="M127" s="1"/>
      <c r="N127" s="1"/>
      <c r="O127" s="1"/>
      <c r="P127" s="1"/>
      <c r="Q127" s="1"/>
      <c r="R127" s="1"/>
      <c r="S127" s="1"/>
      <c r="T127" s="1"/>
      <c r="U127" s="1"/>
      <c r="V127" s="1"/>
    </row>
    <row r="128" spans="2:22" ht="21">
      <c r="B128" s="1"/>
      <c r="C128" s="5"/>
      <c r="D128" s="6" t="s">
        <v>5</v>
      </c>
      <c r="E128" s="143">
        <f ca="1">INDIRECT("領収証内訳!"&amp;$Y$2&amp;$X70+6)</f>
        <v>0</v>
      </c>
      <c r="F128" s="144"/>
      <c r="G128" s="7" t="s">
        <v>6</v>
      </c>
      <c r="H128" s="8"/>
      <c r="I128" s="1"/>
      <c r="J128" s="1"/>
      <c r="K128" s="1"/>
      <c r="L128" s="2"/>
      <c r="M128" s="1"/>
      <c r="N128" s="5"/>
      <c r="O128" s="6" t="s">
        <v>5</v>
      </c>
      <c r="P128" s="143">
        <f ca="1">INDIRECT("領収証内訳!"&amp;$Y$2&amp;$X70+7)</f>
        <v>0</v>
      </c>
      <c r="Q128" s="144"/>
      <c r="R128" s="7" t="s">
        <v>6</v>
      </c>
      <c r="S128" s="8"/>
      <c r="T128" s="1"/>
      <c r="U128" s="1"/>
      <c r="V128" s="1"/>
    </row>
    <row r="129" spans="2:24">
      <c r="B129" s="1"/>
      <c r="C129" s="1"/>
      <c r="D129" s="1"/>
      <c r="E129" s="1"/>
      <c r="F129" s="1"/>
      <c r="G129" s="1"/>
      <c r="H129" s="1"/>
      <c r="I129" s="1"/>
      <c r="J129" s="1"/>
      <c r="K129" s="1"/>
      <c r="L129" s="2"/>
      <c r="M129" s="1"/>
      <c r="N129" s="1"/>
      <c r="O129" s="1"/>
      <c r="P129" s="1"/>
      <c r="Q129" s="1"/>
      <c r="R129" s="1"/>
      <c r="S129" s="1"/>
      <c r="T129" s="1"/>
      <c r="U129" s="1"/>
      <c r="V129" s="1"/>
    </row>
    <row r="130" spans="2:24" ht="18.75">
      <c r="B130" s="1"/>
      <c r="C130" s="1"/>
      <c r="D130" s="145" t="str">
        <f>"　　※但　　参加費等収入（"&amp;領収証内訳!$X$4&amp;"分）として"</f>
        <v>　　※但　　参加費等収入（４月分）として</v>
      </c>
      <c r="E130" s="146"/>
      <c r="F130" s="146"/>
      <c r="G130" s="146"/>
      <c r="H130" s="146"/>
      <c r="I130" s="146"/>
      <c r="J130" s="146"/>
      <c r="K130" s="1"/>
      <c r="L130" s="2"/>
      <c r="M130" s="1"/>
      <c r="N130" s="1"/>
      <c r="O130" s="145" t="str">
        <f>"　　※但　　参加費等収入（"&amp;領収証内訳!$X$4&amp;"分）として"</f>
        <v>　　※但　　参加費等収入（４月分）として</v>
      </c>
      <c r="P130" s="139"/>
      <c r="Q130" s="139"/>
      <c r="R130" s="139"/>
      <c r="S130" s="139"/>
      <c r="T130" s="139"/>
      <c r="U130" s="139"/>
      <c r="V130" s="1"/>
    </row>
    <row r="131" spans="2:24">
      <c r="B131" s="1"/>
      <c r="C131" s="1"/>
      <c r="D131" s="1"/>
      <c r="E131" s="1"/>
      <c r="F131" s="1"/>
      <c r="G131" s="1"/>
      <c r="H131" s="1"/>
      <c r="I131" s="1"/>
      <c r="J131" s="1"/>
      <c r="K131" s="1"/>
      <c r="L131" s="2"/>
      <c r="M131" s="1"/>
      <c r="N131" s="1"/>
      <c r="O131" s="1"/>
      <c r="P131" s="1"/>
      <c r="Q131" s="1"/>
      <c r="R131" s="1"/>
      <c r="S131" s="1"/>
      <c r="T131" s="1"/>
      <c r="U131" s="1"/>
      <c r="V131" s="1"/>
    </row>
    <row r="132" spans="2:24" ht="18.75">
      <c r="B132" s="1"/>
      <c r="C132" s="1"/>
      <c r="D132" s="1"/>
      <c r="E132" s="17" t="s">
        <v>7</v>
      </c>
      <c r="F132" s="1"/>
      <c r="G132" s="1"/>
      <c r="H132" s="1"/>
      <c r="I132" s="1"/>
      <c r="J132" s="1"/>
      <c r="K132" s="1"/>
      <c r="L132" s="2"/>
      <c r="M132" s="1"/>
      <c r="N132" s="1"/>
      <c r="O132" s="1"/>
      <c r="P132" s="17" t="s">
        <v>7</v>
      </c>
      <c r="Q132" s="1"/>
      <c r="R132" s="1"/>
      <c r="S132" s="1"/>
      <c r="T132" s="1"/>
      <c r="U132" s="1"/>
      <c r="V132" s="1"/>
    </row>
    <row r="133" spans="2:24" ht="6" customHeight="1">
      <c r="B133" s="1"/>
      <c r="C133" s="1"/>
      <c r="D133" s="1"/>
      <c r="E133" s="1"/>
      <c r="F133" s="1"/>
      <c r="G133" s="1"/>
      <c r="H133" s="1"/>
      <c r="I133" s="1"/>
      <c r="J133" s="1"/>
      <c r="K133" s="1"/>
      <c r="L133" s="2"/>
      <c r="M133" s="1"/>
      <c r="N133" s="1"/>
      <c r="O133" s="1"/>
      <c r="P133" s="1"/>
      <c r="Q133" s="1"/>
      <c r="R133" s="1"/>
      <c r="S133" s="1"/>
      <c r="T133" s="1"/>
      <c r="U133" s="1"/>
      <c r="V133" s="1"/>
    </row>
    <row r="134" spans="2:24" ht="20.100000000000001" customHeight="1">
      <c r="B134" s="1"/>
      <c r="C134" s="1"/>
      <c r="D134" s="1"/>
      <c r="F134" s="136" t="s">
        <v>68</v>
      </c>
      <c r="G134" s="137"/>
      <c r="H134" s="147">
        <f>領収証内訳!$X$2</f>
        <v>0</v>
      </c>
      <c r="I134" s="148"/>
      <c r="J134" s="149"/>
      <c r="K134" s="150"/>
      <c r="L134" s="2"/>
      <c r="M134" s="1"/>
      <c r="N134" s="1"/>
      <c r="O134" s="1"/>
      <c r="P134" s="5"/>
      <c r="Q134" s="136" t="s">
        <v>68</v>
      </c>
      <c r="R134" s="137"/>
      <c r="S134" s="147">
        <f>領収証内訳!$X$2</f>
        <v>0</v>
      </c>
      <c r="T134" s="148"/>
      <c r="U134" s="153"/>
      <c r="V134" s="153"/>
    </row>
    <row r="135" spans="2:24" ht="20.100000000000001" customHeight="1">
      <c r="B135" s="1"/>
      <c r="C135" s="1"/>
      <c r="D135" s="1"/>
      <c r="F135" s="138" t="s">
        <v>67</v>
      </c>
      <c r="G135" s="139"/>
      <c r="H135" s="151">
        <f>領収証内訳!$AA$2</f>
        <v>0</v>
      </c>
      <c r="I135" s="152"/>
      <c r="J135" s="9" t="s">
        <v>8</v>
      </c>
      <c r="K135" s="9"/>
      <c r="L135" s="12"/>
      <c r="M135" s="1"/>
      <c r="N135" s="1"/>
      <c r="O135" s="1"/>
      <c r="P135" s="5"/>
      <c r="Q135" s="138" t="s">
        <v>67</v>
      </c>
      <c r="R135" s="139"/>
      <c r="S135" s="151">
        <f>領収証内訳!$AA$2</f>
        <v>0</v>
      </c>
      <c r="T135" s="152"/>
      <c r="U135" s="9" t="s">
        <v>8</v>
      </c>
      <c r="V135" s="9"/>
    </row>
    <row r="136" spans="2:24" ht="5.25" customHeight="1">
      <c r="B136" s="1"/>
      <c r="C136" s="1"/>
      <c r="D136" s="1"/>
      <c r="E136" s="1"/>
      <c r="F136" s="16"/>
      <c r="G136" s="5"/>
      <c r="H136" s="1"/>
      <c r="I136" s="1"/>
      <c r="J136" s="9"/>
      <c r="K136" s="9"/>
      <c r="L136" s="12"/>
      <c r="M136" s="1"/>
      <c r="N136" s="1"/>
      <c r="O136" s="1"/>
      <c r="P136" s="1"/>
      <c r="Q136" s="16"/>
      <c r="R136" s="5"/>
      <c r="S136" s="1"/>
      <c r="T136" s="1"/>
      <c r="U136" s="9"/>
      <c r="V136" s="9"/>
    </row>
    <row r="137" spans="2:24" ht="10.5" customHeight="1">
      <c r="B137" s="1"/>
      <c r="C137" s="1"/>
      <c r="D137" s="1"/>
      <c r="E137" s="1"/>
      <c r="F137" s="1"/>
      <c r="G137" s="1"/>
      <c r="H137" s="1"/>
      <c r="I137" s="1"/>
      <c r="J137" s="1"/>
      <c r="K137" s="1"/>
      <c r="L137" s="2"/>
      <c r="M137" s="1"/>
      <c r="N137" s="1"/>
      <c r="O137" s="1"/>
      <c r="P137" s="1"/>
      <c r="Q137" s="1"/>
      <c r="R137" s="1"/>
      <c r="S137" s="1"/>
      <c r="T137" s="1"/>
      <c r="U137" s="1"/>
      <c r="V137" s="1"/>
    </row>
    <row r="138" spans="2:24" ht="21">
      <c r="B138" s="1"/>
      <c r="C138" s="1"/>
      <c r="D138" s="4" t="s">
        <v>4</v>
      </c>
      <c r="E138" s="1"/>
      <c r="F138" s="1"/>
      <c r="G138" s="1"/>
      <c r="H138" s="1"/>
      <c r="I138" s="1"/>
      <c r="J138" s="1"/>
      <c r="K138" s="1"/>
      <c r="L138" s="2"/>
      <c r="M138" s="1"/>
      <c r="N138" s="1"/>
      <c r="O138" s="4" t="s">
        <v>4</v>
      </c>
      <c r="P138" s="1"/>
      <c r="Q138" s="1"/>
      <c r="R138" s="1"/>
      <c r="S138" s="1"/>
      <c r="T138" s="1"/>
      <c r="U138" s="1"/>
      <c r="V138" s="1"/>
      <c r="X138" s="3">
        <f>X70+8</f>
        <v>21</v>
      </c>
    </row>
    <row r="139" spans="2:24" ht="8.25" customHeight="1">
      <c r="B139" s="1"/>
      <c r="C139" s="1"/>
      <c r="D139" s="1"/>
      <c r="E139" s="1"/>
      <c r="F139" s="1"/>
      <c r="G139" s="1"/>
      <c r="H139" s="1"/>
      <c r="I139" s="1"/>
      <c r="J139" s="1"/>
      <c r="K139" s="1"/>
      <c r="L139" s="2"/>
      <c r="M139" s="1"/>
      <c r="N139" s="1"/>
      <c r="O139" s="1"/>
      <c r="P139" s="1"/>
      <c r="Q139" s="1"/>
      <c r="R139" s="1"/>
      <c r="S139" s="1"/>
      <c r="T139" s="1"/>
      <c r="U139" s="1"/>
      <c r="V139" s="1"/>
    </row>
    <row r="140" spans="2:24" ht="18.75">
      <c r="B140" s="1"/>
      <c r="C140" s="1"/>
      <c r="D140" s="1"/>
      <c r="E140" s="1"/>
      <c r="F140" s="140">
        <f>領収証内訳!$AA$3</f>
        <v>46275</v>
      </c>
      <c r="G140" s="141"/>
      <c r="H140" s="141"/>
      <c r="I140" s="141"/>
      <c r="J140" s="141"/>
      <c r="K140" s="1"/>
      <c r="L140" s="2"/>
      <c r="M140" s="1"/>
      <c r="N140" s="1"/>
      <c r="O140" s="1"/>
      <c r="P140" s="1"/>
      <c r="Q140" s="140">
        <f>領収証内訳!$AA$3</f>
        <v>46275</v>
      </c>
      <c r="R140" s="142"/>
      <c r="S140" s="142"/>
      <c r="T140" s="142"/>
      <c r="U140" s="142"/>
      <c r="V140" s="1"/>
    </row>
    <row r="141" spans="2:24" ht="9.9499999999999993" customHeight="1">
      <c r="B141" s="1"/>
      <c r="C141" s="1"/>
      <c r="D141" s="1"/>
      <c r="E141" s="1"/>
      <c r="F141" s="1"/>
      <c r="G141" s="1"/>
      <c r="H141" s="1"/>
      <c r="I141" s="1"/>
      <c r="J141" s="1"/>
      <c r="K141" s="1"/>
      <c r="L141" s="2"/>
      <c r="M141" s="1"/>
      <c r="N141" s="1"/>
      <c r="O141" s="1"/>
      <c r="P141" s="1"/>
      <c r="Q141" s="1"/>
      <c r="R141" s="1"/>
      <c r="S141" s="1"/>
      <c r="T141" s="1"/>
      <c r="U141" s="1"/>
      <c r="V141" s="1"/>
    </row>
    <row r="142" spans="2:24" ht="18.75">
      <c r="B142" s="154" t="str">
        <f ca="1">INDIRECT("領収証内訳!"&amp;$Z$2&amp;$X138)&amp;" さん保護者　様"</f>
        <v xml:space="preserve"> さん保護者　様</v>
      </c>
      <c r="C142" s="155"/>
      <c r="D142" s="156"/>
      <c r="E142" s="156"/>
      <c r="F142" s="156"/>
      <c r="G142" s="1"/>
      <c r="H142" s="1"/>
      <c r="I142" s="1"/>
      <c r="J142" s="1"/>
      <c r="K142" s="1"/>
      <c r="L142" s="2"/>
      <c r="M142" s="154" t="str">
        <f ca="1">INDIRECT("領収証内訳!"&amp;$Z$2&amp;$X138+1)&amp;" さん保護者　様"</f>
        <v xml:space="preserve"> さん保護者　様</v>
      </c>
      <c r="N142" s="155"/>
      <c r="O142" s="157"/>
      <c r="P142" s="157"/>
      <c r="Q142" s="157"/>
      <c r="R142" s="1"/>
      <c r="S142" s="1"/>
      <c r="T142" s="1"/>
      <c r="U142" s="1"/>
      <c r="V142" s="1"/>
    </row>
    <row r="143" spans="2:24" ht="9.9499999999999993" customHeight="1">
      <c r="B143" s="1"/>
      <c r="C143" s="1"/>
      <c r="D143" s="1"/>
      <c r="E143" s="1"/>
      <c r="F143" s="1"/>
      <c r="G143" s="1"/>
      <c r="H143" s="1"/>
      <c r="I143" s="1"/>
      <c r="J143" s="1"/>
      <c r="K143" s="1"/>
      <c r="L143" s="2"/>
      <c r="M143" s="1"/>
      <c r="N143" s="1"/>
      <c r="O143" s="1"/>
      <c r="P143" s="1"/>
      <c r="Q143" s="1"/>
      <c r="R143" s="1"/>
      <c r="S143" s="1"/>
      <c r="T143" s="1"/>
      <c r="U143" s="1"/>
      <c r="V143" s="1"/>
    </row>
    <row r="144" spans="2:24" ht="7.5" customHeight="1">
      <c r="B144" s="1"/>
      <c r="C144" s="1"/>
      <c r="D144" s="1"/>
      <c r="E144" s="1"/>
      <c r="F144" s="1"/>
      <c r="G144" s="1"/>
      <c r="H144" s="1"/>
      <c r="I144" s="1"/>
      <c r="J144" s="1"/>
      <c r="K144" s="1"/>
      <c r="L144" s="2"/>
      <c r="M144" s="1"/>
      <c r="N144" s="1"/>
      <c r="O144" s="1"/>
      <c r="P144" s="1"/>
      <c r="Q144" s="1"/>
      <c r="R144" s="1"/>
      <c r="S144" s="1"/>
      <c r="T144" s="1"/>
      <c r="U144" s="1"/>
      <c r="V144" s="1"/>
    </row>
    <row r="145" spans="2:22" ht="21">
      <c r="B145" s="1"/>
      <c r="C145" s="5"/>
      <c r="D145" s="6" t="s">
        <v>5</v>
      </c>
      <c r="E145" s="143">
        <f ca="1">INDIRECT("領収証内訳!"&amp;$Y$2&amp;$X138)</f>
        <v>0</v>
      </c>
      <c r="F145" s="144"/>
      <c r="G145" s="7" t="s">
        <v>6</v>
      </c>
      <c r="H145" s="8"/>
      <c r="I145" s="1"/>
      <c r="J145" s="1"/>
      <c r="K145" s="1"/>
      <c r="L145" s="2"/>
      <c r="M145" s="1"/>
      <c r="N145" s="5"/>
      <c r="O145" s="6" t="s">
        <v>5</v>
      </c>
      <c r="P145" s="143">
        <f ca="1">INDIRECT("領収証内訳!"&amp;$Y$2&amp;$X138+1)</f>
        <v>0</v>
      </c>
      <c r="Q145" s="144"/>
      <c r="R145" s="7" t="s">
        <v>6</v>
      </c>
      <c r="S145" s="8"/>
      <c r="T145" s="1"/>
      <c r="U145" s="1"/>
      <c r="V145" s="1"/>
    </row>
    <row r="146" spans="2:22">
      <c r="B146" s="1"/>
      <c r="C146" s="1"/>
      <c r="D146" s="1"/>
      <c r="E146" s="1"/>
      <c r="F146" s="1"/>
      <c r="G146" s="1"/>
      <c r="H146" s="1"/>
      <c r="I146" s="1"/>
      <c r="J146" s="1"/>
      <c r="K146" s="1"/>
      <c r="L146" s="2"/>
      <c r="M146" s="1"/>
      <c r="N146" s="1"/>
      <c r="O146" s="1"/>
      <c r="P146" s="1"/>
      <c r="Q146" s="1"/>
      <c r="R146" s="1"/>
      <c r="S146" s="1"/>
      <c r="T146" s="1"/>
      <c r="U146" s="1"/>
      <c r="V146" s="1"/>
    </row>
    <row r="147" spans="2:22" ht="18.75">
      <c r="B147" s="1"/>
      <c r="C147" s="1"/>
      <c r="D147" s="145" t="str">
        <f>"　　※但　　参加費等収入（"&amp;領収証内訳!$X$4&amp;"分）として"</f>
        <v>　　※但　　参加費等収入（４月分）として</v>
      </c>
      <c r="E147" s="146"/>
      <c r="F147" s="146"/>
      <c r="G147" s="146"/>
      <c r="H147" s="146"/>
      <c r="I147" s="146"/>
      <c r="J147" s="146"/>
      <c r="K147" s="1"/>
      <c r="L147" s="2"/>
      <c r="M147" s="1"/>
      <c r="N147" s="1"/>
      <c r="O147" s="145" t="str">
        <f>"　　※但　　参加費等収入（"&amp;領収証内訳!$X$4&amp;"分）として"</f>
        <v>　　※但　　参加費等収入（４月分）として</v>
      </c>
      <c r="P147" s="139"/>
      <c r="Q147" s="139"/>
      <c r="R147" s="139"/>
      <c r="S147" s="139"/>
      <c r="T147" s="139"/>
      <c r="U147" s="139"/>
      <c r="V147" s="1"/>
    </row>
    <row r="148" spans="2:22" ht="9.9499999999999993" customHeight="1">
      <c r="B148" s="1"/>
      <c r="C148" s="1"/>
      <c r="D148" s="1"/>
      <c r="E148" s="1"/>
      <c r="F148" s="1"/>
      <c r="G148" s="1"/>
      <c r="H148" s="1"/>
      <c r="I148" s="1"/>
      <c r="J148" s="1"/>
      <c r="K148" s="1"/>
      <c r="L148" s="2"/>
      <c r="M148" s="1"/>
      <c r="N148" s="1"/>
      <c r="O148" s="1"/>
      <c r="P148" s="1"/>
      <c r="Q148" s="1"/>
      <c r="R148" s="1"/>
      <c r="S148" s="1"/>
      <c r="T148" s="1"/>
      <c r="U148" s="1"/>
      <c r="V148" s="1"/>
    </row>
    <row r="149" spans="2:22" ht="18.75">
      <c r="B149" s="1"/>
      <c r="C149" s="1"/>
      <c r="D149" s="1"/>
      <c r="E149" s="17" t="s">
        <v>7</v>
      </c>
      <c r="F149" s="1"/>
      <c r="G149" s="1"/>
      <c r="H149" s="1"/>
      <c r="I149" s="1"/>
      <c r="J149" s="1"/>
      <c r="K149" s="1"/>
      <c r="L149" s="2"/>
      <c r="M149" s="1"/>
      <c r="N149" s="1"/>
      <c r="O149" s="1"/>
      <c r="P149" s="17" t="s">
        <v>7</v>
      </c>
      <c r="Q149" s="1"/>
      <c r="R149" s="1"/>
      <c r="S149" s="1"/>
      <c r="T149" s="1"/>
      <c r="U149" s="1"/>
      <c r="V149" s="1"/>
    </row>
    <row r="150" spans="2:22" ht="6" customHeight="1">
      <c r="B150" s="1"/>
      <c r="C150" s="1"/>
      <c r="D150" s="1"/>
      <c r="E150" s="1"/>
      <c r="F150" s="1"/>
      <c r="G150" s="1"/>
      <c r="H150" s="1"/>
      <c r="I150" s="1"/>
      <c r="J150" s="1"/>
      <c r="K150" s="1"/>
      <c r="L150" s="2"/>
      <c r="M150" s="1"/>
      <c r="N150" s="1"/>
      <c r="O150" s="1"/>
      <c r="P150" s="1"/>
      <c r="Q150" s="1"/>
      <c r="R150" s="1"/>
      <c r="S150" s="1"/>
      <c r="T150" s="1"/>
      <c r="U150" s="1"/>
      <c r="V150" s="1"/>
    </row>
    <row r="151" spans="2:22" ht="20.100000000000001" customHeight="1">
      <c r="B151" s="1"/>
      <c r="C151" s="1"/>
      <c r="D151" s="1"/>
      <c r="F151" s="136" t="s">
        <v>68</v>
      </c>
      <c r="G151" s="137"/>
      <c r="H151" s="147">
        <f>領収証内訳!$X$2</f>
        <v>0</v>
      </c>
      <c r="I151" s="148"/>
      <c r="J151" s="149"/>
      <c r="K151" s="150"/>
      <c r="L151" s="2"/>
      <c r="M151" s="1"/>
      <c r="N151" s="1"/>
      <c r="O151" s="1"/>
      <c r="P151" s="5"/>
      <c r="Q151" s="136" t="s">
        <v>68</v>
      </c>
      <c r="R151" s="137"/>
      <c r="S151" s="147">
        <f>領収証内訳!$X$2</f>
        <v>0</v>
      </c>
      <c r="T151" s="148"/>
      <c r="U151" s="153"/>
      <c r="V151" s="153"/>
    </row>
    <row r="152" spans="2:22" ht="20.100000000000001" customHeight="1">
      <c r="B152" s="1"/>
      <c r="C152" s="1"/>
      <c r="D152" s="1"/>
      <c r="F152" s="138" t="s">
        <v>67</v>
      </c>
      <c r="G152" s="139"/>
      <c r="H152" s="151">
        <f>領収証内訳!$AA$2</f>
        <v>0</v>
      </c>
      <c r="I152" s="152"/>
      <c r="J152" s="9" t="s">
        <v>8</v>
      </c>
      <c r="K152" s="9"/>
      <c r="L152" s="12"/>
      <c r="M152" s="1"/>
      <c r="N152" s="1"/>
      <c r="O152" s="1"/>
      <c r="P152" s="5"/>
      <c r="Q152" s="138" t="s">
        <v>67</v>
      </c>
      <c r="R152" s="139"/>
      <c r="S152" s="151">
        <f>領収証内訳!$AA$2</f>
        <v>0</v>
      </c>
      <c r="T152" s="152"/>
      <c r="U152" s="9" t="s">
        <v>8</v>
      </c>
      <c r="V152" s="9"/>
    </row>
    <row r="153" spans="2:22" ht="6.95" customHeight="1">
      <c r="B153" s="10"/>
      <c r="C153" s="10"/>
      <c r="D153" s="10"/>
      <c r="E153" s="10"/>
      <c r="F153" s="13"/>
      <c r="G153" s="14"/>
      <c r="H153" s="10"/>
      <c r="I153" s="10"/>
      <c r="J153" s="11"/>
      <c r="K153" s="11"/>
      <c r="L153" s="15"/>
      <c r="M153" s="10"/>
      <c r="N153" s="10"/>
      <c r="O153" s="10"/>
      <c r="P153" s="10"/>
      <c r="Q153" s="13"/>
      <c r="R153" s="14"/>
      <c r="S153" s="10"/>
      <c r="T153" s="10"/>
      <c r="U153" s="11"/>
      <c r="V153" s="11"/>
    </row>
    <row r="154" spans="2:22" ht="10.5" customHeight="1">
      <c r="B154" s="1"/>
      <c r="C154" s="1"/>
      <c r="D154" s="1"/>
      <c r="E154" s="1"/>
      <c r="F154" s="1"/>
      <c r="G154" s="1"/>
      <c r="H154" s="1"/>
      <c r="I154" s="1"/>
      <c r="J154" s="1"/>
      <c r="K154" s="1"/>
      <c r="L154" s="2"/>
      <c r="M154" s="1"/>
      <c r="N154" s="1"/>
      <c r="O154" s="1"/>
      <c r="P154" s="1"/>
      <c r="Q154" s="1"/>
      <c r="R154" s="1"/>
      <c r="S154" s="1"/>
      <c r="T154" s="1"/>
      <c r="U154" s="1"/>
      <c r="V154" s="1"/>
    </row>
    <row r="155" spans="2:22" ht="21">
      <c r="B155" s="1"/>
      <c r="C155" s="1"/>
      <c r="D155" s="4" t="s">
        <v>4</v>
      </c>
      <c r="E155" s="1"/>
      <c r="F155" s="1"/>
      <c r="G155" s="1"/>
      <c r="H155" s="1"/>
      <c r="I155" s="1"/>
      <c r="J155" s="1"/>
      <c r="K155" s="1"/>
      <c r="L155" s="2"/>
      <c r="M155" s="1"/>
      <c r="N155" s="1"/>
      <c r="O155" s="4" t="s">
        <v>4</v>
      </c>
      <c r="P155" s="1"/>
      <c r="Q155" s="1"/>
      <c r="R155" s="1"/>
      <c r="S155" s="1"/>
      <c r="T155" s="1"/>
      <c r="U155" s="1"/>
      <c r="V155" s="1"/>
    </row>
    <row r="156" spans="2:22" ht="8.25" customHeight="1">
      <c r="B156" s="1"/>
      <c r="C156" s="1"/>
      <c r="D156" s="1"/>
      <c r="E156" s="1"/>
      <c r="F156" s="1"/>
      <c r="G156" s="1"/>
      <c r="H156" s="1"/>
      <c r="I156" s="1"/>
      <c r="J156" s="1"/>
      <c r="K156" s="1"/>
      <c r="L156" s="2"/>
      <c r="M156" s="1"/>
      <c r="N156" s="1"/>
      <c r="O156" s="1"/>
      <c r="P156" s="1"/>
      <c r="Q156" s="1"/>
      <c r="R156" s="1"/>
      <c r="S156" s="1"/>
      <c r="T156" s="1"/>
      <c r="U156" s="1"/>
      <c r="V156" s="1"/>
    </row>
    <row r="157" spans="2:22" ht="18.75">
      <c r="B157" s="1"/>
      <c r="C157" s="1"/>
      <c r="D157" s="1"/>
      <c r="E157" s="1"/>
      <c r="F157" s="140">
        <f>領収証内訳!$AA$3</f>
        <v>46275</v>
      </c>
      <c r="G157" s="141"/>
      <c r="H157" s="141"/>
      <c r="I157" s="141"/>
      <c r="J157" s="141"/>
      <c r="K157" s="1"/>
      <c r="L157" s="2"/>
      <c r="M157" s="1"/>
      <c r="N157" s="1"/>
      <c r="O157" s="1"/>
      <c r="P157" s="1"/>
      <c r="Q157" s="140">
        <f>領収証内訳!$AA$3</f>
        <v>46275</v>
      </c>
      <c r="R157" s="142"/>
      <c r="S157" s="142"/>
      <c r="T157" s="142"/>
      <c r="U157" s="142"/>
      <c r="V157" s="1"/>
    </row>
    <row r="158" spans="2:22" ht="9.9499999999999993" customHeight="1">
      <c r="B158" s="1"/>
      <c r="C158" s="1"/>
      <c r="D158" s="1"/>
      <c r="E158" s="1"/>
      <c r="F158" s="1"/>
      <c r="G158" s="1"/>
      <c r="H158" s="1"/>
      <c r="I158" s="1"/>
      <c r="J158" s="1"/>
      <c r="K158" s="1"/>
      <c r="L158" s="2"/>
      <c r="M158" s="1"/>
      <c r="N158" s="1"/>
      <c r="O158" s="1"/>
      <c r="P158" s="1"/>
      <c r="Q158" s="1"/>
      <c r="R158" s="1"/>
      <c r="S158" s="1"/>
      <c r="T158" s="1"/>
      <c r="U158" s="1"/>
      <c r="V158" s="1"/>
    </row>
    <row r="159" spans="2:22" ht="18.75">
      <c r="B159" s="154" t="str">
        <f ca="1">INDIRECT("領収証内訳!"&amp;$Z$2&amp;$X138+2)&amp;" さん保護者　様"</f>
        <v xml:space="preserve"> さん保護者　様</v>
      </c>
      <c r="C159" s="155"/>
      <c r="D159" s="156"/>
      <c r="E159" s="156"/>
      <c r="F159" s="156"/>
      <c r="G159" s="1"/>
      <c r="H159" s="1"/>
      <c r="I159" s="1"/>
      <c r="J159" s="1"/>
      <c r="K159" s="1"/>
      <c r="L159" s="2"/>
      <c r="M159" s="154" t="str">
        <f ca="1">INDIRECT("領収証内訳!"&amp;$Z$2&amp;$X138+3)&amp;" さん保護者　様"</f>
        <v xml:space="preserve"> さん保護者　様</v>
      </c>
      <c r="N159" s="155"/>
      <c r="O159" s="157"/>
      <c r="P159" s="157"/>
      <c r="Q159" s="157"/>
      <c r="R159" s="1"/>
      <c r="S159" s="1"/>
      <c r="T159" s="1"/>
      <c r="U159" s="1"/>
      <c r="V159" s="1"/>
    </row>
    <row r="160" spans="2:22" ht="9.9499999999999993" customHeight="1">
      <c r="B160" s="1"/>
      <c r="C160" s="1"/>
      <c r="D160" s="1"/>
      <c r="E160" s="1"/>
      <c r="F160" s="1"/>
      <c r="G160" s="1"/>
      <c r="H160" s="1"/>
      <c r="I160" s="1"/>
      <c r="J160" s="1"/>
      <c r="K160" s="1"/>
      <c r="L160" s="2"/>
      <c r="M160" s="1"/>
      <c r="N160" s="1"/>
      <c r="O160" s="1"/>
      <c r="P160" s="1"/>
      <c r="Q160" s="1"/>
      <c r="R160" s="1"/>
      <c r="S160" s="1"/>
      <c r="T160" s="1"/>
      <c r="U160" s="1"/>
      <c r="V160" s="1"/>
    </row>
    <row r="161" spans="2:22" ht="7.5" customHeight="1">
      <c r="B161" s="1"/>
      <c r="C161" s="1"/>
      <c r="D161" s="1"/>
      <c r="E161" s="1"/>
      <c r="F161" s="1"/>
      <c r="G161" s="1"/>
      <c r="H161" s="1"/>
      <c r="I161" s="1"/>
      <c r="J161" s="1"/>
      <c r="K161" s="1"/>
      <c r="L161" s="2"/>
      <c r="M161" s="1"/>
      <c r="N161" s="1"/>
      <c r="O161" s="1"/>
      <c r="P161" s="1"/>
      <c r="Q161" s="1"/>
      <c r="R161" s="1"/>
      <c r="S161" s="1"/>
      <c r="T161" s="1"/>
      <c r="U161" s="1"/>
      <c r="V161" s="1"/>
    </row>
    <row r="162" spans="2:22" ht="21">
      <c r="B162" s="1"/>
      <c r="C162" s="5"/>
      <c r="D162" s="6" t="s">
        <v>5</v>
      </c>
      <c r="E162" s="143">
        <f ca="1">INDIRECT("領収証内訳!"&amp;$Y$2&amp;$X138+2)</f>
        <v>0</v>
      </c>
      <c r="F162" s="144"/>
      <c r="G162" s="7" t="s">
        <v>6</v>
      </c>
      <c r="H162" s="8"/>
      <c r="I162" s="1"/>
      <c r="J162" s="1"/>
      <c r="K162" s="1"/>
      <c r="L162" s="2"/>
      <c r="M162" s="1"/>
      <c r="N162" s="5"/>
      <c r="O162" s="6" t="s">
        <v>5</v>
      </c>
      <c r="P162" s="143">
        <f ca="1">INDIRECT("領収証内訳!"&amp;$Y$2&amp;$X138+3)</f>
        <v>0</v>
      </c>
      <c r="Q162" s="144"/>
      <c r="R162" s="7" t="s">
        <v>6</v>
      </c>
      <c r="S162" s="8"/>
      <c r="T162" s="1"/>
      <c r="U162" s="1"/>
      <c r="V162" s="1"/>
    </row>
    <row r="163" spans="2:22">
      <c r="B163" s="1"/>
      <c r="C163" s="1"/>
      <c r="D163" s="1"/>
      <c r="E163" s="1"/>
      <c r="F163" s="1"/>
      <c r="G163" s="1"/>
      <c r="H163" s="1"/>
      <c r="I163" s="1"/>
      <c r="J163" s="1"/>
      <c r="K163" s="1"/>
      <c r="L163" s="2"/>
      <c r="M163" s="1"/>
      <c r="N163" s="1"/>
      <c r="O163" s="1"/>
      <c r="P163" s="1"/>
      <c r="Q163" s="1"/>
      <c r="R163" s="1"/>
      <c r="S163" s="1"/>
      <c r="T163" s="1"/>
      <c r="U163" s="1"/>
      <c r="V163" s="1"/>
    </row>
    <row r="164" spans="2:22" ht="18.75">
      <c r="B164" s="1"/>
      <c r="C164" s="1"/>
      <c r="D164" s="145" t="str">
        <f>"　　※但　　参加費等収入（"&amp;領収証内訳!$X$4&amp;"分）として"</f>
        <v>　　※但　　参加費等収入（４月分）として</v>
      </c>
      <c r="E164" s="146"/>
      <c r="F164" s="146"/>
      <c r="G164" s="146"/>
      <c r="H164" s="146"/>
      <c r="I164" s="146"/>
      <c r="J164" s="146"/>
      <c r="K164" s="1"/>
      <c r="L164" s="2"/>
      <c r="M164" s="1"/>
      <c r="N164" s="1"/>
      <c r="O164" s="145" t="str">
        <f>"　　※但　　参加費等収入（"&amp;領収証内訳!$X$4&amp;"分）として"</f>
        <v>　　※但　　参加費等収入（４月分）として</v>
      </c>
      <c r="P164" s="139"/>
      <c r="Q164" s="139"/>
      <c r="R164" s="139"/>
      <c r="S164" s="139"/>
      <c r="T164" s="139"/>
      <c r="U164" s="139"/>
      <c r="V164" s="1"/>
    </row>
    <row r="165" spans="2:22" ht="9.9499999999999993" customHeight="1">
      <c r="B165" s="1"/>
      <c r="C165" s="1"/>
      <c r="D165" s="1"/>
      <c r="E165" s="1"/>
      <c r="F165" s="1"/>
      <c r="G165" s="1"/>
      <c r="H165" s="1"/>
      <c r="I165" s="1"/>
      <c r="J165" s="1"/>
      <c r="K165" s="1"/>
      <c r="L165" s="2"/>
      <c r="M165" s="1"/>
      <c r="N165" s="1"/>
      <c r="O165" s="1"/>
      <c r="P165" s="1"/>
      <c r="Q165" s="1"/>
      <c r="R165" s="1"/>
      <c r="S165" s="1"/>
      <c r="T165" s="1"/>
      <c r="U165" s="1"/>
      <c r="V165" s="1"/>
    </row>
    <row r="166" spans="2:22" ht="18.75">
      <c r="B166" s="1"/>
      <c r="C166" s="1"/>
      <c r="D166" s="1"/>
      <c r="E166" s="17" t="s">
        <v>7</v>
      </c>
      <c r="F166" s="1"/>
      <c r="G166" s="1"/>
      <c r="H166" s="1"/>
      <c r="I166" s="1"/>
      <c r="J166" s="1"/>
      <c r="K166" s="1"/>
      <c r="L166" s="2"/>
      <c r="M166" s="1"/>
      <c r="N166" s="1"/>
      <c r="O166" s="1"/>
      <c r="P166" s="17" t="s">
        <v>7</v>
      </c>
      <c r="Q166" s="1"/>
      <c r="R166" s="1"/>
      <c r="S166" s="1"/>
      <c r="T166" s="1"/>
      <c r="U166" s="1"/>
      <c r="V166" s="1"/>
    </row>
    <row r="167" spans="2:22" ht="6" customHeight="1">
      <c r="B167" s="1"/>
      <c r="C167" s="1"/>
      <c r="D167" s="1"/>
      <c r="E167" s="1"/>
      <c r="F167" s="1"/>
      <c r="G167" s="1"/>
      <c r="H167" s="1"/>
      <c r="I167" s="1"/>
      <c r="J167" s="1"/>
      <c r="K167" s="1"/>
      <c r="L167" s="2"/>
      <c r="M167" s="1"/>
      <c r="N167" s="1"/>
      <c r="O167" s="1"/>
      <c r="P167" s="1"/>
      <c r="Q167" s="1"/>
      <c r="R167" s="1"/>
      <c r="S167" s="1"/>
      <c r="T167" s="1"/>
      <c r="U167" s="1"/>
      <c r="V167" s="1"/>
    </row>
    <row r="168" spans="2:22" ht="20.100000000000001" customHeight="1">
      <c r="B168" s="1"/>
      <c r="C168" s="1"/>
      <c r="D168" s="1"/>
      <c r="F168" s="136" t="s">
        <v>68</v>
      </c>
      <c r="G168" s="137"/>
      <c r="H168" s="147">
        <f>領収証内訳!$X$2</f>
        <v>0</v>
      </c>
      <c r="I168" s="148"/>
      <c r="J168" s="149"/>
      <c r="K168" s="150"/>
      <c r="L168" s="2"/>
      <c r="M168" s="1"/>
      <c r="N168" s="1"/>
      <c r="O168" s="1"/>
      <c r="P168" s="5"/>
      <c r="Q168" s="136" t="s">
        <v>68</v>
      </c>
      <c r="R168" s="137"/>
      <c r="S168" s="147">
        <f>領収証内訳!$X$2</f>
        <v>0</v>
      </c>
      <c r="T168" s="148"/>
      <c r="U168" s="153"/>
      <c r="V168" s="153"/>
    </row>
    <row r="169" spans="2:22" ht="20.100000000000001" customHeight="1">
      <c r="B169" s="1"/>
      <c r="C169" s="1"/>
      <c r="D169" s="1"/>
      <c r="F169" s="138" t="s">
        <v>67</v>
      </c>
      <c r="G169" s="139"/>
      <c r="H169" s="151">
        <f>領収証内訳!$AA$2</f>
        <v>0</v>
      </c>
      <c r="I169" s="152"/>
      <c r="J169" s="9" t="s">
        <v>8</v>
      </c>
      <c r="K169" s="9"/>
      <c r="L169" s="12"/>
      <c r="M169" s="1"/>
      <c r="N169" s="1"/>
      <c r="O169" s="1"/>
      <c r="P169" s="5"/>
      <c r="Q169" s="138" t="s">
        <v>67</v>
      </c>
      <c r="R169" s="139"/>
      <c r="S169" s="151">
        <f>領収証内訳!$AA$2</f>
        <v>0</v>
      </c>
      <c r="T169" s="152"/>
      <c r="U169" s="9" t="s">
        <v>8</v>
      </c>
      <c r="V169" s="9"/>
    </row>
    <row r="170" spans="2:22" ht="6.95" customHeight="1">
      <c r="B170" s="10"/>
      <c r="C170" s="10"/>
      <c r="D170" s="10"/>
      <c r="E170" s="10"/>
      <c r="F170" s="13"/>
      <c r="G170" s="14"/>
      <c r="H170" s="10"/>
      <c r="I170" s="10"/>
      <c r="J170" s="11"/>
      <c r="K170" s="11"/>
      <c r="L170" s="15"/>
      <c r="M170" s="10"/>
      <c r="N170" s="10"/>
      <c r="O170" s="10"/>
      <c r="P170" s="10"/>
      <c r="Q170" s="13"/>
      <c r="R170" s="14"/>
      <c r="S170" s="10"/>
      <c r="T170" s="10"/>
      <c r="U170" s="11"/>
      <c r="V170" s="11"/>
    </row>
    <row r="171" spans="2:22" ht="10.5" customHeight="1">
      <c r="B171" s="1"/>
      <c r="C171" s="1"/>
      <c r="D171" s="1"/>
      <c r="E171" s="1"/>
      <c r="F171" s="1"/>
      <c r="G171" s="1"/>
      <c r="H171" s="1"/>
      <c r="I171" s="1"/>
      <c r="J171" s="1"/>
      <c r="K171" s="1"/>
      <c r="L171" s="2"/>
      <c r="M171" s="1"/>
      <c r="N171" s="1"/>
      <c r="O171" s="1"/>
      <c r="P171" s="1"/>
      <c r="Q171" s="1"/>
      <c r="R171" s="1"/>
      <c r="S171" s="1"/>
      <c r="T171" s="1"/>
      <c r="U171" s="1"/>
      <c r="V171" s="1"/>
    </row>
    <row r="172" spans="2:22" ht="21">
      <c r="B172" s="1"/>
      <c r="C172" s="1"/>
      <c r="D172" s="4" t="s">
        <v>4</v>
      </c>
      <c r="E172" s="1"/>
      <c r="F172" s="1"/>
      <c r="G172" s="1"/>
      <c r="H172" s="1"/>
      <c r="I172" s="1"/>
      <c r="J172" s="1"/>
      <c r="K172" s="1"/>
      <c r="L172" s="2"/>
      <c r="M172" s="1"/>
      <c r="N172" s="1"/>
      <c r="O172" s="4" t="s">
        <v>4</v>
      </c>
      <c r="P172" s="1"/>
      <c r="Q172" s="1"/>
      <c r="R172" s="1"/>
      <c r="S172" s="1"/>
      <c r="T172" s="1"/>
      <c r="U172" s="1"/>
      <c r="V172" s="1"/>
    </row>
    <row r="173" spans="2:22" ht="8.25" customHeight="1">
      <c r="B173" s="1"/>
      <c r="C173" s="1"/>
      <c r="D173" s="1"/>
      <c r="E173" s="1"/>
      <c r="F173" s="1"/>
      <c r="G173" s="1"/>
      <c r="H173" s="1"/>
      <c r="I173" s="1"/>
      <c r="J173" s="1"/>
      <c r="K173" s="1"/>
      <c r="L173" s="2"/>
      <c r="M173" s="1"/>
      <c r="N173" s="1"/>
      <c r="O173" s="1"/>
      <c r="P173" s="1"/>
      <c r="Q173" s="1"/>
      <c r="R173" s="1"/>
      <c r="S173" s="1"/>
      <c r="T173" s="1"/>
      <c r="U173" s="1"/>
      <c r="V173" s="1"/>
    </row>
    <row r="174" spans="2:22" ht="18.75">
      <c r="B174" s="1"/>
      <c r="C174" s="1"/>
      <c r="D174" s="1"/>
      <c r="E174" s="1"/>
      <c r="F174" s="140">
        <f>領収証内訳!$AA$3</f>
        <v>46275</v>
      </c>
      <c r="G174" s="141"/>
      <c r="H174" s="141"/>
      <c r="I174" s="141"/>
      <c r="J174" s="141"/>
      <c r="K174" s="1"/>
      <c r="L174" s="2"/>
      <c r="M174" s="1"/>
      <c r="N174" s="1"/>
      <c r="O174" s="1"/>
      <c r="P174" s="1"/>
      <c r="Q174" s="140">
        <f>領収証内訳!$AA$3</f>
        <v>46275</v>
      </c>
      <c r="R174" s="142"/>
      <c r="S174" s="142"/>
      <c r="T174" s="142"/>
      <c r="U174" s="142"/>
      <c r="V174" s="1"/>
    </row>
    <row r="175" spans="2:22" ht="9.9499999999999993" customHeight="1">
      <c r="B175" s="1"/>
      <c r="C175" s="1"/>
      <c r="D175" s="1"/>
      <c r="E175" s="1"/>
      <c r="F175" s="1"/>
      <c r="G175" s="1"/>
      <c r="H175" s="1"/>
      <c r="I175" s="1"/>
      <c r="J175" s="1"/>
      <c r="K175" s="1"/>
      <c r="L175" s="2"/>
      <c r="M175" s="1"/>
      <c r="N175" s="1"/>
      <c r="O175" s="1"/>
      <c r="P175" s="1"/>
      <c r="Q175" s="1"/>
      <c r="R175" s="1"/>
      <c r="S175" s="1"/>
      <c r="T175" s="1"/>
      <c r="U175" s="1"/>
      <c r="V175" s="1"/>
    </row>
    <row r="176" spans="2:22" ht="18.75">
      <c r="B176" s="154" t="str">
        <f ca="1">INDIRECT("領収証内訳!"&amp;$Z$2&amp;$X138+4)&amp;" さん保護者　様"</f>
        <v xml:space="preserve"> さん保護者　様</v>
      </c>
      <c r="C176" s="155"/>
      <c r="D176" s="156"/>
      <c r="E176" s="156"/>
      <c r="F176" s="156"/>
      <c r="G176" s="1"/>
      <c r="H176" s="1"/>
      <c r="I176" s="1"/>
      <c r="J176" s="1"/>
      <c r="K176" s="1"/>
      <c r="L176" s="2"/>
      <c r="M176" s="154" t="str">
        <f ca="1">INDIRECT("領収証内訳!"&amp;$Z$2&amp;$X138+5)&amp;" さん保護者　様"</f>
        <v xml:space="preserve"> さん保護者　様</v>
      </c>
      <c r="N176" s="155"/>
      <c r="O176" s="157"/>
      <c r="P176" s="157"/>
      <c r="Q176" s="157"/>
      <c r="R176" s="1"/>
      <c r="S176" s="1"/>
      <c r="T176" s="1"/>
      <c r="U176" s="1"/>
      <c r="V176" s="1"/>
    </row>
    <row r="177" spans="2:22" ht="9.9499999999999993" customHeight="1">
      <c r="B177" s="1"/>
      <c r="C177" s="1"/>
      <c r="D177" s="1"/>
      <c r="E177" s="1"/>
      <c r="F177" s="1"/>
      <c r="G177" s="1"/>
      <c r="H177" s="1"/>
      <c r="I177" s="1"/>
      <c r="J177" s="1"/>
      <c r="K177" s="1"/>
      <c r="L177" s="2"/>
      <c r="M177" s="1"/>
      <c r="N177" s="1"/>
      <c r="O177" s="1"/>
      <c r="P177" s="1"/>
      <c r="Q177" s="1"/>
      <c r="R177" s="1"/>
      <c r="S177" s="1"/>
      <c r="T177" s="1"/>
      <c r="U177" s="1"/>
      <c r="V177" s="1"/>
    </row>
    <row r="178" spans="2:22" ht="7.5" customHeight="1">
      <c r="B178" s="1"/>
      <c r="C178" s="1"/>
      <c r="D178" s="1"/>
      <c r="E178" s="1"/>
      <c r="F178" s="1"/>
      <c r="G178" s="1"/>
      <c r="H178" s="1"/>
      <c r="I178" s="1"/>
      <c r="J178" s="1"/>
      <c r="K178" s="1"/>
      <c r="L178" s="2"/>
      <c r="M178" s="1"/>
      <c r="N178" s="1"/>
      <c r="O178" s="1"/>
      <c r="P178" s="1"/>
      <c r="Q178" s="1"/>
      <c r="R178" s="1"/>
      <c r="S178" s="1"/>
      <c r="T178" s="1"/>
      <c r="U178" s="1"/>
      <c r="V178" s="1"/>
    </row>
    <row r="179" spans="2:22" ht="21">
      <c r="B179" s="1"/>
      <c r="C179" s="5"/>
      <c r="D179" s="6" t="s">
        <v>5</v>
      </c>
      <c r="E179" s="143">
        <f ca="1">INDIRECT("領収証内訳!"&amp;$Y$2&amp;$X138+4)</f>
        <v>0</v>
      </c>
      <c r="F179" s="144"/>
      <c r="G179" s="7" t="s">
        <v>6</v>
      </c>
      <c r="H179" s="8"/>
      <c r="I179" s="1"/>
      <c r="J179" s="1"/>
      <c r="K179" s="1"/>
      <c r="L179" s="2"/>
      <c r="M179" s="1"/>
      <c r="N179" s="5"/>
      <c r="O179" s="6" t="s">
        <v>5</v>
      </c>
      <c r="P179" s="143">
        <f ca="1">INDIRECT("領収証内訳!"&amp;$Y$2&amp;$X138+5)</f>
        <v>0</v>
      </c>
      <c r="Q179" s="144"/>
      <c r="R179" s="7" t="s">
        <v>6</v>
      </c>
      <c r="S179" s="8"/>
      <c r="T179" s="1"/>
      <c r="U179" s="1"/>
      <c r="V179" s="1"/>
    </row>
    <row r="180" spans="2:22" ht="9.9499999999999993" customHeight="1">
      <c r="B180" s="1"/>
      <c r="C180" s="1"/>
      <c r="D180" s="1"/>
      <c r="E180" s="1"/>
      <c r="F180" s="1"/>
      <c r="G180" s="1"/>
      <c r="H180" s="1"/>
      <c r="I180" s="1"/>
      <c r="J180" s="1"/>
      <c r="K180" s="1"/>
      <c r="L180" s="2"/>
      <c r="M180" s="1"/>
      <c r="N180" s="1"/>
      <c r="O180" s="1"/>
      <c r="P180" s="1"/>
      <c r="Q180" s="1"/>
      <c r="R180" s="1"/>
      <c r="S180" s="1"/>
      <c r="T180" s="1"/>
      <c r="U180" s="1"/>
      <c r="V180" s="1"/>
    </row>
    <row r="181" spans="2:22" ht="18.75">
      <c r="B181" s="1"/>
      <c r="C181" s="1"/>
      <c r="D181" s="145" t="str">
        <f>"　　※但　　参加費等収入（"&amp;領収証内訳!$X$4&amp;"分）として"</f>
        <v>　　※但　　参加費等収入（４月分）として</v>
      </c>
      <c r="E181" s="146"/>
      <c r="F181" s="146"/>
      <c r="G181" s="146"/>
      <c r="H181" s="146"/>
      <c r="I181" s="146"/>
      <c r="J181" s="146"/>
      <c r="K181" s="1"/>
      <c r="L181" s="2"/>
      <c r="M181" s="1"/>
      <c r="N181" s="1"/>
      <c r="O181" s="145" t="str">
        <f>"　　※但　　参加費等収入（"&amp;領収証内訳!$X$4&amp;"分）として"</f>
        <v>　　※但　　参加費等収入（４月分）として</v>
      </c>
      <c r="P181" s="139"/>
      <c r="Q181" s="139"/>
      <c r="R181" s="139"/>
      <c r="S181" s="139"/>
      <c r="T181" s="139"/>
      <c r="U181" s="139"/>
      <c r="V181" s="1"/>
    </row>
    <row r="182" spans="2:22" ht="9.9499999999999993" customHeight="1">
      <c r="B182" s="1"/>
      <c r="C182" s="1"/>
      <c r="D182" s="1"/>
      <c r="E182" s="1"/>
      <c r="F182" s="1"/>
      <c r="G182" s="1"/>
      <c r="H182" s="1"/>
      <c r="I182" s="1"/>
      <c r="J182" s="1"/>
      <c r="K182" s="1"/>
      <c r="L182" s="2"/>
      <c r="M182" s="1"/>
      <c r="N182" s="1"/>
      <c r="O182" s="1"/>
      <c r="P182" s="1"/>
      <c r="Q182" s="1"/>
      <c r="R182" s="1"/>
      <c r="S182" s="1"/>
      <c r="T182" s="1"/>
      <c r="U182" s="1"/>
      <c r="V182" s="1"/>
    </row>
    <row r="183" spans="2:22" ht="18.75">
      <c r="B183" s="1"/>
      <c r="C183" s="1"/>
      <c r="D183" s="1"/>
      <c r="E183" s="17" t="s">
        <v>7</v>
      </c>
      <c r="F183" s="1"/>
      <c r="G183" s="1"/>
      <c r="H183" s="1"/>
      <c r="I183" s="1"/>
      <c r="J183" s="1"/>
      <c r="K183" s="1"/>
      <c r="L183" s="2"/>
      <c r="M183" s="1"/>
      <c r="N183" s="1"/>
      <c r="O183" s="1"/>
      <c r="P183" s="17" t="s">
        <v>7</v>
      </c>
      <c r="Q183" s="1"/>
      <c r="R183" s="1"/>
      <c r="S183" s="1"/>
      <c r="T183" s="1"/>
      <c r="U183" s="1"/>
      <c r="V183" s="1"/>
    </row>
    <row r="184" spans="2:22" ht="6" customHeight="1">
      <c r="B184" s="1"/>
      <c r="C184" s="1"/>
      <c r="D184" s="1"/>
      <c r="E184" s="1"/>
      <c r="F184" s="1"/>
      <c r="G184" s="1"/>
      <c r="H184" s="1"/>
      <c r="I184" s="1"/>
      <c r="J184" s="1"/>
      <c r="K184" s="1"/>
      <c r="L184" s="2"/>
      <c r="M184" s="1"/>
      <c r="N184" s="1"/>
      <c r="O184" s="1"/>
      <c r="P184" s="1"/>
      <c r="Q184" s="1"/>
      <c r="R184" s="1"/>
      <c r="S184" s="1"/>
      <c r="T184" s="1"/>
      <c r="U184" s="1"/>
      <c r="V184" s="1"/>
    </row>
    <row r="185" spans="2:22" ht="20.100000000000001" customHeight="1">
      <c r="B185" s="1"/>
      <c r="C185" s="1"/>
      <c r="D185" s="1"/>
      <c r="F185" s="136" t="s">
        <v>68</v>
      </c>
      <c r="G185" s="137"/>
      <c r="H185" s="147">
        <f>領収証内訳!$X$2</f>
        <v>0</v>
      </c>
      <c r="I185" s="148"/>
      <c r="J185" s="149"/>
      <c r="K185" s="150"/>
      <c r="L185" s="2"/>
      <c r="M185" s="1"/>
      <c r="N185" s="1"/>
      <c r="O185" s="1"/>
      <c r="P185" s="5"/>
      <c r="Q185" s="136" t="s">
        <v>68</v>
      </c>
      <c r="R185" s="137"/>
      <c r="S185" s="147">
        <f>領収証内訳!$X$2</f>
        <v>0</v>
      </c>
      <c r="T185" s="148"/>
      <c r="U185" s="153"/>
      <c r="V185" s="153"/>
    </row>
    <row r="186" spans="2:22" ht="20.100000000000001" customHeight="1">
      <c r="B186" s="1"/>
      <c r="C186" s="1"/>
      <c r="D186" s="1"/>
      <c r="F186" s="138" t="s">
        <v>67</v>
      </c>
      <c r="G186" s="139"/>
      <c r="H186" s="151">
        <f>領収証内訳!$AA$2</f>
        <v>0</v>
      </c>
      <c r="I186" s="152"/>
      <c r="J186" s="9" t="s">
        <v>8</v>
      </c>
      <c r="K186" s="9"/>
      <c r="L186" s="12"/>
      <c r="M186" s="1"/>
      <c r="N186" s="1"/>
      <c r="O186" s="1"/>
      <c r="P186" s="5"/>
      <c r="Q186" s="138" t="s">
        <v>67</v>
      </c>
      <c r="R186" s="139"/>
      <c r="S186" s="151">
        <f>領収証内訳!$AA$2</f>
        <v>0</v>
      </c>
      <c r="T186" s="152"/>
      <c r="U186" s="9" t="s">
        <v>8</v>
      </c>
      <c r="V186" s="9"/>
    </row>
    <row r="187" spans="2:22" ht="6.95" customHeight="1">
      <c r="B187" s="10"/>
      <c r="C187" s="10"/>
      <c r="D187" s="10"/>
      <c r="E187" s="10"/>
      <c r="F187" s="13"/>
      <c r="G187" s="14"/>
      <c r="H187" s="10"/>
      <c r="I187" s="10"/>
      <c r="J187" s="11"/>
      <c r="K187" s="11"/>
      <c r="L187" s="15"/>
      <c r="M187" s="10"/>
      <c r="N187" s="10"/>
      <c r="O187" s="10"/>
      <c r="P187" s="10"/>
      <c r="Q187" s="13"/>
      <c r="R187" s="14"/>
      <c r="S187" s="10"/>
      <c r="T187" s="10"/>
      <c r="U187" s="11"/>
      <c r="V187" s="11"/>
    </row>
    <row r="188" spans="2:22" ht="10.5" customHeight="1">
      <c r="B188" s="1"/>
      <c r="C188" s="1"/>
      <c r="D188" s="1"/>
      <c r="E188" s="1"/>
      <c r="F188" s="1"/>
      <c r="G188" s="1"/>
      <c r="H188" s="1"/>
      <c r="I188" s="1"/>
      <c r="J188" s="1"/>
      <c r="K188" s="1"/>
      <c r="L188" s="2"/>
      <c r="M188" s="1"/>
      <c r="N188" s="1"/>
      <c r="O188" s="1"/>
      <c r="P188" s="1"/>
      <c r="Q188" s="1"/>
      <c r="R188" s="1"/>
      <c r="S188" s="1"/>
      <c r="T188" s="1"/>
      <c r="U188" s="1"/>
      <c r="V188" s="1"/>
    </row>
    <row r="189" spans="2:22" ht="21">
      <c r="B189" s="1"/>
      <c r="C189" s="1"/>
      <c r="D189" s="4" t="s">
        <v>4</v>
      </c>
      <c r="E189" s="1"/>
      <c r="F189" s="1"/>
      <c r="G189" s="1"/>
      <c r="H189" s="1"/>
      <c r="I189" s="1"/>
      <c r="J189" s="1"/>
      <c r="K189" s="1"/>
      <c r="L189" s="2"/>
      <c r="M189" s="1"/>
      <c r="N189" s="1"/>
      <c r="O189" s="4" t="s">
        <v>4</v>
      </c>
      <c r="P189" s="1"/>
      <c r="Q189" s="1"/>
      <c r="R189" s="1"/>
      <c r="S189" s="1"/>
      <c r="T189" s="1"/>
      <c r="U189" s="1"/>
      <c r="V189" s="1"/>
    </row>
    <row r="190" spans="2:22" ht="8.25" customHeight="1">
      <c r="B190" s="1"/>
      <c r="C190" s="1"/>
      <c r="D190" s="1"/>
      <c r="E190" s="1"/>
      <c r="F190" s="1"/>
      <c r="G190" s="1"/>
      <c r="H190" s="1"/>
      <c r="I190" s="1"/>
      <c r="J190" s="1"/>
      <c r="K190" s="1"/>
      <c r="L190" s="2"/>
      <c r="M190" s="1"/>
      <c r="N190" s="1"/>
      <c r="O190" s="1"/>
      <c r="P190" s="1"/>
      <c r="Q190" s="1"/>
      <c r="R190" s="1"/>
      <c r="S190" s="1"/>
      <c r="T190" s="1"/>
      <c r="U190" s="1"/>
      <c r="V190" s="1"/>
    </row>
    <row r="191" spans="2:22" ht="18.75">
      <c r="B191" s="1"/>
      <c r="C191" s="1"/>
      <c r="D191" s="1"/>
      <c r="E191" s="1"/>
      <c r="F191" s="140">
        <f>領収証内訳!$AA$3</f>
        <v>46275</v>
      </c>
      <c r="G191" s="141"/>
      <c r="H191" s="141"/>
      <c r="I191" s="141"/>
      <c r="J191" s="141"/>
      <c r="K191" s="1"/>
      <c r="L191" s="2"/>
      <c r="M191" s="1"/>
      <c r="N191" s="1"/>
      <c r="O191" s="1"/>
      <c r="P191" s="1"/>
      <c r="Q191" s="140">
        <f>領収証内訳!$AA$3</f>
        <v>46275</v>
      </c>
      <c r="R191" s="142"/>
      <c r="S191" s="142"/>
      <c r="T191" s="142"/>
      <c r="U191" s="142"/>
      <c r="V191" s="1"/>
    </row>
    <row r="192" spans="2:22" ht="9.9499999999999993" customHeight="1">
      <c r="B192" s="1"/>
      <c r="C192" s="1"/>
      <c r="D192" s="1"/>
      <c r="E192" s="1"/>
      <c r="F192" s="1"/>
      <c r="G192" s="1"/>
      <c r="H192" s="1"/>
      <c r="I192" s="1"/>
      <c r="J192" s="1"/>
      <c r="K192" s="1"/>
      <c r="L192" s="2"/>
      <c r="M192" s="1"/>
      <c r="N192" s="1"/>
      <c r="O192" s="1"/>
      <c r="P192" s="1"/>
      <c r="Q192" s="1"/>
      <c r="R192" s="1"/>
      <c r="S192" s="1"/>
      <c r="T192" s="1"/>
      <c r="U192" s="1"/>
      <c r="V192" s="1"/>
    </row>
    <row r="193" spans="2:24" ht="18.75">
      <c r="B193" s="154" t="str">
        <f ca="1">INDIRECT("領収証内訳!"&amp;$Z$2&amp;$X138+6)&amp;" さん保護者　様"</f>
        <v xml:space="preserve"> さん保護者　様</v>
      </c>
      <c r="C193" s="155"/>
      <c r="D193" s="156"/>
      <c r="E193" s="156"/>
      <c r="F193" s="156"/>
      <c r="G193" s="1"/>
      <c r="H193" s="1"/>
      <c r="I193" s="1"/>
      <c r="J193" s="1"/>
      <c r="K193" s="1"/>
      <c r="L193" s="2"/>
      <c r="M193" s="154" t="str">
        <f ca="1">INDIRECT("領収証内訳!"&amp;$Z$2&amp;$X138+7)&amp;" さん保護者　様"</f>
        <v xml:space="preserve"> さん保護者　様</v>
      </c>
      <c r="N193" s="155"/>
      <c r="O193" s="157"/>
      <c r="P193" s="157"/>
      <c r="Q193" s="157"/>
      <c r="R193" s="1"/>
      <c r="S193" s="1"/>
      <c r="T193" s="1"/>
      <c r="U193" s="1"/>
      <c r="V193" s="1"/>
    </row>
    <row r="194" spans="2:24">
      <c r="B194" s="1"/>
      <c r="C194" s="1"/>
      <c r="D194" s="1"/>
      <c r="E194" s="1"/>
      <c r="F194" s="1"/>
      <c r="G194" s="1"/>
      <c r="H194" s="1"/>
      <c r="I194" s="1"/>
      <c r="J194" s="1"/>
      <c r="K194" s="1"/>
      <c r="L194" s="2"/>
      <c r="M194" s="1"/>
      <c r="N194" s="1"/>
      <c r="O194" s="1"/>
      <c r="P194" s="1"/>
      <c r="Q194" s="1"/>
      <c r="R194" s="1"/>
      <c r="S194" s="1"/>
      <c r="T194" s="1"/>
      <c r="U194" s="1"/>
      <c r="V194" s="1"/>
    </row>
    <row r="195" spans="2:24" ht="7.5" customHeight="1">
      <c r="B195" s="1"/>
      <c r="C195" s="1"/>
      <c r="D195" s="1"/>
      <c r="E195" s="1"/>
      <c r="F195" s="1"/>
      <c r="G195" s="1"/>
      <c r="H195" s="1"/>
      <c r="I195" s="1"/>
      <c r="J195" s="1"/>
      <c r="K195" s="1"/>
      <c r="L195" s="2"/>
      <c r="M195" s="1"/>
      <c r="N195" s="1"/>
      <c r="O195" s="1"/>
      <c r="P195" s="1"/>
      <c r="Q195" s="1"/>
      <c r="R195" s="1"/>
      <c r="S195" s="1"/>
      <c r="T195" s="1"/>
      <c r="U195" s="1"/>
      <c r="V195" s="1"/>
    </row>
    <row r="196" spans="2:24" ht="21">
      <c r="B196" s="1"/>
      <c r="C196" s="5"/>
      <c r="D196" s="6" t="s">
        <v>5</v>
      </c>
      <c r="E196" s="143">
        <f ca="1">INDIRECT("領収証内訳!"&amp;$Y$2&amp;$X138+6)</f>
        <v>0</v>
      </c>
      <c r="F196" s="144"/>
      <c r="G196" s="7" t="s">
        <v>6</v>
      </c>
      <c r="H196" s="8"/>
      <c r="I196" s="1"/>
      <c r="J196" s="1"/>
      <c r="K196" s="1"/>
      <c r="L196" s="2"/>
      <c r="M196" s="1"/>
      <c r="N196" s="5"/>
      <c r="O196" s="6" t="s">
        <v>5</v>
      </c>
      <c r="P196" s="143">
        <f ca="1">INDIRECT("領収証内訳!"&amp;$Y$2&amp;$X138+7)</f>
        <v>0</v>
      </c>
      <c r="Q196" s="144"/>
      <c r="R196" s="7" t="s">
        <v>6</v>
      </c>
      <c r="S196" s="8"/>
      <c r="T196" s="1"/>
      <c r="U196" s="1"/>
      <c r="V196" s="1"/>
    </row>
    <row r="197" spans="2:24">
      <c r="B197" s="1"/>
      <c r="C197" s="1"/>
      <c r="D197" s="1"/>
      <c r="E197" s="1"/>
      <c r="F197" s="1"/>
      <c r="G197" s="1"/>
      <c r="H197" s="1"/>
      <c r="I197" s="1"/>
      <c r="J197" s="1"/>
      <c r="K197" s="1"/>
      <c r="L197" s="2"/>
      <c r="M197" s="1"/>
      <c r="N197" s="1"/>
      <c r="O197" s="1"/>
      <c r="P197" s="1"/>
      <c r="Q197" s="1"/>
      <c r="R197" s="1"/>
      <c r="S197" s="1"/>
      <c r="T197" s="1"/>
      <c r="U197" s="1"/>
      <c r="V197" s="1"/>
    </row>
    <row r="198" spans="2:24" ht="18.75">
      <c r="B198" s="1"/>
      <c r="C198" s="1"/>
      <c r="D198" s="145" t="str">
        <f>"　　※但　　参加費等収入（"&amp;領収証内訳!$X$4&amp;"分）として"</f>
        <v>　　※但　　参加費等収入（４月分）として</v>
      </c>
      <c r="E198" s="146"/>
      <c r="F198" s="146"/>
      <c r="G198" s="146"/>
      <c r="H198" s="146"/>
      <c r="I198" s="146"/>
      <c r="J198" s="146"/>
      <c r="K198" s="1"/>
      <c r="L198" s="2"/>
      <c r="M198" s="1"/>
      <c r="N198" s="1"/>
      <c r="O198" s="145" t="str">
        <f>"　　※但　　参加費等収入（"&amp;領収証内訳!$X$4&amp;"分）として"</f>
        <v>　　※但　　参加費等収入（４月分）として</v>
      </c>
      <c r="P198" s="139"/>
      <c r="Q198" s="139"/>
      <c r="R198" s="139"/>
      <c r="S198" s="139"/>
      <c r="T198" s="139"/>
      <c r="U198" s="139"/>
      <c r="V198" s="1"/>
    </row>
    <row r="199" spans="2:24">
      <c r="B199" s="1"/>
      <c r="C199" s="1"/>
      <c r="D199" s="1"/>
      <c r="E199" s="1"/>
      <c r="F199" s="1"/>
      <c r="G199" s="1"/>
      <c r="H199" s="1"/>
      <c r="I199" s="1"/>
      <c r="J199" s="1"/>
      <c r="K199" s="1"/>
      <c r="L199" s="2"/>
      <c r="M199" s="1"/>
      <c r="N199" s="1"/>
      <c r="O199" s="1"/>
      <c r="P199" s="1"/>
      <c r="Q199" s="1"/>
      <c r="R199" s="1"/>
      <c r="S199" s="1"/>
      <c r="T199" s="1"/>
      <c r="U199" s="1"/>
      <c r="V199" s="1"/>
    </row>
    <row r="200" spans="2:24" ht="18.75">
      <c r="B200" s="1"/>
      <c r="C200" s="1"/>
      <c r="D200" s="1"/>
      <c r="E200" s="17" t="s">
        <v>7</v>
      </c>
      <c r="F200" s="1"/>
      <c r="G200" s="1"/>
      <c r="H200" s="1"/>
      <c r="I200" s="1"/>
      <c r="J200" s="1"/>
      <c r="K200" s="1"/>
      <c r="L200" s="2"/>
      <c r="M200" s="1"/>
      <c r="N200" s="1"/>
      <c r="O200" s="1"/>
      <c r="P200" s="17" t="s">
        <v>7</v>
      </c>
      <c r="Q200" s="1"/>
      <c r="R200" s="1"/>
      <c r="S200" s="1"/>
      <c r="T200" s="1"/>
      <c r="U200" s="1"/>
      <c r="V200" s="1"/>
    </row>
    <row r="201" spans="2:24" ht="6" customHeight="1">
      <c r="B201" s="1"/>
      <c r="C201" s="1"/>
      <c r="D201" s="1"/>
      <c r="E201" s="1"/>
      <c r="F201" s="1"/>
      <c r="G201" s="1"/>
      <c r="H201" s="1"/>
      <c r="I201" s="1"/>
      <c r="J201" s="1"/>
      <c r="K201" s="1"/>
      <c r="L201" s="2"/>
      <c r="M201" s="1"/>
      <c r="N201" s="1"/>
      <c r="O201" s="1"/>
      <c r="P201" s="1"/>
      <c r="Q201" s="1"/>
      <c r="R201" s="1"/>
      <c r="S201" s="1"/>
      <c r="T201" s="1"/>
      <c r="U201" s="1"/>
      <c r="V201" s="1"/>
    </row>
    <row r="202" spans="2:24" ht="20.100000000000001" customHeight="1">
      <c r="B202" s="1"/>
      <c r="C202" s="1"/>
      <c r="D202" s="1"/>
      <c r="F202" s="136" t="s">
        <v>68</v>
      </c>
      <c r="G202" s="137"/>
      <c r="H202" s="147">
        <f>領収証内訳!$X$2</f>
        <v>0</v>
      </c>
      <c r="I202" s="148"/>
      <c r="J202" s="149"/>
      <c r="K202" s="150"/>
      <c r="L202" s="2"/>
      <c r="M202" s="1"/>
      <c r="N202" s="1"/>
      <c r="O202" s="1"/>
      <c r="P202" s="5"/>
      <c r="Q202" s="136" t="s">
        <v>68</v>
      </c>
      <c r="R202" s="137"/>
      <c r="S202" s="147">
        <f>領収証内訳!$X$2</f>
        <v>0</v>
      </c>
      <c r="T202" s="148"/>
      <c r="U202" s="153"/>
      <c r="V202" s="153"/>
    </row>
    <row r="203" spans="2:24" ht="20.100000000000001" customHeight="1">
      <c r="B203" s="1"/>
      <c r="C203" s="1"/>
      <c r="D203" s="1"/>
      <c r="F203" s="138" t="s">
        <v>67</v>
      </c>
      <c r="G203" s="139"/>
      <c r="H203" s="151">
        <f>領収証内訳!$AA$2</f>
        <v>0</v>
      </c>
      <c r="I203" s="152"/>
      <c r="J203" s="9" t="s">
        <v>8</v>
      </c>
      <c r="K203" s="9"/>
      <c r="L203" s="12"/>
      <c r="M203" s="1"/>
      <c r="N203" s="1"/>
      <c r="O203" s="1"/>
      <c r="P203" s="5"/>
      <c r="Q203" s="138" t="s">
        <v>67</v>
      </c>
      <c r="R203" s="139"/>
      <c r="S203" s="151">
        <f>領収証内訳!$AA$2</f>
        <v>0</v>
      </c>
      <c r="T203" s="152"/>
      <c r="U203" s="9" t="s">
        <v>8</v>
      </c>
      <c r="V203" s="9"/>
    </row>
    <row r="204" spans="2:24" ht="5.25" customHeight="1">
      <c r="B204" s="1"/>
      <c r="C204" s="1"/>
      <c r="D204" s="1"/>
      <c r="E204" s="1"/>
      <c r="F204" s="16"/>
      <c r="G204" s="5"/>
      <c r="H204" s="1"/>
      <c r="I204" s="1"/>
      <c r="J204" s="9"/>
      <c r="K204" s="9"/>
      <c r="L204" s="12"/>
      <c r="M204" s="1"/>
      <c r="N204" s="1"/>
      <c r="O204" s="1"/>
      <c r="P204" s="1"/>
      <c r="Q204" s="16"/>
      <c r="R204" s="5"/>
      <c r="S204" s="1"/>
      <c r="T204" s="1"/>
      <c r="U204" s="9"/>
      <c r="V204" s="9"/>
    </row>
    <row r="205" spans="2:24" ht="10.5" customHeight="1">
      <c r="B205" s="1"/>
      <c r="C205" s="1"/>
      <c r="D205" s="1"/>
      <c r="E205" s="1"/>
      <c r="F205" s="1"/>
      <c r="G205" s="1"/>
      <c r="H205" s="1"/>
      <c r="I205" s="1"/>
      <c r="J205" s="1"/>
      <c r="K205" s="1"/>
      <c r="L205" s="2"/>
      <c r="M205" s="1"/>
      <c r="N205" s="1"/>
      <c r="O205" s="1"/>
      <c r="P205" s="1"/>
      <c r="Q205" s="1"/>
      <c r="R205" s="1"/>
      <c r="S205" s="1"/>
      <c r="T205" s="1"/>
      <c r="U205" s="1"/>
      <c r="V205" s="1"/>
    </row>
    <row r="206" spans="2:24" ht="21">
      <c r="B206" s="1"/>
      <c r="C206" s="1"/>
      <c r="D206" s="4" t="s">
        <v>4</v>
      </c>
      <c r="E206" s="1"/>
      <c r="F206" s="1"/>
      <c r="G206" s="1"/>
      <c r="H206" s="1"/>
      <c r="I206" s="1"/>
      <c r="J206" s="1"/>
      <c r="K206" s="1"/>
      <c r="L206" s="2"/>
      <c r="M206" s="1"/>
      <c r="N206" s="1"/>
      <c r="O206" s="4" t="s">
        <v>4</v>
      </c>
      <c r="P206" s="1"/>
      <c r="Q206" s="1"/>
      <c r="R206" s="1"/>
      <c r="S206" s="1"/>
      <c r="T206" s="1"/>
      <c r="U206" s="1"/>
      <c r="V206" s="1"/>
      <c r="X206" s="3">
        <f>X138+8</f>
        <v>29</v>
      </c>
    </row>
    <row r="207" spans="2:24" ht="8.25" customHeight="1">
      <c r="B207" s="1"/>
      <c r="C207" s="1"/>
      <c r="D207" s="1"/>
      <c r="E207" s="1"/>
      <c r="F207" s="1"/>
      <c r="G207" s="1"/>
      <c r="H207" s="1"/>
      <c r="I207" s="1"/>
      <c r="J207" s="1"/>
      <c r="K207" s="1"/>
      <c r="L207" s="2"/>
      <c r="M207" s="1"/>
      <c r="N207" s="1"/>
      <c r="O207" s="1"/>
      <c r="P207" s="1"/>
      <c r="Q207" s="1"/>
      <c r="R207" s="1"/>
      <c r="S207" s="1"/>
      <c r="T207" s="1"/>
      <c r="U207" s="1"/>
      <c r="V207" s="1"/>
    </row>
    <row r="208" spans="2:24" ht="18.75">
      <c r="B208" s="1"/>
      <c r="C208" s="1"/>
      <c r="D208" s="1"/>
      <c r="E208" s="1"/>
      <c r="F208" s="140">
        <f>領収証内訳!$AA$3</f>
        <v>46275</v>
      </c>
      <c r="G208" s="141"/>
      <c r="H208" s="141"/>
      <c r="I208" s="141"/>
      <c r="J208" s="141"/>
      <c r="K208" s="1"/>
      <c r="L208" s="2"/>
      <c r="M208" s="1"/>
      <c r="N208" s="1"/>
      <c r="O208" s="1"/>
      <c r="P208" s="1"/>
      <c r="Q208" s="140">
        <f>領収証内訳!$AA$3</f>
        <v>46275</v>
      </c>
      <c r="R208" s="142"/>
      <c r="S208" s="142"/>
      <c r="T208" s="142"/>
      <c r="U208" s="142"/>
      <c r="V208" s="1"/>
    </row>
    <row r="209" spans="2:22" ht="9.9499999999999993" customHeight="1">
      <c r="B209" s="1"/>
      <c r="C209" s="1"/>
      <c r="D209" s="1"/>
      <c r="E209" s="1"/>
      <c r="F209" s="1"/>
      <c r="G209" s="1"/>
      <c r="H209" s="1"/>
      <c r="I209" s="1"/>
      <c r="J209" s="1"/>
      <c r="K209" s="1"/>
      <c r="L209" s="2"/>
      <c r="M209" s="1"/>
      <c r="N209" s="1"/>
      <c r="O209" s="1"/>
      <c r="P209" s="1"/>
      <c r="Q209" s="1"/>
      <c r="R209" s="1"/>
      <c r="S209" s="1"/>
      <c r="T209" s="1"/>
      <c r="U209" s="1"/>
      <c r="V209" s="1"/>
    </row>
    <row r="210" spans="2:22" ht="18.75">
      <c r="B210" s="154" t="str">
        <f ca="1">INDIRECT("領収証内訳!"&amp;$Z$2&amp;$X206)&amp;" さん保護者　様"</f>
        <v xml:space="preserve"> さん保護者　様</v>
      </c>
      <c r="C210" s="155"/>
      <c r="D210" s="156"/>
      <c r="E210" s="156"/>
      <c r="F210" s="156"/>
      <c r="G210" s="1"/>
      <c r="H210" s="1"/>
      <c r="I210" s="1"/>
      <c r="J210" s="1"/>
      <c r="K210" s="1"/>
      <c r="L210" s="2"/>
      <c r="M210" s="154" t="str">
        <f ca="1">INDIRECT("領収証内訳!"&amp;$Z$2&amp;$X206+1)&amp;" さん保護者　様"</f>
        <v xml:space="preserve"> さん保護者　様</v>
      </c>
      <c r="N210" s="155"/>
      <c r="O210" s="157"/>
      <c r="P210" s="157"/>
      <c r="Q210" s="157"/>
      <c r="R210" s="1"/>
      <c r="S210" s="1"/>
      <c r="T210" s="1"/>
      <c r="U210" s="1"/>
      <c r="V210" s="1"/>
    </row>
    <row r="211" spans="2:22" ht="9.9499999999999993" customHeight="1">
      <c r="B211" s="1"/>
      <c r="C211" s="1"/>
      <c r="D211" s="1"/>
      <c r="E211" s="1"/>
      <c r="F211" s="1"/>
      <c r="G211" s="1"/>
      <c r="H211" s="1"/>
      <c r="I211" s="1"/>
      <c r="J211" s="1"/>
      <c r="K211" s="1"/>
      <c r="L211" s="2"/>
      <c r="M211" s="1"/>
      <c r="N211" s="1"/>
      <c r="O211" s="1"/>
      <c r="P211" s="1"/>
      <c r="Q211" s="1"/>
      <c r="R211" s="1"/>
      <c r="S211" s="1"/>
      <c r="T211" s="1"/>
      <c r="U211" s="1"/>
      <c r="V211" s="1"/>
    </row>
    <row r="212" spans="2:22" ht="7.5" customHeight="1">
      <c r="B212" s="1"/>
      <c r="C212" s="1"/>
      <c r="D212" s="1"/>
      <c r="E212" s="1"/>
      <c r="F212" s="1"/>
      <c r="G212" s="1"/>
      <c r="H212" s="1"/>
      <c r="I212" s="1"/>
      <c r="J212" s="1"/>
      <c r="K212" s="1"/>
      <c r="L212" s="2"/>
      <c r="M212" s="1"/>
      <c r="N212" s="1"/>
      <c r="O212" s="1"/>
      <c r="P212" s="1"/>
      <c r="Q212" s="1"/>
      <c r="R212" s="1"/>
      <c r="S212" s="1"/>
      <c r="T212" s="1"/>
      <c r="U212" s="1"/>
      <c r="V212" s="1"/>
    </row>
    <row r="213" spans="2:22" ht="21">
      <c r="B213" s="1"/>
      <c r="C213" s="5"/>
      <c r="D213" s="6" t="s">
        <v>5</v>
      </c>
      <c r="E213" s="143">
        <f ca="1">INDIRECT("領収証内訳!"&amp;$Y$2&amp;$X206)</f>
        <v>0</v>
      </c>
      <c r="F213" s="144"/>
      <c r="G213" s="7" t="s">
        <v>6</v>
      </c>
      <c r="H213" s="8"/>
      <c r="I213" s="1"/>
      <c r="J213" s="1"/>
      <c r="K213" s="1"/>
      <c r="L213" s="2"/>
      <c r="M213" s="1"/>
      <c r="N213" s="5"/>
      <c r="O213" s="6" t="s">
        <v>5</v>
      </c>
      <c r="P213" s="143">
        <f ca="1">INDIRECT("領収証内訳!"&amp;$Y$2&amp;$X206+1)</f>
        <v>0</v>
      </c>
      <c r="Q213" s="144"/>
      <c r="R213" s="7" t="s">
        <v>6</v>
      </c>
      <c r="S213" s="8"/>
      <c r="T213" s="1"/>
      <c r="U213" s="1"/>
      <c r="V213" s="1"/>
    </row>
    <row r="214" spans="2:22">
      <c r="B214" s="1"/>
      <c r="C214" s="1"/>
      <c r="D214" s="1"/>
      <c r="E214" s="1"/>
      <c r="F214" s="1"/>
      <c r="G214" s="1"/>
      <c r="H214" s="1"/>
      <c r="I214" s="1"/>
      <c r="J214" s="1"/>
      <c r="K214" s="1"/>
      <c r="L214" s="2"/>
      <c r="M214" s="1"/>
      <c r="N214" s="1"/>
      <c r="O214" s="1"/>
      <c r="P214" s="1"/>
      <c r="Q214" s="1"/>
      <c r="R214" s="1"/>
      <c r="S214" s="1"/>
      <c r="T214" s="1"/>
      <c r="U214" s="1"/>
      <c r="V214" s="1"/>
    </row>
    <row r="215" spans="2:22" ht="18.75">
      <c r="B215" s="1"/>
      <c r="C215" s="1"/>
      <c r="D215" s="145" t="str">
        <f>"　　※但　　参加費等収入（"&amp;領収証内訳!$X$4&amp;"分）として"</f>
        <v>　　※但　　参加費等収入（４月分）として</v>
      </c>
      <c r="E215" s="146"/>
      <c r="F215" s="146"/>
      <c r="G215" s="146"/>
      <c r="H215" s="146"/>
      <c r="I215" s="146"/>
      <c r="J215" s="146"/>
      <c r="K215" s="1"/>
      <c r="L215" s="2"/>
      <c r="M215" s="1"/>
      <c r="N215" s="1"/>
      <c r="O215" s="145" t="str">
        <f>"　　※但　　参加費等収入（"&amp;領収証内訳!$X$4&amp;"分）として"</f>
        <v>　　※但　　参加費等収入（４月分）として</v>
      </c>
      <c r="P215" s="139"/>
      <c r="Q215" s="139"/>
      <c r="R215" s="139"/>
      <c r="S215" s="139"/>
      <c r="T215" s="139"/>
      <c r="U215" s="139"/>
      <c r="V215" s="1"/>
    </row>
    <row r="216" spans="2:22" ht="9.9499999999999993" customHeight="1">
      <c r="B216" s="1"/>
      <c r="C216" s="1"/>
      <c r="D216" s="1"/>
      <c r="E216" s="1"/>
      <c r="F216" s="1"/>
      <c r="G216" s="1"/>
      <c r="H216" s="1"/>
      <c r="I216" s="1"/>
      <c r="J216" s="1"/>
      <c r="K216" s="1"/>
      <c r="L216" s="2"/>
      <c r="M216" s="1"/>
      <c r="N216" s="1"/>
      <c r="O216" s="1"/>
      <c r="P216" s="1"/>
      <c r="Q216" s="1"/>
      <c r="R216" s="1"/>
      <c r="S216" s="1"/>
      <c r="T216" s="1"/>
      <c r="U216" s="1"/>
      <c r="V216" s="1"/>
    </row>
    <row r="217" spans="2:22" ht="18.75">
      <c r="B217" s="1"/>
      <c r="C217" s="1"/>
      <c r="D217" s="1"/>
      <c r="E217" s="17" t="s">
        <v>7</v>
      </c>
      <c r="F217" s="1"/>
      <c r="G217" s="1"/>
      <c r="H217" s="1"/>
      <c r="I217" s="1"/>
      <c r="J217" s="1"/>
      <c r="K217" s="1"/>
      <c r="L217" s="2"/>
      <c r="M217" s="1"/>
      <c r="N217" s="1"/>
      <c r="O217" s="1"/>
      <c r="P217" s="17" t="s">
        <v>7</v>
      </c>
      <c r="Q217" s="1"/>
      <c r="R217" s="1"/>
      <c r="S217" s="1"/>
      <c r="T217" s="1"/>
      <c r="U217" s="1"/>
      <c r="V217" s="1"/>
    </row>
    <row r="218" spans="2:22" ht="6" customHeight="1">
      <c r="B218" s="1"/>
      <c r="C218" s="1"/>
      <c r="D218" s="1"/>
      <c r="E218" s="1"/>
      <c r="F218" s="1"/>
      <c r="G218" s="1"/>
      <c r="H218" s="1"/>
      <c r="I218" s="1"/>
      <c r="J218" s="1"/>
      <c r="K218" s="1"/>
      <c r="L218" s="2"/>
      <c r="M218" s="1"/>
      <c r="N218" s="1"/>
      <c r="O218" s="1"/>
      <c r="P218" s="1"/>
      <c r="Q218" s="1"/>
      <c r="R218" s="1"/>
      <c r="S218" s="1"/>
      <c r="T218" s="1"/>
      <c r="U218" s="1"/>
      <c r="V218" s="1"/>
    </row>
    <row r="219" spans="2:22" ht="20.100000000000001" customHeight="1">
      <c r="B219" s="1"/>
      <c r="C219" s="1"/>
      <c r="D219" s="1"/>
      <c r="F219" s="136" t="s">
        <v>68</v>
      </c>
      <c r="G219" s="137"/>
      <c r="H219" s="147">
        <f>領収証内訳!$X$2</f>
        <v>0</v>
      </c>
      <c r="I219" s="148"/>
      <c r="J219" s="149"/>
      <c r="K219" s="150"/>
      <c r="L219" s="2"/>
      <c r="M219" s="1"/>
      <c r="N219" s="1"/>
      <c r="O219" s="1"/>
      <c r="P219" s="5"/>
      <c r="Q219" s="136" t="s">
        <v>68</v>
      </c>
      <c r="R219" s="137"/>
      <c r="S219" s="147">
        <f>領収証内訳!$X$2</f>
        <v>0</v>
      </c>
      <c r="T219" s="148"/>
      <c r="U219" s="153"/>
      <c r="V219" s="153"/>
    </row>
    <row r="220" spans="2:22" ht="20.100000000000001" customHeight="1">
      <c r="B220" s="1"/>
      <c r="C220" s="1"/>
      <c r="D220" s="1"/>
      <c r="F220" s="138" t="s">
        <v>67</v>
      </c>
      <c r="G220" s="139"/>
      <c r="H220" s="151">
        <f>領収証内訳!$AA$2</f>
        <v>0</v>
      </c>
      <c r="I220" s="152"/>
      <c r="J220" s="9" t="s">
        <v>8</v>
      </c>
      <c r="K220" s="9"/>
      <c r="L220" s="12"/>
      <c r="M220" s="1"/>
      <c r="N220" s="1"/>
      <c r="O220" s="1"/>
      <c r="P220" s="5"/>
      <c r="Q220" s="138" t="s">
        <v>67</v>
      </c>
      <c r="R220" s="139"/>
      <c r="S220" s="151">
        <f>領収証内訳!$AA$2</f>
        <v>0</v>
      </c>
      <c r="T220" s="152"/>
      <c r="U220" s="9" t="s">
        <v>8</v>
      </c>
      <c r="V220" s="9"/>
    </row>
    <row r="221" spans="2:22" ht="6.95" customHeight="1">
      <c r="B221" s="10"/>
      <c r="C221" s="10"/>
      <c r="D221" s="10"/>
      <c r="E221" s="10"/>
      <c r="F221" s="13"/>
      <c r="G221" s="14"/>
      <c r="H221" s="10"/>
      <c r="I221" s="10"/>
      <c r="J221" s="11"/>
      <c r="K221" s="11"/>
      <c r="L221" s="15"/>
      <c r="M221" s="10"/>
      <c r="N221" s="10"/>
      <c r="O221" s="10"/>
      <c r="P221" s="10"/>
      <c r="Q221" s="13"/>
      <c r="R221" s="14"/>
      <c r="S221" s="10"/>
      <c r="T221" s="10"/>
      <c r="U221" s="11"/>
      <c r="V221" s="11"/>
    </row>
    <row r="222" spans="2:22" ht="10.5" customHeight="1">
      <c r="B222" s="1"/>
      <c r="C222" s="1"/>
      <c r="D222" s="1"/>
      <c r="E222" s="1"/>
      <c r="F222" s="1"/>
      <c r="G222" s="1"/>
      <c r="H222" s="1"/>
      <c r="I222" s="1"/>
      <c r="J222" s="1"/>
      <c r="K222" s="1"/>
      <c r="L222" s="2"/>
      <c r="M222" s="1"/>
      <c r="N222" s="1"/>
      <c r="O222" s="1"/>
      <c r="P222" s="1"/>
      <c r="Q222" s="1"/>
      <c r="R222" s="1"/>
      <c r="S222" s="1"/>
      <c r="T222" s="1"/>
      <c r="U222" s="1"/>
      <c r="V222" s="1"/>
    </row>
    <row r="223" spans="2:22" ht="21">
      <c r="B223" s="1"/>
      <c r="C223" s="1"/>
      <c r="D223" s="4" t="s">
        <v>4</v>
      </c>
      <c r="E223" s="1"/>
      <c r="F223" s="1"/>
      <c r="G223" s="1"/>
      <c r="H223" s="1"/>
      <c r="I223" s="1"/>
      <c r="J223" s="1"/>
      <c r="K223" s="1"/>
      <c r="L223" s="2"/>
      <c r="M223" s="1"/>
      <c r="N223" s="1"/>
      <c r="O223" s="4" t="s">
        <v>4</v>
      </c>
      <c r="P223" s="1"/>
      <c r="Q223" s="1"/>
      <c r="R223" s="1"/>
      <c r="S223" s="1"/>
      <c r="T223" s="1"/>
      <c r="U223" s="1"/>
      <c r="V223" s="1"/>
    </row>
    <row r="224" spans="2:22" ht="8.25" customHeight="1">
      <c r="B224" s="1"/>
      <c r="C224" s="1"/>
      <c r="D224" s="1"/>
      <c r="E224" s="1"/>
      <c r="F224" s="1"/>
      <c r="G224" s="1"/>
      <c r="H224" s="1"/>
      <c r="I224" s="1"/>
      <c r="J224" s="1"/>
      <c r="K224" s="1"/>
      <c r="L224" s="2"/>
      <c r="M224" s="1"/>
      <c r="N224" s="1"/>
      <c r="O224" s="1"/>
      <c r="P224" s="1"/>
      <c r="Q224" s="1"/>
      <c r="R224" s="1"/>
      <c r="S224" s="1"/>
      <c r="T224" s="1"/>
      <c r="U224" s="1"/>
      <c r="V224" s="1"/>
    </row>
    <row r="225" spans="2:22" ht="18.75">
      <c r="B225" s="1"/>
      <c r="C225" s="1"/>
      <c r="D225" s="1"/>
      <c r="E225" s="1"/>
      <c r="F225" s="140">
        <f>領収証内訳!$AA$3</f>
        <v>46275</v>
      </c>
      <c r="G225" s="141"/>
      <c r="H225" s="141"/>
      <c r="I225" s="141"/>
      <c r="J225" s="141"/>
      <c r="K225" s="1"/>
      <c r="L225" s="2"/>
      <c r="M225" s="1"/>
      <c r="N225" s="1"/>
      <c r="O225" s="1"/>
      <c r="P225" s="1"/>
      <c r="Q225" s="140">
        <f>領収証内訳!$AA$3</f>
        <v>46275</v>
      </c>
      <c r="R225" s="142"/>
      <c r="S225" s="142"/>
      <c r="T225" s="142"/>
      <c r="U225" s="142"/>
      <c r="V225" s="1"/>
    </row>
    <row r="226" spans="2:22" ht="9.9499999999999993" customHeight="1">
      <c r="B226" s="1"/>
      <c r="C226" s="1"/>
      <c r="D226" s="1"/>
      <c r="E226" s="1"/>
      <c r="F226" s="1"/>
      <c r="G226" s="1"/>
      <c r="H226" s="1"/>
      <c r="I226" s="1"/>
      <c r="J226" s="1"/>
      <c r="K226" s="1"/>
      <c r="L226" s="2"/>
      <c r="M226" s="1"/>
      <c r="N226" s="1"/>
      <c r="O226" s="1"/>
      <c r="P226" s="1"/>
      <c r="Q226" s="1"/>
      <c r="R226" s="1"/>
      <c r="S226" s="1"/>
      <c r="T226" s="1"/>
      <c r="U226" s="1"/>
      <c r="V226" s="1"/>
    </row>
    <row r="227" spans="2:22" ht="18.75">
      <c r="B227" s="154" t="str">
        <f ca="1">INDIRECT("領収証内訳!"&amp;$Z$2&amp;$X206+2)&amp;" さん保護者　様"</f>
        <v xml:space="preserve"> さん保護者　様</v>
      </c>
      <c r="C227" s="155"/>
      <c r="D227" s="156"/>
      <c r="E227" s="156"/>
      <c r="F227" s="156"/>
      <c r="G227" s="1"/>
      <c r="H227" s="1"/>
      <c r="I227" s="1"/>
      <c r="J227" s="1"/>
      <c r="K227" s="1"/>
      <c r="L227" s="2"/>
      <c r="M227" s="154" t="str">
        <f ca="1">INDIRECT("領収証内訳!"&amp;$Z$2&amp;$X206+3)&amp;" さん保護者　様"</f>
        <v xml:space="preserve"> さん保護者　様</v>
      </c>
      <c r="N227" s="155"/>
      <c r="O227" s="157"/>
      <c r="P227" s="157"/>
      <c r="Q227" s="157"/>
      <c r="R227" s="1"/>
      <c r="S227" s="1"/>
      <c r="T227" s="1"/>
      <c r="U227" s="1"/>
      <c r="V227" s="1"/>
    </row>
    <row r="228" spans="2:22" ht="9.9499999999999993" customHeight="1">
      <c r="B228" s="1"/>
      <c r="C228" s="1"/>
      <c r="D228" s="1"/>
      <c r="E228" s="1"/>
      <c r="F228" s="1"/>
      <c r="G228" s="1"/>
      <c r="H228" s="1"/>
      <c r="I228" s="1"/>
      <c r="J228" s="1"/>
      <c r="K228" s="1"/>
      <c r="L228" s="2"/>
      <c r="M228" s="1"/>
      <c r="N228" s="1"/>
      <c r="O228" s="1"/>
      <c r="P228" s="1"/>
      <c r="Q228" s="1"/>
      <c r="R228" s="1"/>
      <c r="S228" s="1"/>
      <c r="T228" s="1"/>
      <c r="U228" s="1"/>
      <c r="V228" s="1"/>
    </row>
    <row r="229" spans="2:22" ht="7.5" customHeight="1">
      <c r="B229" s="1"/>
      <c r="C229" s="1"/>
      <c r="D229" s="1"/>
      <c r="E229" s="1"/>
      <c r="F229" s="1"/>
      <c r="G229" s="1"/>
      <c r="H229" s="1"/>
      <c r="I229" s="1"/>
      <c r="J229" s="1"/>
      <c r="K229" s="1"/>
      <c r="L229" s="2"/>
      <c r="M229" s="1"/>
      <c r="N229" s="1"/>
      <c r="O229" s="1"/>
      <c r="P229" s="1"/>
      <c r="Q229" s="1"/>
      <c r="R229" s="1"/>
      <c r="S229" s="1"/>
      <c r="T229" s="1"/>
      <c r="U229" s="1"/>
      <c r="V229" s="1"/>
    </row>
    <row r="230" spans="2:22" ht="21">
      <c r="B230" s="1"/>
      <c r="C230" s="5"/>
      <c r="D230" s="6" t="s">
        <v>5</v>
      </c>
      <c r="E230" s="143">
        <f ca="1">INDIRECT("領収証内訳!"&amp;$Y$2&amp;$X206+2)</f>
        <v>0</v>
      </c>
      <c r="F230" s="144"/>
      <c r="G230" s="7" t="s">
        <v>6</v>
      </c>
      <c r="H230" s="8"/>
      <c r="I230" s="1"/>
      <c r="J230" s="1"/>
      <c r="K230" s="1"/>
      <c r="L230" s="2"/>
      <c r="M230" s="1"/>
      <c r="N230" s="5"/>
      <c r="O230" s="6" t="s">
        <v>5</v>
      </c>
      <c r="P230" s="143">
        <f ca="1">INDIRECT("領収証内訳!"&amp;$Y$2&amp;$X206+3)</f>
        <v>0</v>
      </c>
      <c r="Q230" s="144"/>
      <c r="R230" s="7" t="s">
        <v>6</v>
      </c>
      <c r="S230" s="8"/>
      <c r="T230" s="1"/>
      <c r="U230" s="1"/>
      <c r="V230" s="1"/>
    </row>
    <row r="231" spans="2:22">
      <c r="B231" s="1"/>
      <c r="C231" s="1"/>
      <c r="D231" s="1"/>
      <c r="E231" s="1"/>
      <c r="F231" s="1"/>
      <c r="G231" s="1"/>
      <c r="H231" s="1"/>
      <c r="I231" s="1"/>
      <c r="J231" s="1"/>
      <c r="K231" s="1"/>
      <c r="L231" s="2"/>
      <c r="M231" s="1"/>
      <c r="N231" s="1"/>
      <c r="O231" s="1"/>
      <c r="P231" s="1"/>
      <c r="Q231" s="1"/>
      <c r="R231" s="1"/>
      <c r="S231" s="1"/>
      <c r="T231" s="1"/>
      <c r="U231" s="1"/>
      <c r="V231" s="1"/>
    </row>
    <row r="232" spans="2:22" ht="18.75">
      <c r="B232" s="1"/>
      <c r="C232" s="1"/>
      <c r="D232" s="145" t="str">
        <f>"　　※但　　参加費等収入（"&amp;領収証内訳!$X$4&amp;"分）として"</f>
        <v>　　※但　　参加費等収入（４月分）として</v>
      </c>
      <c r="E232" s="146"/>
      <c r="F232" s="146"/>
      <c r="G232" s="146"/>
      <c r="H232" s="146"/>
      <c r="I232" s="146"/>
      <c r="J232" s="146"/>
      <c r="K232" s="1"/>
      <c r="L232" s="2"/>
      <c r="M232" s="1"/>
      <c r="N232" s="1"/>
      <c r="O232" s="145" t="str">
        <f>"　　※但　　参加費等収入（"&amp;領収証内訳!$X$4&amp;"分）として"</f>
        <v>　　※但　　参加費等収入（４月分）として</v>
      </c>
      <c r="P232" s="139"/>
      <c r="Q232" s="139"/>
      <c r="R232" s="139"/>
      <c r="S232" s="139"/>
      <c r="T232" s="139"/>
      <c r="U232" s="139"/>
      <c r="V232" s="1"/>
    </row>
    <row r="233" spans="2:22" ht="9.9499999999999993" customHeight="1">
      <c r="B233" s="1"/>
      <c r="C233" s="1"/>
      <c r="D233" s="1"/>
      <c r="E233" s="1"/>
      <c r="F233" s="1"/>
      <c r="G233" s="1"/>
      <c r="H233" s="1"/>
      <c r="I233" s="1"/>
      <c r="J233" s="1"/>
      <c r="K233" s="1"/>
      <c r="L233" s="2"/>
      <c r="M233" s="1"/>
      <c r="N233" s="1"/>
      <c r="O233" s="1"/>
      <c r="P233" s="1"/>
      <c r="Q233" s="1"/>
      <c r="R233" s="1"/>
      <c r="S233" s="1"/>
      <c r="T233" s="1"/>
      <c r="U233" s="1"/>
      <c r="V233" s="1"/>
    </row>
    <row r="234" spans="2:22" ht="18.75">
      <c r="B234" s="1"/>
      <c r="C234" s="1"/>
      <c r="D234" s="1"/>
      <c r="E234" s="17" t="s">
        <v>7</v>
      </c>
      <c r="F234" s="1"/>
      <c r="G234" s="1"/>
      <c r="H234" s="1"/>
      <c r="I234" s="1"/>
      <c r="J234" s="1"/>
      <c r="K234" s="1"/>
      <c r="L234" s="2"/>
      <c r="M234" s="1"/>
      <c r="N234" s="1"/>
      <c r="O234" s="1"/>
      <c r="P234" s="17" t="s">
        <v>7</v>
      </c>
      <c r="Q234" s="1"/>
      <c r="R234" s="1"/>
      <c r="S234" s="1"/>
      <c r="T234" s="1"/>
      <c r="U234" s="1"/>
      <c r="V234" s="1"/>
    </row>
    <row r="235" spans="2:22" ht="6" customHeight="1">
      <c r="B235" s="1"/>
      <c r="C235" s="1"/>
      <c r="D235" s="1"/>
      <c r="E235" s="1"/>
      <c r="F235" s="1"/>
      <c r="G235" s="1"/>
      <c r="H235" s="1"/>
      <c r="I235" s="1"/>
      <c r="J235" s="1"/>
      <c r="K235" s="1"/>
      <c r="L235" s="2"/>
      <c r="M235" s="1"/>
      <c r="N235" s="1"/>
      <c r="O235" s="1"/>
      <c r="P235" s="1"/>
      <c r="Q235" s="1"/>
      <c r="R235" s="1"/>
      <c r="S235" s="1"/>
      <c r="T235" s="1"/>
      <c r="U235" s="1"/>
      <c r="V235" s="1"/>
    </row>
    <row r="236" spans="2:22" ht="20.100000000000001" customHeight="1">
      <c r="B236" s="1"/>
      <c r="C236" s="1"/>
      <c r="D236" s="1"/>
      <c r="F236" s="136" t="s">
        <v>68</v>
      </c>
      <c r="G236" s="137"/>
      <c r="H236" s="147">
        <f>領収証内訳!$X$2</f>
        <v>0</v>
      </c>
      <c r="I236" s="148"/>
      <c r="J236" s="149"/>
      <c r="K236" s="150"/>
      <c r="L236" s="2"/>
      <c r="M236" s="1"/>
      <c r="N236" s="1"/>
      <c r="O236" s="1"/>
      <c r="P236" s="5"/>
      <c r="Q236" s="136" t="s">
        <v>68</v>
      </c>
      <c r="R236" s="137"/>
      <c r="S236" s="147">
        <f>領収証内訳!$X$2</f>
        <v>0</v>
      </c>
      <c r="T236" s="148"/>
      <c r="U236" s="153"/>
      <c r="V236" s="153"/>
    </row>
    <row r="237" spans="2:22" ht="20.100000000000001" customHeight="1">
      <c r="B237" s="1"/>
      <c r="C237" s="1"/>
      <c r="D237" s="1"/>
      <c r="F237" s="138" t="s">
        <v>67</v>
      </c>
      <c r="G237" s="139"/>
      <c r="H237" s="151">
        <f>領収証内訳!$AA$2</f>
        <v>0</v>
      </c>
      <c r="I237" s="152"/>
      <c r="J237" s="9" t="s">
        <v>8</v>
      </c>
      <c r="K237" s="9"/>
      <c r="L237" s="12"/>
      <c r="M237" s="1"/>
      <c r="N237" s="1"/>
      <c r="O237" s="1"/>
      <c r="P237" s="5"/>
      <c r="Q237" s="138" t="s">
        <v>67</v>
      </c>
      <c r="R237" s="139"/>
      <c r="S237" s="151">
        <f>領収証内訳!$AA$2</f>
        <v>0</v>
      </c>
      <c r="T237" s="152"/>
      <c r="U237" s="9" t="s">
        <v>8</v>
      </c>
      <c r="V237" s="9"/>
    </row>
    <row r="238" spans="2:22" ht="6.95" customHeight="1">
      <c r="B238" s="10"/>
      <c r="C238" s="10"/>
      <c r="D238" s="10"/>
      <c r="E238" s="10"/>
      <c r="F238" s="13"/>
      <c r="G238" s="14"/>
      <c r="H238" s="10"/>
      <c r="I238" s="10"/>
      <c r="J238" s="11"/>
      <c r="K238" s="11"/>
      <c r="L238" s="15"/>
      <c r="M238" s="10"/>
      <c r="N238" s="10"/>
      <c r="O238" s="10"/>
      <c r="P238" s="10"/>
      <c r="Q238" s="13"/>
      <c r="R238" s="14"/>
      <c r="S238" s="10"/>
      <c r="T238" s="10"/>
      <c r="U238" s="11"/>
      <c r="V238" s="11"/>
    </row>
    <row r="239" spans="2:22" ht="10.5" customHeight="1">
      <c r="B239" s="1"/>
      <c r="C239" s="1"/>
      <c r="D239" s="1"/>
      <c r="E239" s="1"/>
      <c r="F239" s="1"/>
      <c r="G239" s="1"/>
      <c r="H239" s="1"/>
      <c r="I239" s="1"/>
      <c r="J239" s="1"/>
      <c r="K239" s="1"/>
      <c r="L239" s="2"/>
      <c r="M239" s="1"/>
      <c r="N239" s="1"/>
      <c r="O239" s="1"/>
      <c r="P239" s="1"/>
      <c r="Q239" s="1"/>
      <c r="R239" s="1"/>
      <c r="S239" s="1"/>
      <c r="T239" s="1"/>
      <c r="U239" s="1"/>
      <c r="V239" s="1"/>
    </row>
    <row r="240" spans="2:22" ht="21">
      <c r="B240" s="1"/>
      <c r="C240" s="1"/>
      <c r="D240" s="4" t="s">
        <v>4</v>
      </c>
      <c r="E240" s="1"/>
      <c r="F240" s="1"/>
      <c r="G240" s="1"/>
      <c r="H240" s="1"/>
      <c r="I240" s="1"/>
      <c r="J240" s="1"/>
      <c r="K240" s="1"/>
      <c r="L240" s="2"/>
      <c r="M240" s="1"/>
      <c r="N240" s="1"/>
      <c r="O240" s="4" t="s">
        <v>4</v>
      </c>
      <c r="P240" s="1"/>
      <c r="Q240" s="1"/>
      <c r="R240" s="1"/>
      <c r="S240" s="1"/>
      <c r="T240" s="1"/>
      <c r="U240" s="1"/>
      <c r="V240" s="1"/>
    </row>
    <row r="241" spans="2:22" ht="8.25" customHeight="1">
      <c r="B241" s="1"/>
      <c r="C241" s="1"/>
      <c r="D241" s="1"/>
      <c r="E241" s="1"/>
      <c r="F241" s="1"/>
      <c r="G241" s="1"/>
      <c r="H241" s="1"/>
      <c r="I241" s="1"/>
      <c r="J241" s="1"/>
      <c r="K241" s="1"/>
      <c r="L241" s="2"/>
      <c r="M241" s="1"/>
      <c r="N241" s="1"/>
      <c r="O241" s="1"/>
      <c r="P241" s="1"/>
      <c r="Q241" s="1"/>
      <c r="R241" s="1"/>
      <c r="S241" s="1"/>
      <c r="T241" s="1"/>
      <c r="U241" s="1"/>
      <c r="V241" s="1"/>
    </row>
    <row r="242" spans="2:22" ht="18.75">
      <c r="B242" s="1"/>
      <c r="C242" s="1"/>
      <c r="D242" s="1"/>
      <c r="E242" s="1"/>
      <c r="F242" s="140">
        <f>領収証内訳!$AA$3</f>
        <v>46275</v>
      </c>
      <c r="G242" s="141"/>
      <c r="H242" s="141"/>
      <c r="I242" s="141"/>
      <c r="J242" s="141"/>
      <c r="K242" s="1"/>
      <c r="L242" s="2"/>
      <c r="M242" s="1"/>
      <c r="N242" s="1"/>
      <c r="O242" s="1"/>
      <c r="P242" s="1"/>
      <c r="Q242" s="140">
        <f>領収証内訳!$AA$3</f>
        <v>46275</v>
      </c>
      <c r="R242" s="142"/>
      <c r="S242" s="142"/>
      <c r="T242" s="142"/>
      <c r="U242" s="142"/>
      <c r="V242" s="1"/>
    </row>
    <row r="243" spans="2:22" ht="9.9499999999999993" customHeight="1">
      <c r="B243" s="1"/>
      <c r="C243" s="1"/>
      <c r="D243" s="1"/>
      <c r="E243" s="1"/>
      <c r="F243" s="1"/>
      <c r="G243" s="1"/>
      <c r="H243" s="1"/>
      <c r="I243" s="1"/>
      <c r="J243" s="1"/>
      <c r="K243" s="1"/>
      <c r="L243" s="2"/>
      <c r="M243" s="1"/>
      <c r="N243" s="1"/>
      <c r="O243" s="1"/>
      <c r="P243" s="1"/>
      <c r="Q243" s="1"/>
      <c r="R243" s="1"/>
      <c r="S243" s="1"/>
      <c r="T243" s="1"/>
      <c r="U243" s="1"/>
      <c r="V243" s="1"/>
    </row>
    <row r="244" spans="2:22" ht="18.75">
      <c r="B244" s="154" t="str">
        <f ca="1">INDIRECT("領収証内訳!"&amp;$Z$2&amp;$X206+4)&amp;" さん保護者　様"</f>
        <v xml:space="preserve"> さん保護者　様</v>
      </c>
      <c r="C244" s="155"/>
      <c r="D244" s="156"/>
      <c r="E244" s="156"/>
      <c r="F244" s="156"/>
      <c r="G244" s="1"/>
      <c r="H244" s="1"/>
      <c r="I244" s="1"/>
      <c r="J244" s="1"/>
      <c r="K244" s="1"/>
      <c r="L244" s="2"/>
      <c r="M244" s="154" t="str">
        <f ca="1">INDIRECT("領収証内訳!"&amp;$Z$2&amp;$X206+5)&amp;" さん保護者　様"</f>
        <v xml:space="preserve"> さん保護者　様</v>
      </c>
      <c r="N244" s="155"/>
      <c r="O244" s="157"/>
      <c r="P244" s="157"/>
      <c r="Q244" s="157"/>
      <c r="R244" s="1"/>
      <c r="S244" s="1"/>
      <c r="T244" s="1"/>
      <c r="U244" s="1"/>
      <c r="V244" s="1"/>
    </row>
    <row r="245" spans="2:22" ht="9.9499999999999993" customHeight="1">
      <c r="B245" s="1"/>
      <c r="C245" s="1"/>
      <c r="D245" s="1"/>
      <c r="E245" s="1"/>
      <c r="F245" s="1"/>
      <c r="G245" s="1"/>
      <c r="H245" s="1"/>
      <c r="I245" s="1"/>
      <c r="J245" s="1"/>
      <c r="K245" s="1"/>
      <c r="L245" s="2"/>
      <c r="M245" s="1"/>
      <c r="N245" s="1"/>
      <c r="O245" s="1"/>
      <c r="P245" s="1"/>
      <c r="Q245" s="1"/>
      <c r="R245" s="1"/>
      <c r="S245" s="1"/>
      <c r="T245" s="1"/>
      <c r="U245" s="1"/>
      <c r="V245" s="1"/>
    </row>
    <row r="246" spans="2:22" ht="7.5" customHeight="1">
      <c r="B246" s="1"/>
      <c r="C246" s="1"/>
      <c r="D246" s="1"/>
      <c r="E246" s="1"/>
      <c r="F246" s="1"/>
      <c r="G246" s="1"/>
      <c r="H246" s="1"/>
      <c r="I246" s="1"/>
      <c r="J246" s="1"/>
      <c r="K246" s="1"/>
      <c r="L246" s="2"/>
      <c r="M246" s="1"/>
      <c r="N246" s="1"/>
      <c r="O246" s="1"/>
      <c r="P246" s="1"/>
      <c r="Q246" s="1"/>
      <c r="R246" s="1"/>
      <c r="S246" s="1"/>
      <c r="T246" s="1"/>
      <c r="U246" s="1"/>
      <c r="V246" s="1"/>
    </row>
    <row r="247" spans="2:22" ht="21">
      <c r="B247" s="1"/>
      <c r="C247" s="5"/>
      <c r="D247" s="6" t="s">
        <v>5</v>
      </c>
      <c r="E247" s="143">
        <f ca="1">INDIRECT("領収証内訳!"&amp;$Y$2&amp;$X206+4)</f>
        <v>0</v>
      </c>
      <c r="F247" s="144"/>
      <c r="G247" s="7" t="s">
        <v>6</v>
      </c>
      <c r="H247" s="8"/>
      <c r="I247" s="1"/>
      <c r="J247" s="1"/>
      <c r="K247" s="1"/>
      <c r="L247" s="2"/>
      <c r="M247" s="1"/>
      <c r="N247" s="5"/>
      <c r="O247" s="6" t="s">
        <v>5</v>
      </c>
      <c r="P247" s="143">
        <f ca="1">INDIRECT("領収証内訳!"&amp;$Y$2&amp;$X206+5)</f>
        <v>0</v>
      </c>
      <c r="Q247" s="144"/>
      <c r="R247" s="7" t="s">
        <v>6</v>
      </c>
      <c r="S247" s="8"/>
      <c r="T247" s="1"/>
      <c r="U247" s="1"/>
      <c r="V247" s="1"/>
    </row>
    <row r="248" spans="2:22" ht="9.9499999999999993" customHeight="1">
      <c r="B248" s="1"/>
      <c r="C248" s="1"/>
      <c r="D248" s="1"/>
      <c r="E248" s="1"/>
      <c r="F248" s="1"/>
      <c r="G248" s="1"/>
      <c r="H248" s="1"/>
      <c r="I248" s="1"/>
      <c r="J248" s="1"/>
      <c r="K248" s="1"/>
      <c r="L248" s="2"/>
      <c r="M248" s="1"/>
      <c r="N248" s="1"/>
      <c r="O248" s="1"/>
      <c r="P248" s="1"/>
      <c r="Q248" s="1"/>
      <c r="R248" s="1"/>
      <c r="S248" s="1"/>
      <c r="T248" s="1"/>
      <c r="U248" s="1"/>
      <c r="V248" s="1"/>
    </row>
    <row r="249" spans="2:22" ht="18.75">
      <c r="B249" s="1"/>
      <c r="C249" s="1"/>
      <c r="D249" s="145" t="str">
        <f>"　　※但　　参加費等収入（"&amp;領収証内訳!$X$4&amp;"分）として"</f>
        <v>　　※但　　参加費等収入（４月分）として</v>
      </c>
      <c r="E249" s="146"/>
      <c r="F249" s="146"/>
      <c r="G249" s="146"/>
      <c r="H249" s="146"/>
      <c r="I249" s="146"/>
      <c r="J249" s="146"/>
      <c r="K249" s="1"/>
      <c r="L249" s="2"/>
      <c r="M249" s="1"/>
      <c r="N249" s="1"/>
      <c r="O249" s="145" t="str">
        <f>"　　※但　　参加費等収入（"&amp;領収証内訳!$X$4&amp;"分）として"</f>
        <v>　　※但　　参加費等収入（４月分）として</v>
      </c>
      <c r="P249" s="139"/>
      <c r="Q249" s="139"/>
      <c r="R249" s="139"/>
      <c r="S249" s="139"/>
      <c r="T249" s="139"/>
      <c r="U249" s="139"/>
      <c r="V249" s="1"/>
    </row>
    <row r="250" spans="2:22" ht="9.9499999999999993" customHeight="1">
      <c r="B250" s="1"/>
      <c r="C250" s="1"/>
      <c r="D250" s="1"/>
      <c r="E250" s="1"/>
      <c r="F250" s="1"/>
      <c r="G250" s="1"/>
      <c r="H250" s="1"/>
      <c r="I250" s="1"/>
      <c r="J250" s="1"/>
      <c r="K250" s="1"/>
      <c r="L250" s="2"/>
      <c r="M250" s="1"/>
      <c r="N250" s="1"/>
      <c r="O250" s="1"/>
      <c r="P250" s="1"/>
      <c r="Q250" s="1"/>
      <c r="R250" s="1"/>
      <c r="S250" s="1"/>
      <c r="T250" s="1"/>
      <c r="U250" s="1"/>
      <c r="V250" s="1"/>
    </row>
    <row r="251" spans="2:22" ht="18.75">
      <c r="B251" s="1"/>
      <c r="C251" s="1"/>
      <c r="D251" s="1"/>
      <c r="E251" s="17" t="s">
        <v>7</v>
      </c>
      <c r="F251" s="1"/>
      <c r="G251" s="1"/>
      <c r="H251" s="1"/>
      <c r="I251" s="1"/>
      <c r="J251" s="1"/>
      <c r="K251" s="1"/>
      <c r="L251" s="2"/>
      <c r="M251" s="1"/>
      <c r="N251" s="1"/>
      <c r="O251" s="1"/>
      <c r="P251" s="17" t="s">
        <v>7</v>
      </c>
      <c r="Q251" s="1"/>
      <c r="R251" s="1"/>
      <c r="S251" s="1"/>
      <c r="T251" s="1"/>
      <c r="U251" s="1"/>
      <c r="V251" s="1"/>
    </row>
    <row r="252" spans="2:22" ht="6" customHeight="1">
      <c r="B252" s="1"/>
      <c r="C252" s="1"/>
      <c r="D252" s="1"/>
      <c r="E252" s="1"/>
      <c r="F252" s="1"/>
      <c r="G252" s="1"/>
      <c r="H252" s="1"/>
      <c r="I252" s="1"/>
      <c r="J252" s="1"/>
      <c r="K252" s="1"/>
      <c r="L252" s="2"/>
      <c r="M252" s="1"/>
      <c r="N252" s="1"/>
      <c r="O252" s="1"/>
      <c r="P252" s="1"/>
      <c r="Q252" s="1"/>
      <c r="R252" s="1"/>
      <c r="S252" s="1"/>
      <c r="T252" s="1"/>
      <c r="U252" s="1"/>
      <c r="V252" s="1"/>
    </row>
    <row r="253" spans="2:22" ht="20.100000000000001" customHeight="1">
      <c r="B253" s="1"/>
      <c r="C253" s="1"/>
      <c r="D253" s="1"/>
      <c r="F253" s="136" t="s">
        <v>68</v>
      </c>
      <c r="G253" s="137"/>
      <c r="H253" s="147">
        <f>領収証内訳!$X$2</f>
        <v>0</v>
      </c>
      <c r="I253" s="148"/>
      <c r="J253" s="149"/>
      <c r="K253" s="150"/>
      <c r="L253" s="2"/>
      <c r="M253" s="1"/>
      <c r="N253" s="1"/>
      <c r="O253" s="1"/>
      <c r="P253" s="5"/>
      <c r="Q253" s="136" t="s">
        <v>68</v>
      </c>
      <c r="R253" s="137"/>
      <c r="S253" s="147">
        <f>領収証内訳!$X$2</f>
        <v>0</v>
      </c>
      <c r="T253" s="148"/>
      <c r="U253" s="153"/>
      <c r="V253" s="153"/>
    </row>
    <row r="254" spans="2:22" ht="20.100000000000001" customHeight="1">
      <c r="B254" s="1"/>
      <c r="C254" s="1"/>
      <c r="D254" s="1"/>
      <c r="F254" s="138" t="s">
        <v>67</v>
      </c>
      <c r="G254" s="139"/>
      <c r="H254" s="151">
        <f>領収証内訳!$AA$2</f>
        <v>0</v>
      </c>
      <c r="I254" s="152"/>
      <c r="J254" s="9" t="s">
        <v>8</v>
      </c>
      <c r="K254" s="9"/>
      <c r="L254" s="12"/>
      <c r="M254" s="1"/>
      <c r="N254" s="1"/>
      <c r="O254" s="1"/>
      <c r="P254" s="5"/>
      <c r="Q254" s="138" t="s">
        <v>67</v>
      </c>
      <c r="R254" s="139"/>
      <c r="S254" s="151">
        <f>領収証内訳!$AA$2</f>
        <v>0</v>
      </c>
      <c r="T254" s="152"/>
      <c r="U254" s="9" t="s">
        <v>8</v>
      </c>
      <c r="V254" s="9"/>
    </row>
    <row r="255" spans="2:22" ht="6.95" customHeight="1">
      <c r="B255" s="10"/>
      <c r="C255" s="10"/>
      <c r="D255" s="10"/>
      <c r="E255" s="10"/>
      <c r="F255" s="13"/>
      <c r="G255" s="14"/>
      <c r="H255" s="10"/>
      <c r="I255" s="10"/>
      <c r="J255" s="11"/>
      <c r="K255" s="11"/>
      <c r="L255" s="15"/>
      <c r="M255" s="10"/>
      <c r="N255" s="10"/>
      <c r="O255" s="10"/>
      <c r="P255" s="10"/>
      <c r="Q255" s="13"/>
      <c r="R255" s="14"/>
      <c r="S255" s="10"/>
      <c r="T255" s="10"/>
      <c r="U255" s="11"/>
      <c r="V255" s="11"/>
    </row>
    <row r="256" spans="2:22" ht="10.5" customHeight="1">
      <c r="B256" s="1"/>
      <c r="C256" s="1"/>
      <c r="D256" s="1"/>
      <c r="E256" s="1"/>
      <c r="F256" s="1"/>
      <c r="G256" s="1"/>
      <c r="H256" s="1"/>
      <c r="I256" s="1"/>
      <c r="J256" s="1"/>
      <c r="K256" s="1"/>
      <c r="L256" s="2"/>
      <c r="M256" s="1"/>
      <c r="N256" s="1"/>
      <c r="O256" s="1"/>
      <c r="P256" s="1"/>
      <c r="Q256" s="1"/>
      <c r="R256" s="1"/>
      <c r="S256" s="1"/>
      <c r="T256" s="1"/>
      <c r="U256" s="1"/>
      <c r="V256" s="1"/>
    </row>
    <row r="257" spans="2:22" ht="21">
      <c r="B257" s="1"/>
      <c r="C257" s="1"/>
      <c r="D257" s="4" t="s">
        <v>4</v>
      </c>
      <c r="E257" s="1"/>
      <c r="F257" s="1"/>
      <c r="G257" s="1"/>
      <c r="H257" s="1"/>
      <c r="I257" s="1"/>
      <c r="J257" s="1"/>
      <c r="K257" s="1"/>
      <c r="L257" s="2"/>
      <c r="M257" s="1"/>
      <c r="N257" s="1"/>
      <c r="O257" s="4" t="s">
        <v>4</v>
      </c>
      <c r="P257" s="1"/>
      <c r="Q257" s="1"/>
      <c r="R257" s="1"/>
      <c r="S257" s="1"/>
      <c r="T257" s="1"/>
      <c r="U257" s="1"/>
      <c r="V257" s="1"/>
    </row>
    <row r="258" spans="2:22" ht="8.25" customHeight="1">
      <c r="B258" s="1"/>
      <c r="C258" s="1"/>
      <c r="D258" s="1"/>
      <c r="E258" s="1"/>
      <c r="F258" s="1"/>
      <c r="G258" s="1"/>
      <c r="H258" s="1"/>
      <c r="I258" s="1"/>
      <c r="J258" s="1"/>
      <c r="K258" s="1"/>
      <c r="L258" s="2"/>
      <c r="M258" s="1"/>
      <c r="N258" s="1"/>
      <c r="O258" s="1"/>
      <c r="P258" s="1"/>
      <c r="Q258" s="1"/>
      <c r="R258" s="1"/>
      <c r="S258" s="1"/>
      <c r="T258" s="1"/>
      <c r="U258" s="1"/>
      <c r="V258" s="1"/>
    </row>
    <row r="259" spans="2:22" ht="18.75">
      <c r="B259" s="1"/>
      <c r="C259" s="1"/>
      <c r="D259" s="1"/>
      <c r="E259" s="1"/>
      <c r="F259" s="140">
        <f>領収証内訳!$AA$3</f>
        <v>46275</v>
      </c>
      <c r="G259" s="141"/>
      <c r="H259" s="141"/>
      <c r="I259" s="141"/>
      <c r="J259" s="141"/>
      <c r="K259" s="1"/>
      <c r="L259" s="2"/>
      <c r="M259" s="1"/>
      <c r="N259" s="1"/>
      <c r="O259" s="1"/>
      <c r="P259" s="1"/>
      <c r="Q259" s="140">
        <f>領収証内訳!$AA$3</f>
        <v>46275</v>
      </c>
      <c r="R259" s="142"/>
      <c r="S259" s="142"/>
      <c r="T259" s="142"/>
      <c r="U259" s="142"/>
      <c r="V259" s="1"/>
    </row>
    <row r="260" spans="2:22" ht="9.9499999999999993" customHeight="1">
      <c r="B260" s="1"/>
      <c r="C260" s="1"/>
      <c r="D260" s="1"/>
      <c r="E260" s="1"/>
      <c r="F260" s="1"/>
      <c r="G260" s="1"/>
      <c r="H260" s="1"/>
      <c r="I260" s="1"/>
      <c r="J260" s="1"/>
      <c r="K260" s="1"/>
      <c r="L260" s="2"/>
      <c r="M260" s="1"/>
      <c r="N260" s="1"/>
      <c r="O260" s="1"/>
      <c r="P260" s="1"/>
      <c r="Q260" s="1"/>
      <c r="R260" s="1"/>
      <c r="S260" s="1"/>
      <c r="T260" s="1"/>
      <c r="U260" s="1"/>
      <c r="V260" s="1"/>
    </row>
    <row r="261" spans="2:22" ht="18.75">
      <c r="B261" s="154" t="str">
        <f ca="1">INDIRECT("領収証内訳!"&amp;$Z$2&amp;$X206+6)&amp;" さん保護者　様"</f>
        <v xml:space="preserve"> さん保護者　様</v>
      </c>
      <c r="C261" s="155"/>
      <c r="D261" s="156"/>
      <c r="E261" s="156"/>
      <c r="F261" s="156"/>
      <c r="G261" s="1"/>
      <c r="H261" s="1"/>
      <c r="I261" s="1"/>
      <c r="J261" s="1"/>
      <c r="K261" s="1"/>
      <c r="L261" s="2"/>
      <c r="M261" s="154" t="str">
        <f ca="1">INDIRECT("領収証内訳!"&amp;$Z$2&amp;$X206+7)&amp;" さん保護者　様"</f>
        <v xml:space="preserve"> さん保護者　様</v>
      </c>
      <c r="N261" s="155"/>
      <c r="O261" s="157"/>
      <c r="P261" s="157"/>
      <c r="Q261" s="157"/>
      <c r="R261" s="1"/>
      <c r="S261" s="1"/>
      <c r="T261" s="1"/>
      <c r="U261" s="1"/>
      <c r="V261" s="1"/>
    </row>
    <row r="262" spans="2:22">
      <c r="B262" s="1"/>
      <c r="C262" s="1"/>
      <c r="D262" s="1"/>
      <c r="E262" s="1"/>
      <c r="F262" s="1"/>
      <c r="G262" s="1"/>
      <c r="H262" s="1"/>
      <c r="I262" s="1"/>
      <c r="J262" s="1"/>
      <c r="K262" s="1"/>
      <c r="L262" s="2"/>
      <c r="M262" s="1"/>
      <c r="N262" s="1"/>
      <c r="O262" s="1"/>
      <c r="P262" s="1"/>
      <c r="Q262" s="1"/>
      <c r="R262" s="1"/>
      <c r="S262" s="1"/>
      <c r="T262" s="1"/>
      <c r="U262" s="1"/>
      <c r="V262" s="1"/>
    </row>
    <row r="263" spans="2:22" ht="7.5" customHeight="1">
      <c r="B263" s="1"/>
      <c r="C263" s="1"/>
      <c r="D263" s="1"/>
      <c r="E263" s="1"/>
      <c r="F263" s="1"/>
      <c r="G263" s="1"/>
      <c r="H263" s="1"/>
      <c r="I263" s="1"/>
      <c r="J263" s="1"/>
      <c r="K263" s="1"/>
      <c r="L263" s="2"/>
      <c r="M263" s="1"/>
      <c r="N263" s="1"/>
      <c r="O263" s="1"/>
      <c r="P263" s="1"/>
      <c r="Q263" s="1"/>
      <c r="R263" s="1"/>
      <c r="S263" s="1"/>
      <c r="T263" s="1"/>
      <c r="U263" s="1"/>
      <c r="V263" s="1"/>
    </row>
    <row r="264" spans="2:22" ht="21">
      <c r="B264" s="1"/>
      <c r="C264" s="5"/>
      <c r="D264" s="6" t="s">
        <v>5</v>
      </c>
      <c r="E264" s="143">
        <f ca="1">INDIRECT("領収証内訳!"&amp;$Y$2&amp;$X206+6)</f>
        <v>0</v>
      </c>
      <c r="F264" s="144"/>
      <c r="G264" s="7" t="s">
        <v>6</v>
      </c>
      <c r="H264" s="8"/>
      <c r="I264" s="1"/>
      <c r="J264" s="1"/>
      <c r="K264" s="1"/>
      <c r="L264" s="2"/>
      <c r="M264" s="1"/>
      <c r="N264" s="5"/>
      <c r="O264" s="6" t="s">
        <v>5</v>
      </c>
      <c r="P264" s="143">
        <f ca="1">INDIRECT("領収証内訳!"&amp;$Y$2&amp;$X206+7)</f>
        <v>0</v>
      </c>
      <c r="Q264" s="144"/>
      <c r="R264" s="7" t="s">
        <v>6</v>
      </c>
      <c r="S264" s="8"/>
      <c r="T264" s="1"/>
      <c r="U264" s="1"/>
      <c r="V264" s="1"/>
    </row>
    <row r="265" spans="2:22">
      <c r="B265" s="1"/>
      <c r="C265" s="1"/>
      <c r="D265" s="1"/>
      <c r="E265" s="1"/>
      <c r="F265" s="1"/>
      <c r="G265" s="1"/>
      <c r="H265" s="1"/>
      <c r="I265" s="1"/>
      <c r="J265" s="1"/>
      <c r="K265" s="1"/>
      <c r="L265" s="2"/>
      <c r="M265" s="1"/>
      <c r="N265" s="1"/>
      <c r="O265" s="1"/>
      <c r="P265" s="1"/>
      <c r="Q265" s="1"/>
      <c r="R265" s="1"/>
      <c r="S265" s="1"/>
      <c r="T265" s="1"/>
      <c r="U265" s="1"/>
      <c r="V265" s="1"/>
    </row>
    <row r="266" spans="2:22" ht="18.75">
      <c r="B266" s="1"/>
      <c r="C266" s="1"/>
      <c r="D266" s="145" t="str">
        <f>"　　※但　　参加費等収入（"&amp;領収証内訳!$X$4&amp;"分）として"</f>
        <v>　　※但　　参加費等収入（４月分）として</v>
      </c>
      <c r="E266" s="146"/>
      <c r="F266" s="146"/>
      <c r="G266" s="146"/>
      <c r="H266" s="146"/>
      <c r="I266" s="146"/>
      <c r="J266" s="146"/>
      <c r="K266" s="1"/>
      <c r="L266" s="2"/>
      <c r="M266" s="1"/>
      <c r="N266" s="1"/>
      <c r="O266" s="145" t="str">
        <f>"　　※但　　参加費等収入（"&amp;領収証内訳!$X$4&amp;"分）として"</f>
        <v>　　※但　　参加費等収入（４月分）として</v>
      </c>
      <c r="P266" s="139"/>
      <c r="Q266" s="139"/>
      <c r="R266" s="139"/>
      <c r="S266" s="139"/>
      <c r="T266" s="139"/>
      <c r="U266" s="139"/>
      <c r="V266" s="1"/>
    </row>
    <row r="267" spans="2:22">
      <c r="B267" s="1"/>
      <c r="C267" s="1"/>
      <c r="D267" s="1"/>
      <c r="E267" s="1"/>
      <c r="F267" s="1"/>
      <c r="G267" s="1"/>
      <c r="H267" s="1"/>
      <c r="I267" s="1"/>
      <c r="J267" s="1"/>
      <c r="K267" s="1"/>
      <c r="L267" s="2"/>
      <c r="M267" s="1"/>
      <c r="N267" s="1"/>
      <c r="O267" s="1"/>
      <c r="P267" s="1"/>
      <c r="Q267" s="1"/>
      <c r="R267" s="1"/>
      <c r="S267" s="1"/>
      <c r="T267" s="1"/>
      <c r="U267" s="1"/>
      <c r="V267" s="1"/>
    </row>
    <row r="268" spans="2:22" ht="18.75">
      <c r="B268" s="1"/>
      <c r="C268" s="1"/>
      <c r="D268" s="1"/>
      <c r="E268" s="17" t="s">
        <v>7</v>
      </c>
      <c r="F268" s="1"/>
      <c r="G268" s="1"/>
      <c r="H268" s="1"/>
      <c r="I268" s="1"/>
      <c r="J268" s="1"/>
      <c r="K268" s="1"/>
      <c r="L268" s="2"/>
      <c r="M268" s="1"/>
      <c r="N268" s="1"/>
      <c r="O268" s="1"/>
      <c r="P268" s="17" t="s">
        <v>7</v>
      </c>
      <c r="Q268" s="1"/>
      <c r="R268" s="1"/>
      <c r="S268" s="1"/>
      <c r="T268" s="1"/>
      <c r="U268" s="1"/>
      <c r="V268" s="1"/>
    </row>
    <row r="269" spans="2:22" ht="6" customHeight="1">
      <c r="B269" s="1"/>
      <c r="C269" s="1"/>
      <c r="D269" s="1"/>
      <c r="E269" s="1"/>
      <c r="F269" s="1"/>
      <c r="G269" s="1"/>
      <c r="H269" s="1"/>
      <c r="I269" s="1"/>
      <c r="J269" s="1"/>
      <c r="K269" s="1"/>
      <c r="L269" s="2"/>
      <c r="M269" s="1"/>
      <c r="N269" s="1"/>
      <c r="O269" s="1"/>
      <c r="P269" s="1"/>
      <c r="Q269" s="1"/>
      <c r="R269" s="1"/>
      <c r="S269" s="1"/>
      <c r="T269" s="1"/>
      <c r="U269" s="1"/>
      <c r="V269" s="1"/>
    </row>
    <row r="270" spans="2:22" ht="20.100000000000001" customHeight="1">
      <c r="B270" s="1"/>
      <c r="C270" s="1"/>
      <c r="D270" s="1"/>
      <c r="F270" s="136" t="s">
        <v>68</v>
      </c>
      <c r="G270" s="137"/>
      <c r="H270" s="147">
        <f>領収証内訳!$X$2</f>
        <v>0</v>
      </c>
      <c r="I270" s="148"/>
      <c r="J270" s="149"/>
      <c r="K270" s="150"/>
      <c r="L270" s="2"/>
      <c r="M270" s="1"/>
      <c r="N270" s="1"/>
      <c r="O270" s="1"/>
      <c r="P270" s="5"/>
      <c r="Q270" s="136" t="s">
        <v>68</v>
      </c>
      <c r="R270" s="137"/>
      <c r="S270" s="147">
        <f>領収証内訳!$X$2</f>
        <v>0</v>
      </c>
      <c r="T270" s="148"/>
      <c r="U270" s="153"/>
      <c r="V270" s="153"/>
    </row>
    <row r="271" spans="2:22" ht="20.100000000000001" customHeight="1">
      <c r="B271" s="1"/>
      <c r="C271" s="1"/>
      <c r="D271" s="1"/>
      <c r="F271" s="138" t="s">
        <v>67</v>
      </c>
      <c r="G271" s="139"/>
      <c r="H271" s="151">
        <f>領収証内訳!$AA$2</f>
        <v>0</v>
      </c>
      <c r="I271" s="152"/>
      <c r="J271" s="9" t="s">
        <v>8</v>
      </c>
      <c r="K271" s="9"/>
      <c r="L271" s="12"/>
      <c r="M271" s="1"/>
      <c r="N271" s="1"/>
      <c r="O271" s="1"/>
      <c r="P271" s="5"/>
      <c r="Q271" s="138" t="s">
        <v>67</v>
      </c>
      <c r="R271" s="139"/>
      <c r="S271" s="151">
        <f>領収証内訳!$AA$2</f>
        <v>0</v>
      </c>
      <c r="T271" s="152"/>
      <c r="U271" s="9" t="s">
        <v>8</v>
      </c>
      <c r="V271" s="9"/>
    </row>
    <row r="272" spans="2:22" ht="5.25" customHeight="1">
      <c r="B272" s="1"/>
      <c r="C272" s="1"/>
      <c r="D272" s="1"/>
      <c r="E272" s="1"/>
      <c r="F272" s="16"/>
      <c r="G272" s="5"/>
      <c r="H272" s="1"/>
      <c r="I272" s="1"/>
      <c r="J272" s="9"/>
      <c r="K272" s="9"/>
      <c r="L272" s="12"/>
      <c r="M272" s="1"/>
      <c r="N272" s="1"/>
      <c r="O272" s="1"/>
      <c r="P272" s="1"/>
      <c r="Q272" s="16"/>
      <c r="R272" s="5"/>
      <c r="S272" s="1"/>
      <c r="T272" s="1"/>
      <c r="U272" s="9"/>
      <c r="V272" s="9"/>
    </row>
    <row r="273" spans="2:24" ht="10.5" customHeight="1">
      <c r="B273" s="1"/>
      <c r="C273" s="1"/>
      <c r="D273" s="1"/>
      <c r="E273" s="1"/>
      <c r="F273" s="1"/>
      <c r="G273" s="1"/>
      <c r="H273" s="1"/>
      <c r="I273" s="1"/>
      <c r="J273" s="1"/>
      <c r="K273" s="1"/>
      <c r="L273" s="2"/>
      <c r="M273" s="1"/>
      <c r="N273" s="1"/>
      <c r="O273" s="1"/>
      <c r="P273" s="1"/>
      <c r="Q273" s="1"/>
      <c r="R273" s="1"/>
      <c r="S273" s="1"/>
      <c r="T273" s="1"/>
      <c r="U273" s="1"/>
      <c r="V273" s="1"/>
    </row>
    <row r="274" spans="2:24" ht="21">
      <c r="B274" s="1"/>
      <c r="C274" s="1"/>
      <c r="D274" s="4" t="s">
        <v>4</v>
      </c>
      <c r="E274" s="1"/>
      <c r="F274" s="1"/>
      <c r="G274" s="1"/>
      <c r="H274" s="1"/>
      <c r="I274" s="1"/>
      <c r="J274" s="1"/>
      <c r="K274" s="1"/>
      <c r="L274" s="2"/>
      <c r="M274" s="1"/>
      <c r="N274" s="1"/>
      <c r="O274" s="4" t="s">
        <v>4</v>
      </c>
      <c r="P274" s="1"/>
      <c r="Q274" s="1"/>
      <c r="R274" s="1"/>
      <c r="S274" s="1"/>
      <c r="T274" s="1"/>
      <c r="U274" s="1"/>
      <c r="V274" s="1"/>
      <c r="X274" s="3">
        <f>X206+8</f>
        <v>37</v>
      </c>
    </row>
    <row r="275" spans="2:24" ht="8.25" customHeight="1">
      <c r="B275" s="1"/>
      <c r="C275" s="1"/>
      <c r="D275" s="1"/>
      <c r="E275" s="1"/>
      <c r="F275" s="1"/>
      <c r="G275" s="1"/>
      <c r="H275" s="1"/>
      <c r="I275" s="1"/>
      <c r="J275" s="1"/>
      <c r="K275" s="1"/>
      <c r="L275" s="2"/>
      <c r="M275" s="1"/>
      <c r="N275" s="1"/>
      <c r="O275" s="1"/>
      <c r="P275" s="1"/>
      <c r="Q275" s="1"/>
      <c r="R275" s="1"/>
      <c r="S275" s="1"/>
      <c r="T275" s="1"/>
      <c r="U275" s="1"/>
      <c r="V275" s="1"/>
    </row>
    <row r="276" spans="2:24" ht="18.75">
      <c r="B276" s="1"/>
      <c r="C276" s="1"/>
      <c r="D276" s="1"/>
      <c r="E276" s="1"/>
      <c r="F276" s="140">
        <f>領収証内訳!$AA$3</f>
        <v>46275</v>
      </c>
      <c r="G276" s="141"/>
      <c r="H276" s="141"/>
      <c r="I276" s="141"/>
      <c r="J276" s="141"/>
      <c r="K276" s="1"/>
      <c r="L276" s="2"/>
      <c r="M276" s="1"/>
      <c r="N276" s="1"/>
      <c r="O276" s="1"/>
      <c r="P276" s="1"/>
      <c r="Q276" s="140">
        <f>領収証内訳!$AA$3</f>
        <v>46275</v>
      </c>
      <c r="R276" s="142"/>
      <c r="S276" s="142"/>
      <c r="T276" s="142"/>
      <c r="U276" s="142"/>
      <c r="V276" s="1"/>
    </row>
    <row r="277" spans="2:24" ht="9.9499999999999993" customHeight="1">
      <c r="B277" s="1"/>
      <c r="C277" s="1"/>
      <c r="D277" s="1"/>
      <c r="E277" s="1"/>
      <c r="F277" s="1"/>
      <c r="G277" s="1"/>
      <c r="H277" s="1"/>
      <c r="I277" s="1"/>
      <c r="J277" s="1"/>
      <c r="K277" s="1"/>
      <c r="L277" s="2"/>
      <c r="M277" s="1"/>
      <c r="N277" s="1"/>
      <c r="O277" s="1"/>
      <c r="P277" s="1"/>
      <c r="Q277" s="1"/>
      <c r="R277" s="1"/>
      <c r="S277" s="1"/>
      <c r="T277" s="1"/>
      <c r="U277" s="1"/>
      <c r="V277" s="1"/>
    </row>
    <row r="278" spans="2:24" ht="18.75">
      <c r="B278" s="154" t="str">
        <f ca="1">INDIRECT("領収証内訳!"&amp;$Z$2&amp;$X274)&amp;" さん保護者　様"</f>
        <v xml:space="preserve"> さん保護者　様</v>
      </c>
      <c r="C278" s="155"/>
      <c r="D278" s="156"/>
      <c r="E278" s="156"/>
      <c r="F278" s="156"/>
      <c r="G278" s="1"/>
      <c r="H278" s="1"/>
      <c r="I278" s="1"/>
      <c r="J278" s="1"/>
      <c r="K278" s="1"/>
      <c r="L278" s="2"/>
      <c r="M278" s="154" t="str">
        <f ca="1">INDIRECT("領収証内訳!"&amp;$Z$2&amp;$X274+1)&amp;" さん保護者　様"</f>
        <v xml:space="preserve"> さん保護者　様</v>
      </c>
      <c r="N278" s="155"/>
      <c r="O278" s="157"/>
      <c r="P278" s="157"/>
      <c r="Q278" s="157"/>
      <c r="R278" s="1"/>
      <c r="S278" s="1"/>
      <c r="T278" s="1"/>
      <c r="U278" s="1"/>
      <c r="V278" s="1"/>
    </row>
    <row r="279" spans="2:24" ht="9.9499999999999993" customHeight="1">
      <c r="B279" s="1"/>
      <c r="C279" s="1"/>
      <c r="D279" s="1"/>
      <c r="E279" s="1"/>
      <c r="F279" s="1"/>
      <c r="G279" s="1"/>
      <c r="H279" s="1"/>
      <c r="I279" s="1"/>
      <c r="J279" s="1"/>
      <c r="K279" s="1"/>
      <c r="L279" s="2"/>
      <c r="M279" s="1"/>
      <c r="N279" s="1"/>
      <c r="O279" s="1"/>
      <c r="P279" s="1"/>
      <c r="Q279" s="1"/>
      <c r="R279" s="1"/>
      <c r="S279" s="1"/>
      <c r="T279" s="1"/>
      <c r="U279" s="1"/>
      <c r="V279" s="1"/>
    </row>
    <row r="280" spans="2:24" ht="7.5" customHeight="1">
      <c r="B280" s="1"/>
      <c r="C280" s="1"/>
      <c r="D280" s="1"/>
      <c r="E280" s="1"/>
      <c r="F280" s="1"/>
      <c r="G280" s="1"/>
      <c r="H280" s="1"/>
      <c r="I280" s="1"/>
      <c r="J280" s="1"/>
      <c r="K280" s="1"/>
      <c r="L280" s="2"/>
      <c r="M280" s="1"/>
      <c r="N280" s="1"/>
      <c r="O280" s="1"/>
      <c r="P280" s="1"/>
      <c r="Q280" s="1"/>
      <c r="R280" s="1"/>
      <c r="S280" s="1"/>
      <c r="T280" s="1"/>
      <c r="U280" s="1"/>
      <c r="V280" s="1"/>
    </row>
    <row r="281" spans="2:24" ht="21">
      <c r="B281" s="1"/>
      <c r="C281" s="5"/>
      <c r="D281" s="6" t="s">
        <v>5</v>
      </c>
      <c r="E281" s="143">
        <f ca="1">INDIRECT("領収証内訳!"&amp;$Y$2&amp;$X274)</f>
        <v>0</v>
      </c>
      <c r="F281" s="144"/>
      <c r="G281" s="7" t="s">
        <v>6</v>
      </c>
      <c r="H281" s="8"/>
      <c r="I281" s="1"/>
      <c r="J281" s="1"/>
      <c r="K281" s="1"/>
      <c r="L281" s="2"/>
      <c r="M281" s="1"/>
      <c r="N281" s="5"/>
      <c r="O281" s="6" t="s">
        <v>5</v>
      </c>
      <c r="P281" s="143">
        <f ca="1">INDIRECT("領収証内訳!"&amp;$Y$2&amp;$X274+1)</f>
        <v>0</v>
      </c>
      <c r="Q281" s="144"/>
      <c r="R281" s="7" t="s">
        <v>6</v>
      </c>
      <c r="S281" s="8"/>
      <c r="T281" s="1"/>
      <c r="U281" s="1"/>
      <c r="V281" s="1"/>
    </row>
    <row r="282" spans="2:24">
      <c r="B282" s="1"/>
      <c r="C282" s="1"/>
      <c r="D282" s="1"/>
      <c r="E282" s="1"/>
      <c r="F282" s="1"/>
      <c r="G282" s="1"/>
      <c r="H282" s="1"/>
      <c r="I282" s="1"/>
      <c r="J282" s="1"/>
      <c r="K282" s="1"/>
      <c r="L282" s="2"/>
      <c r="M282" s="1"/>
      <c r="N282" s="1"/>
      <c r="O282" s="1"/>
      <c r="P282" s="1"/>
      <c r="Q282" s="1"/>
      <c r="R282" s="1"/>
      <c r="S282" s="1"/>
      <c r="T282" s="1"/>
      <c r="U282" s="1"/>
      <c r="V282" s="1"/>
    </row>
    <row r="283" spans="2:24" ht="18.75">
      <c r="B283" s="1"/>
      <c r="C283" s="1"/>
      <c r="D283" s="145" t="str">
        <f>"　　※但　　参加費等収入（"&amp;領収証内訳!$X$4&amp;"分）として"</f>
        <v>　　※但　　参加費等収入（４月分）として</v>
      </c>
      <c r="E283" s="146"/>
      <c r="F283" s="146"/>
      <c r="G283" s="146"/>
      <c r="H283" s="146"/>
      <c r="I283" s="146"/>
      <c r="J283" s="146"/>
      <c r="K283" s="1"/>
      <c r="L283" s="2"/>
      <c r="M283" s="1"/>
      <c r="N283" s="1"/>
      <c r="O283" s="145" t="str">
        <f>"　　※但　　参加費等収入（"&amp;領収証内訳!$X$4&amp;"分）として"</f>
        <v>　　※但　　参加費等収入（４月分）として</v>
      </c>
      <c r="P283" s="139"/>
      <c r="Q283" s="139"/>
      <c r="R283" s="139"/>
      <c r="S283" s="139"/>
      <c r="T283" s="139"/>
      <c r="U283" s="139"/>
      <c r="V283" s="1"/>
    </row>
    <row r="284" spans="2:24" ht="9.9499999999999993" customHeight="1">
      <c r="B284" s="1"/>
      <c r="C284" s="1"/>
      <c r="D284" s="1"/>
      <c r="E284" s="1"/>
      <c r="F284" s="1"/>
      <c r="G284" s="1"/>
      <c r="H284" s="1"/>
      <c r="I284" s="1"/>
      <c r="J284" s="1"/>
      <c r="K284" s="1"/>
      <c r="L284" s="2"/>
      <c r="M284" s="1"/>
      <c r="N284" s="1"/>
      <c r="O284" s="1"/>
      <c r="P284" s="1"/>
      <c r="Q284" s="1"/>
      <c r="R284" s="1"/>
      <c r="S284" s="1"/>
      <c r="T284" s="1"/>
      <c r="U284" s="1"/>
      <c r="V284" s="1"/>
    </row>
    <row r="285" spans="2:24" ht="18.75">
      <c r="B285" s="1"/>
      <c r="C285" s="1"/>
      <c r="D285" s="1"/>
      <c r="E285" s="17" t="s">
        <v>7</v>
      </c>
      <c r="F285" s="1"/>
      <c r="G285" s="1"/>
      <c r="H285" s="1"/>
      <c r="I285" s="1"/>
      <c r="J285" s="1"/>
      <c r="K285" s="1"/>
      <c r="L285" s="2"/>
      <c r="M285" s="1"/>
      <c r="N285" s="1"/>
      <c r="O285" s="1"/>
      <c r="P285" s="17" t="s">
        <v>7</v>
      </c>
      <c r="Q285" s="1"/>
      <c r="R285" s="1"/>
      <c r="S285" s="1"/>
      <c r="T285" s="1"/>
      <c r="U285" s="1"/>
      <c r="V285" s="1"/>
    </row>
    <row r="286" spans="2:24" ht="6" customHeight="1">
      <c r="B286" s="1"/>
      <c r="C286" s="1"/>
      <c r="D286" s="1"/>
      <c r="E286" s="1"/>
      <c r="F286" s="1"/>
      <c r="G286" s="1"/>
      <c r="H286" s="1"/>
      <c r="I286" s="1"/>
      <c r="J286" s="1"/>
      <c r="K286" s="1"/>
      <c r="L286" s="2"/>
      <c r="M286" s="1"/>
      <c r="N286" s="1"/>
      <c r="O286" s="1"/>
      <c r="P286" s="1"/>
      <c r="Q286" s="1"/>
      <c r="R286" s="1"/>
      <c r="S286" s="1"/>
      <c r="T286" s="1"/>
      <c r="U286" s="1"/>
      <c r="V286" s="1"/>
    </row>
    <row r="287" spans="2:24" ht="20.100000000000001" customHeight="1">
      <c r="B287" s="1"/>
      <c r="C287" s="1"/>
      <c r="D287" s="1"/>
      <c r="F287" s="136" t="s">
        <v>68</v>
      </c>
      <c r="G287" s="137"/>
      <c r="H287" s="147">
        <f>領収証内訳!$X$2</f>
        <v>0</v>
      </c>
      <c r="I287" s="148"/>
      <c r="J287" s="149"/>
      <c r="K287" s="150"/>
      <c r="L287" s="2"/>
      <c r="M287" s="1"/>
      <c r="N287" s="1"/>
      <c r="O287" s="1"/>
      <c r="P287" s="5"/>
      <c r="Q287" s="136" t="s">
        <v>68</v>
      </c>
      <c r="R287" s="137"/>
      <c r="S287" s="147">
        <f>領収証内訳!$X$2</f>
        <v>0</v>
      </c>
      <c r="T287" s="148"/>
      <c r="U287" s="153"/>
      <c r="V287" s="153"/>
    </row>
    <row r="288" spans="2:24" ht="20.100000000000001" customHeight="1">
      <c r="B288" s="1"/>
      <c r="C288" s="1"/>
      <c r="D288" s="1"/>
      <c r="F288" s="138" t="s">
        <v>67</v>
      </c>
      <c r="G288" s="139"/>
      <c r="H288" s="151">
        <f>領収証内訳!$AA$2</f>
        <v>0</v>
      </c>
      <c r="I288" s="152"/>
      <c r="J288" s="9" t="s">
        <v>8</v>
      </c>
      <c r="K288" s="9"/>
      <c r="L288" s="12"/>
      <c r="M288" s="1"/>
      <c r="N288" s="1"/>
      <c r="O288" s="1"/>
      <c r="P288" s="5"/>
      <c r="Q288" s="138" t="s">
        <v>67</v>
      </c>
      <c r="R288" s="139"/>
      <c r="S288" s="151">
        <f>領収証内訳!$AA$2</f>
        <v>0</v>
      </c>
      <c r="T288" s="152"/>
      <c r="U288" s="9" t="s">
        <v>8</v>
      </c>
      <c r="V288" s="9"/>
    </row>
    <row r="289" spans="2:22" ht="6.95" customHeight="1">
      <c r="B289" s="10"/>
      <c r="C289" s="10"/>
      <c r="D289" s="10"/>
      <c r="E289" s="10"/>
      <c r="F289" s="13"/>
      <c r="G289" s="14"/>
      <c r="H289" s="10"/>
      <c r="I289" s="10"/>
      <c r="J289" s="11"/>
      <c r="K289" s="11"/>
      <c r="L289" s="15"/>
      <c r="M289" s="10"/>
      <c r="N289" s="10"/>
      <c r="O289" s="10"/>
      <c r="P289" s="10"/>
      <c r="Q289" s="13"/>
      <c r="R289" s="14"/>
      <c r="S289" s="10"/>
      <c r="T289" s="10"/>
      <c r="U289" s="11"/>
      <c r="V289" s="11"/>
    </row>
    <row r="290" spans="2:22" ht="10.5" customHeight="1">
      <c r="B290" s="1"/>
      <c r="C290" s="1"/>
      <c r="D290" s="1"/>
      <c r="E290" s="1"/>
      <c r="F290" s="1"/>
      <c r="G290" s="1"/>
      <c r="H290" s="1"/>
      <c r="I290" s="1"/>
      <c r="J290" s="1"/>
      <c r="K290" s="1"/>
      <c r="L290" s="2"/>
      <c r="M290" s="1"/>
      <c r="N290" s="1"/>
      <c r="O290" s="1"/>
      <c r="P290" s="1"/>
      <c r="Q290" s="1"/>
      <c r="R290" s="1"/>
      <c r="S290" s="1"/>
      <c r="T290" s="1"/>
      <c r="U290" s="1"/>
      <c r="V290" s="1"/>
    </row>
    <row r="291" spans="2:22" ht="21">
      <c r="B291" s="1"/>
      <c r="C291" s="1"/>
      <c r="D291" s="4" t="s">
        <v>4</v>
      </c>
      <c r="E291" s="1"/>
      <c r="F291" s="1"/>
      <c r="G291" s="1"/>
      <c r="H291" s="1"/>
      <c r="I291" s="1"/>
      <c r="J291" s="1"/>
      <c r="K291" s="1"/>
      <c r="L291" s="2"/>
      <c r="M291" s="1"/>
      <c r="N291" s="1"/>
      <c r="O291" s="4" t="s">
        <v>4</v>
      </c>
      <c r="P291" s="1"/>
      <c r="Q291" s="1"/>
      <c r="R291" s="1"/>
      <c r="S291" s="1"/>
      <c r="T291" s="1"/>
      <c r="U291" s="1"/>
      <c r="V291" s="1"/>
    </row>
    <row r="292" spans="2:22" ht="8.25" customHeight="1">
      <c r="B292" s="1"/>
      <c r="C292" s="1"/>
      <c r="D292" s="1"/>
      <c r="E292" s="1"/>
      <c r="F292" s="1"/>
      <c r="G292" s="1"/>
      <c r="H292" s="1"/>
      <c r="I292" s="1"/>
      <c r="J292" s="1"/>
      <c r="K292" s="1"/>
      <c r="L292" s="2"/>
      <c r="M292" s="1"/>
      <c r="N292" s="1"/>
      <c r="O292" s="1"/>
      <c r="P292" s="1"/>
      <c r="Q292" s="1"/>
      <c r="R292" s="1"/>
      <c r="S292" s="1"/>
      <c r="T292" s="1"/>
      <c r="U292" s="1"/>
      <c r="V292" s="1"/>
    </row>
    <row r="293" spans="2:22" ht="18.75">
      <c r="B293" s="1"/>
      <c r="C293" s="1"/>
      <c r="D293" s="1"/>
      <c r="E293" s="1"/>
      <c r="F293" s="140">
        <f>領収証内訳!$AA$3</f>
        <v>46275</v>
      </c>
      <c r="G293" s="141"/>
      <c r="H293" s="141"/>
      <c r="I293" s="141"/>
      <c r="J293" s="141"/>
      <c r="K293" s="1"/>
      <c r="L293" s="2"/>
      <c r="M293" s="1"/>
      <c r="N293" s="1"/>
      <c r="O293" s="1"/>
      <c r="P293" s="1"/>
      <c r="Q293" s="140">
        <f>領収証内訳!$AA$3</f>
        <v>46275</v>
      </c>
      <c r="R293" s="142"/>
      <c r="S293" s="142"/>
      <c r="T293" s="142"/>
      <c r="U293" s="142"/>
      <c r="V293" s="1"/>
    </row>
    <row r="294" spans="2:22" ht="9.9499999999999993" customHeight="1">
      <c r="B294" s="1"/>
      <c r="C294" s="1"/>
      <c r="D294" s="1"/>
      <c r="E294" s="1"/>
      <c r="F294" s="1"/>
      <c r="G294" s="1"/>
      <c r="H294" s="1"/>
      <c r="I294" s="1"/>
      <c r="J294" s="1"/>
      <c r="K294" s="1"/>
      <c r="L294" s="2"/>
      <c r="M294" s="1"/>
      <c r="N294" s="1"/>
      <c r="O294" s="1"/>
      <c r="P294" s="1"/>
      <c r="Q294" s="1"/>
      <c r="R294" s="1"/>
      <c r="S294" s="1"/>
      <c r="T294" s="1"/>
      <c r="U294" s="1"/>
      <c r="V294" s="1"/>
    </row>
    <row r="295" spans="2:22" ht="18.75">
      <c r="B295" s="154" t="str">
        <f ca="1">INDIRECT("領収証内訳!"&amp;$Z$2&amp;$X274+2)&amp;" さん保護者　様"</f>
        <v xml:space="preserve"> さん保護者　様</v>
      </c>
      <c r="C295" s="155"/>
      <c r="D295" s="156"/>
      <c r="E295" s="156"/>
      <c r="F295" s="156"/>
      <c r="G295" s="1"/>
      <c r="H295" s="1"/>
      <c r="I295" s="1"/>
      <c r="J295" s="1"/>
      <c r="K295" s="1"/>
      <c r="L295" s="2"/>
      <c r="M295" s="154" t="str">
        <f ca="1">INDIRECT("領収証内訳!"&amp;$Z$2&amp;$X274+3)&amp;" さん保護者　様"</f>
        <v xml:space="preserve"> さん保護者　様</v>
      </c>
      <c r="N295" s="155"/>
      <c r="O295" s="157"/>
      <c r="P295" s="157"/>
      <c r="Q295" s="157"/>
      <c r="R295" s="1"/>
      <c r="S295" s="1"/>
      <c r="T295" s="1"/>
      <c r="U295" s="1"/>
      <c r="V295" s="1"/>
    </row>
    <row r="296" spans="2:22" ht="9.9499999999999993" customHeight="1">
      <c r="B296" s="1"/>
      <c r="C296" s="1"/>
      <c r="D296" s="1"/>
      <c r="E296" s="1"/>
      <c r="F296" s="1"/>
      <c r="G296" s="1"/>
      <c r="H296" s="1"/>
      <c r="I296" s="1"/>
      <c r="J296" s="1"/>
      <c r="K296" s="1"/>
      <c r="L296" s="2"/>
      <c r="M296" s="1"/>
      <c r="N296" s="1"/>
      <c r="O296" s="1"/>
      <c r="P296" s="1"/>
      <c r="Q296" s="1"/>
      <c r="R296" s="1"/>
      <c r="S296" s="1"/>
      <c r="T296" s="1"/>
      <c r="U296" s="1"/>
      <c r="V296" s="1"/>
    </row>
    <row r="297" spans="2:22" ht="7.5" customHeight="1">
      <c r="B297" s="1"/>
      <c r="C297" s="1"/>
      <c r="D297" s="1"/>
      <c r="E297" s="1"/>
      <c r="F297" s="1"/>
      <c r="G297" s="1"/>
      <c r="H297" s="1"/>
      <c r="I297" s="1"/>
      <c r="J297" s="1"/>
      <c r="K297" s="1"/>
      <c r="L297" s="2"/>
      <c r="M297" s="1"/>
      <c r="N297" s="1"/>
      <c r="O297" s="1"/>
      <c r="P297" s="1"/>
      <c r="Q297" s="1"/>
      <c r="R297" s="1"/>
      <c r="S297" s="1"/>
      <c r="T297" s="1"/>
      <c r="U297" s="1"/>
      <c r="V297" s="1"/>
    </row>
    <row r="298" spans="2:22" ht="21">
      <c r="B298" s="1"/>
      <c r="C298" s="5"/>
      <c r="D298" s="6" t="s">
        <v>5</v>
      </c>
      <c r="E298" s="143">
        <f ca="1">INDIRECT("領収証内訳!"&amp;$Y$2&amp;$X274+2)</f>
        <v>0</v>
      </c>
      <c r="F298" s="144"/>
      <c r="G298" s="7" t="s">
        <v>6</v>
      </c>
      <c r="H298" s="8"/>
      <c r="I298" s="1"/>
      <c r="J298" s="1"/>
      <c r="K298" s="1"/>
      <c r="L298" s="2"/>
      <c r="M298" s="1"/>
      <c r="N298" s="5"/>
      <c r="O298" s="6" t="s">
        <v>5</v>
      </c>
      <c r="P298" s="143">
        <f ca="1">INDIRECT("領収証内訳!"&amp;$Y$2&amp;$X274+3)</f>
        <v>0</v>
      </c>
      <c r="Q298" s="144"/>
      <c r="R298" s="7" t="s">
        <v>6</v>
      </c>
      <c r="S298" s="8"/>
      <c r="T298" s="1"/>
      <c r="U298" s="1"/>
      <c r="V298" s="1"/>
    </row>
    <row r="299" spans="2:22">
      <c r="B299" s="1"/>
      <c r="C299" s="1"/>
      <c r="D299" s="1"/>
      <c r="E299" s="1"/>
      <c r="F299" s="1"/>
      <c r="G299" s="1"/>
      <c r="H299" s="1"/>
      <c r="I299" s="1"/>
      <c r="J299" s="1"/>
      <c r="K299" s="1"/>
      <c r="L299" s="2"/>
      <c r="M299" s="1"/>
      <c r="N299" s="1"/>
      <c r="O299" s="1"/>
      <c r="P299" s="1"/>
      <c r="Q299" s="1"/>
      <c r="R299" s="1"/>
      <c r="S299" s="1"/>
      <c r="T299" s="1"/>
      <c r="U299" s="1"/>
      <c r="V299" s="1"/>
    </row>
    <row r="300" spans="2:22" ht="18.75">
      <c r="B300" s="1"/>
      <c r="C300" s="1"/>
      <c r="D300" s="145" t="str">
        <f>"　　※但　　参加費等収入（"&amp;領収証内訳!$X$4&amp;"分）として"</f>
        <v>　　※但　　参加費等収入（４月分）として</v>
      </c>
      <c r="E300" s="146"/>
      <c r="F300" s="146"/>
      <c r="G300" s="146"/>
      <c r="H300" s="146"/>
      <c r="I300" s="146"/>
      <c r="J300" s="146"/>
      <c r="K300" s="1"/>
      <c r="L300" s="2"/>
      <c r="M300" s="1"/>
      <c r="N300" s="1"/>
      <c r="O300" s="145" t="str">
        <f>"　　※但　　参加費等収入（"&amp;領収証内訳!$X$4&amp;"分）として"</f>
        <v>　　※但　　参加費等収入（４月分）として</v>
      </c>
      <c r="P300" s="139"/>
      <c r="Q300" s="139"/>
      <c r="R300" s="139"/>
      <c r="S300" s="139"/>
      <c r="T300" s="139"/>
      <c r="U300" s="139"/>
      <c r="V300" s="1"/>
    </row>
    <row r="301" spans="2:22" ht="9.9499999999999993" customHeight="1">
      <c r="B301" s="1"/>
      <c r="C301" s="1"/>
      <c r="D301" s="1"/>
      <c r="E301" s="1"/>
      <c r="F301" s="1"/>
      <c r="G301" s="1"/>
      <c r="H301" s="1"/>
      <c r="I301" s="1"/>
      <c r="J301" s="1"/>
      <c r="K301" s="1"/>
      <c r="L301" s="2"/>
      <c r="M301" s="1"/>
      <c r="N301" s="1"/>
      <c r="O301" s="1"/>
      <c r="P301" s="1"/>
      <c r="Q301" s="1"/>
      <c r="R301" s="1"/>
      <c r="S301" s="1"/>
      <c r="T301" s="1"/>
      <c r="U301" s="1"/>
      <c r="V301" s="1"/>
    </row>
    <row r="302" spans="2:22" ht="18.75">
      <c r="B302" s="1"/>
      <c r="C302" s="1"/>
      <c r="D302" s="1"/>
      <c r="E302" s="17" t="s">
        <v>7</v>
      </c>
      <c r="F302" s="1"/>
      <c r="G302" s="1"/>
      <c r="H302" s="1"/>
      <c r="I302" s="1"/>
      <c r="J302" s="1"/>
      <c r="K302" s="1"/>
      <c r="L302" s="2"/>
      <c r="M302" s="1"/>
      <c r="N302" s="1"/>
      <c r="O302" s="1"/>
      <c r="P302" s="17" t="s">
        <v>7</v>
      </c>
      <c r="Q302" s="1"/>
      <c r="R302" s="1"/>
      <c r="S302" s="1"/>
      <c r="T302" s="1"/>
      <c r="U302" s="1"/>
      <c r="V302" s="1"/>
    </row>
    <row r="303" spans="2:22" ht="6" customHeight="1">
      <c r="B303" s="1"/>
      <c r="C303" s="1"/>
      <c r="D303" s="1"/>
      <c r="E303" s="1"/>
      <c r="F303" s="1"/>
      <c r="G303" s="1"/>
      <c r="H303" s="1"/>
      <c r="I303" s="1"/>
      <c r="J303" s="1"/>
      <c r="K303" s="1"/>
      <c r="L303" s="2"/>
      <c r="M303" s="1"/>
      <c r="N303" s="1"/>
      <c r="O303" s="1"/>
      <c r="P303" s="1"/>
      <c r="Q303" s="1"/>
      <c r="R303" s="1"/>
      <c r="S303" s="1"/>
      <c r="T303" s="1"/>
      <c r="U303" s="1"/>
      <c r="V303" s="1"/>
    </row>
    <row r="304" spans="2:22" ht="20.100000000000001" customHeight="1">
      <c r="B304" s="1"/>
      <c r="C304" s="1"/>
      <c r="D304" s="1"/>
      <c r="F304" s="136" t="s">
        <v>68</v>
      </c>
      <c r="G304" s="137"/>
      <c r="H304" s="147">
        <f>領収証内訳!$X$2</f>
        <v>0</v>
      </c>
      <c r="I304" s="148"/>
      <c r="J304" s="149"/>
      <c r="K304" s="150"/>
      <c r="L304" s="2"/>
      <c r="M304" s="1"/>
      <c r="N304" s="1"/>
      <c r="O304" s="1"/>
      <c r="P304" s="5"/>
      <c r="Q304" s="136" t="s">
        <v>68</v>
      </c>
      <c r="R304" s="137"/>
      <c r="S304" s="147">
        <f>領収証内訳!$X$2</f>
        <v>0</v>
      </c>
      <c r="T304" s="148"/>
      <c r="U304" s="153"/>
      <c r="V304" s="153"/>
    </row>
    <row r="305" spans="2:22" ht="20.100000000000001" customHeight="1">
      <c r="B305" s="1"/>
      <c r="C305" s="1"/>
      <c r="D305" s="1"/>
      <c r="F305" s="138" t="s">
        <v>67</v>
      </c>
      <c r="G305" s="139"/>
      <c r="H305" s="151">
        <f>領収証内訳!$AA$2</f>
        <v>0</v>
      </c>
      <c r="I305" s="152"/>
      <c r="J305" s="9" t="s">
        <v>8</v>
      </c>
      <c r="K305" s="9"/>
      <c r="L305" s="12"/>
      <c r="M305" s="1"/>
      <c r="N305" s="1"/>
      <c r="O305" s="1"/>
      <c r="P305" s="5"/>
      <c r="Q305" s="138" t="s">
        <v>67</v>
      </c>
      <c r="R305" s="139"/>
      <c r="S305" s="151">
        <f>領収証内訳!$AA$2</f>
        <v>0</v>
      </c>
      <c r="T305" s="152"/>
      <c r="U305" s="9" t="s">
        <v>8</v>
      </c>
      <c r="V305" s="9"/>
    </row>
    <row r="306" spans="2:22" ht="6.95" customHeight="1">
      <c r="B306" s="10"/>
      <c r="C306" s="10"/>
      <c r="D306" s="10"/>
      <c r="E306" s="10"/>
      <c r="F306" s="13"/>
      <c r="G306" s="14"/>
      <c r="H306" s="10"/>
      <c r="I306" s="10"/>
      <c r="J306" s="11"/>
      <c r="K306" s="11"/>
      <c r="L306" s="15"/>
      <c r="M306" s="10"/>
      <c r="N306" s="10"/>
      <c r="O306" s="10"/>
      <c r="P306" s="10"/>
      <c r="Q306" s="13"/>
      <c r="R306" s="14"/>
      <c r="S306" s="10"/>
      <c r="T306" s="10"/>
      <c r="U306" s="11"/>
      <c r="V306" s="11"/>
    </row>
    <row r="307" spans="2:22" ht="10.5" customHeight="1">
      <c r="B307" s="1"/>
      <c r="C307" s="1"/>
      <c r="D307" s="1"/>
      <c r="E307" s="1"/>
      <c r="F307" s="1"/>
      <c r="G307" s="1"/>
      <c r="H307" s="1"/>
      <c r="I307" s="1"/>
      <c r="J307" s="1"/>
      <c r="K307" s="1"/>
      <c r="L307" s="2"/>
      <c r="M307" s="1"/>
      <c r="N307" s="1"/>
      <c r="O307" s="1"/>
      <c r="P307" s="1"/>
      <c r="Q307" s="1"/>
      <c r="R307" s="1"/>
      <c r="S307" s="1"/>
      <c r="T307" s="1"/>
      <c r="U307" s="1"/>
      <c r="V307" s="1"/>
    </row>
    <row r="308" spans="2:22" ht="21">
      <c r="B308" s="1"/>
      <c r="C308" s="1"/>
      <c r="D308" s="4" t="s">
        <v>4</v>
      </c>
      <c r="E308" s="1"/>
      <c r="F308" s="1"/>
      <c r="G308" s="1"/>
      <c r="H308" s="1"/>
      <c r="I308" s="1"/>
      <c r="J308" s="1"/>
      <c r="K308" s="1"/>
      <c r="L308" s="2"/>
      <c r="M308" s="1"/>
      <c r="N308" s="1"/>
      <c r="O308" s="4" t="s">
        <v>4</v>
      </c>
      <c r="P308" s="1"/>
      <c r="Q308" s="1"/>
      <c r="R308" s="1"/>
      <c r="S308" s="1"/>
      <c r="T308" s="1"/>
      <c r="U308" s="1"/>
      <c r="V308" s="1"/>
    </row>
    <row r="309" spans="2:22" ht="8.25" customHeight="1">
      <c r="B309" s="1"/>
      <c r="C309" s="1"/>
      <c r="D309" s="1"/>
      <c r="E309" s="1"/>
      <c r="F309" s="1"/>
      <c r="G309" s="1"/>
      <c r="H309" s="1"/>
      <c r="I309" s="1"/>
      <c r="J309" s="1"/>
      <c r="K309" s="1"/>
      <c r="L309" s="2"/>
      <c r="M309" s="1"/>
      <c r="N309" s="1"/>
      <c r="O309" s="1"/>
      <c r="P309" s="1"/>
      <c r="Q309" s="1"/>
      <c r="R309" s="1"/>
      <c r="S309" s="1"/>
      <c r="T309" s="1"/>
      <c r="U309" s="1"/>
      <c r="V309" s="1"/>
    </row>
    <row r="310" spans="2:22" ht="18.75">
      <c r="B310" s="1"/>
      <c r="C310" s="1"/>
      <c r="D310" s="1"/>
      <c r="E310" s="1"/>
      <c r="F310" s="140">
        <f>領収証内訳!$AA$3</f>
        <v>46275</v>
      </c>
      <c r="G310" s="141"/>
      <c r="H310" s="141"/>
      <c r="I310" s="141"/>
      <c r="J310" s="141"/>
      <c r="K310" s="1"/>
      <c r="L310" s="2"/>
      <c r="M310" s="1"/>
      <c r="N310" s="1"/>
      <c r="O310" s="1"/>
      <c r="P310" s="1"/>
      <c r="Q310" s="140">
        <f>領収証内訳!$AA$3</f>
        <v>46275</v>
      </c>
      <c r="R310" s="142"/>
      <c r="S310" s="142"/>
      <c r="T310" s="142"/>
      <c r="U310" s="142"/>
      <c r="V310" s="1"/>
    </row>
    <row r="311" spans="2:22" ht="9.9499999999999993" customHeight="1">
      <c r="B311" s="1"/>
      <c r="C311" s="1"/>
      <c r="D311" s="1"/>
      <c r="E311" s="1"/>
      <c r="F311" s="1"/>
      <c r="G311" s="1"/>
      <c r="H311" s="1"/>
      <c r="I311" s="1"/>
      <c r="J311" s="1"/>
      <c r="K311" s="1"/>
      <c r="L311" s="2"/>
      <c r="M311" s="1"/>
      <c r="N311" s="1"/>
      <c r="O311" s="1"/>
      <c r="P311" s="1"/>
      <c r="Q311" s="1"/>
      <c r="R311" s="1"/>
      <c r="S311" s="1"/>
      <c r="T311" s="1"/>
      <c r="U311" s="1"/>
      <c r="V311" s="1"/>
    </row>
    <row r="312" spans="2:22" ht="18.75">
      <c r="B312" s="154" t="str">
        <f ca="1">INDIRECT("領収証内訳!"&amp;$Z$2&amp;$X274+4)&amp;" さん保護者　様"</f>
        <v xml:space="preserve"> さん保護者　様</v>
      </c>
      <c r="C312" s="155"/>
      <c r="D312" s="156"/>
      <c r="E312" s="156"/>
      <c r="F312" s="156"/>
      <c r="G312" s="1"/>
      <c r="H312" s="1"/>
      <c r="I312" s="1"/>
      <c r="J312" s="1"/>
      <c r="K312" s="1"/>
      <c r="L312" s="2"/>
      <c r="M312" s="154" t="str">
        <f ca="1">INDIRECT("領収証内訳!"&amp;$Z$2&amp;$X274+5)&amp;" さん保護者　様"</f>
        <v xml:space="preserve"> さん保護者　様</v>
      </c>
      <c r="N312" s="155"/>
      <c r="O312" s="157"/>
      <c r="P312" s="157"/>
      <c r="Q312" s="157"/>
      <c r="R312" s="1"/>
      <c r="S312" s="1"/>
      <c r="T312" s="1"/>
      <c r="U312" s="1"/>
      <c r="V312" s="1"/>
    </row>
    <row r="313" spans="2:22" ht="9.9499999999999993" customHeight="1">
      <c r="B313" s="1"/>
      <c r="C313" s="1"/>
      <c r="D313" s="1"/>
      <c r="E313" s="1"/>
      <c r="F313" s="1"/>
      <c r="G313" s="1"/>
      <c r="H313" s="1"/>
      <c r="I313" s="1"/>
      <c r="J313" s="1"/>
      <c r="K313" s="1"/>
      <c r="L313" s="2"/>
      <c r="M313" s="1"/>
      <c r="N313" s="1"/>
      <c r="O313" s="1"/>
      <c r="P313" s="1"/>
      <c r="Q313" s="1"/>
      <c r="R313" s="1"/>
      <c r="S313" s="1"/>
      <c r="T313" s="1"/>
      <c r="U313" s="1"/>
      <c r="V313" s="1"/>
    </row>
    <row r="314" spans="2:22" ht="7.5" customHeight="1">
      <c r="B314" s="1"/>
      <c r="C314" s="1"/>
      <c r="D314" s="1"/>
      <c r="E314" s="1"/>
      <c r="F314" s="1"/>
      <c r="G314" s="1"/>
      <c r="H314" s="1"/>
      <c r="I314" s="1"/>
      <c r="J314" s="1"/>
      <c r="K314" s="1"/>
      <c r="L314" s="2"/>
      <c r="M314" s="1"/>
      <c r="N314" s="1"/>
      <c r="O314" s="1"/>
      <c r="P314" s="1"/>
      <c r="Q314" s="1"/>
      <c r="R314" s="1"/>
      <c r="S314" s="1"/>
      <c r="T314" s="1"/>
      <c r="U314" s="1"/>
      <c r="V314" s="1"/>
    </row>
    <row r="315" spans="2:22" ht="21">
      <c r="B315" s="1"/>
      <c r="C315" s="5"/>
      <c r="D315" s="6" t="s">
        <v>5</v>
      </c>
      <c r="E315" s="143">
        <f ca="1">INDIRECT("領収証内訳!"&amp;$Y$2&amp;$X274+4)</f>
        <v>0</v>
      </c>
      <c r="F315" s="144"/>
      <c r="G315" s="7" t="s">
        <v>6</v>
      </c>
      <c r="H315" s="8"/>
      <c r="I315" s="1"/>
      <c r="J315" s="1"/>
      <c r="K315" s="1"/>
      <c r="L315" s="2"/>
      <c r="M315" s="1"/>
      <c r="N315" s="5"/>
      <c r="O315" s="6" t="s">
        <v>5</v>
      </c>
      <c r="P315" s="143">
        <f ca="1">INDIRECT("領収証内訳!"&amp;$Y$2&amp;$X274+5)</f>
        <v>0</v>
      </c>
      <c r="Q315" s="144"/>
      <c r="R315" s="7" t="s">
        <v>6</v>
      </c>
      <c r="S315" s="8"/>
      <c r="T315" s="1"/>
      <c r="U315" s="1"/>
      <c r="V315" s="1"/>
    </row>
    <row r="316" spans="2:22" ht="9.9499999999999993" customHeight="1">
      <c r="B316" s="1"/>
      <c r="C316" s="1"/>
      <c r="D316" s="1"/>
      <c r="E316" s="1"/>
      <c r="F316" s="1"/>
      <c r="G316" s="1"/>
      <c r="H316" s="1"/>
      <c r="I316" s="1"/>
      <c r="J316" s="1"/>
      <c r="K316" s="1"/>
      <c r="L316" s="2"/>
      <c r="M316" s="1"/>
      <c r="N316" s="1"/>
      <c r="O316" s="1"/>
      <c r="P316" s="1"/>
      <c r="Q316" s="1"/>
      <c r="R316" s="1"/>
      <c r="S316" s="1"/>
      <c r="T316" s="1"/>
      <c r="U316" s="1"/>
      <c r="V316" s="1"/>
    </row>
    <row r="317" spans="2:22" ht="18.75">
      <c r="B317" s="1"/>
      <c r="C317" s="1"/>
      <c r="D317" s="145" t="str">
        <f>"　　※但　　参加費等収入（"&amp;領収証内訳!$X$4&amp;"分）として"</f>
        <v>　　※但　　参加費等収入（４月分）として</v>
      </c>
      <c r="E317" s="146"/>
      <c r="F317" s="146"/>
      <c r="G317" s="146"/>
      <c r="H317" s="146"/>
      <c r="I317" s="146"/>
      <c r="J317" s="146"/>
      <c r="K317" s="1"/>
      <c r="L317" s="2"/>
      <c r="M317" s="1"/>
      <c r="N317" s="1"/>
      <c r="O317" s="145" t="str">
        <f>"　　※但　　参加費等収入（"&amp;領収証内訳!$X$4&amp;"分）として"</f>
        <v>　　※但　　参加費等収入（４月分）として</v>
      </c>
      <c r="P317" s="139"/>
      <c r="Q317" s="139"/>
      <c r="R317" s="139"/>
      <c r="S317" s="139"/>
      <c r="T317" s="139"/>
      <c r="U317" s="139"/>
      <c r="V317" s="1"/>
    </row>
    <row r="318" spans="2:22" ht="9.9499999999999993" customHeight="1">
      <c r="B318" s="1"/>
      <c r="C318" s="1"/>
      <c r="D318" s="1"/>
      <c r="E318" s="1"/>
      <c r="F318" s="1"/>
      <c r="G318" s="1"/>
      <c r="H318" s="1"/>
      <c r="I318" s="1"/>
      <c r="J318" s="1"/>
      <c r="K318" s="1"/>
      <c r="L318" s="2"/>
      <c r="M318" s="1"/>
      <c r="N318" s="1"/>
      <c r="O318" s="1"/>
      <c r="P318" s="1"/>
      <c r="Q318" s="1"/>
      <c r="R318" s="1"/>
      <c r="S318" s="1"/>
      <c r="T318" s="1"/>
      <c r="U318" s="1"/>
      <c r="V318" s="1"/>
    </row>
    <row r="319" spans="2:22" ht="18.75">
      <c r="B319" s="1"/>
      <c r="C319" s="1"/>
      <c r="D319" s="1"/>
      <c r="E319" s="17" t="s">
        <v>7</v>
      </c>
      <c r="F319" s="1"/>
      <c r="G319" s="1"/>
      <c r="H319" s="1"/>
      <c r="I319" s="1"/>
      <c r="J319" s="1"/>
      <c r="K319" s="1"/>
      <c r="L319" s="2"/>
      <c r="M319" s="1"/>
      <c r="N319" s="1"/>
      <c r="O319" s="1"/>
      <c r="P319" s="17" t="s">
        <v>7</v>
      </c>
      <c r="Q319" s="1"/>
      <c r="R319" s="1"/>
      <c r="S319" s="1"/>
      <c r="T319" s="1"/>
      <c r="U319" s="1"/>
      <c r="V319" s="1"/>
    </row>
    <row r="320" spans="2:22" ht="6" customHeight="1">
      <c r="B320" s="1"/>
      <c r="C320" s="1"/>
      <c r="D320" s="1"/>
      <c r="E320" s="1"/>
      <c r="F320" s="1"/>
      <c r="G320" s="1"/>
      <c r="H320" s="1"/>
      <c r="I320" s="1"/>
      <c r="J320" s="1"/>
      <c r="K320" s="1"/>
      <c r="L320" s="2"/>
      <c r="M320" s="1"/>
      <c r="N320" s="1"/>
      <c r="O320" s="1"/>
      <c r="P320" s="1"/>
      <c r="Q320" s="1"/>
      <c r="R320" s="1"/>
      <c r="S320" s="1"/>
      <c r="T320" s="1"/>
      <c r="U320" s="1"/>
      <c r="V320" s="1"/>
    </row>
    <row r="321" spans="2:22" ht="20.100000000000001" customHeight="1">
      <c r="B321" s="1"/>
      <c r="C321" s="1"/>
      <c r="D321" s="1"/>
      <c r="F321" s="136" t="s">
        <v>68</v>
      </c>
      <c r="G321" s="137"/>
      <c r="H321" s="147">
        <f>領収証内訳!$X$2</f>
        <v>0</v>
      </c>
      <c r="I321" s="148"/>
      <c r="J321" s="149"/>
      <c r="K321" s="150"/>
      <c r="L321" s="2"/>
      <c r="M321" s="1"/>
      <c r="N321" s="1"/>
      <c r="O321" s="1"/>
      <c r="P321" s="5"/>
      <c r="Q321" s="136" t="s">
        <v>68</v>
      </c>
      <c r="R321" s="137"/>
      <c r="S321" s="147">
        <f>領収証内訳!$X$2</f>
        <v>0</v>
      </c>
      <c r="T321" s="148"/>
      <c r="U321" s="153"/>
      <c r="V321" s="153"/>
    </row>
    <row r="322" spans="2:22" ht="20.100000000000001" customHeight="1">
      <c r="B322" s="1"/>
      <c r="C322" s="1"/>
      <c r="D322" s="1"/>
      <c r="F322" s="138" t="s">
        <v>67</v>
      </c>
      <c r="G322" s="139"/>
      <c r="H322" s="151">
        <f>領収証内訳!$AA$2</f>
        <v>0</v>
      </c>
      <c r="I322" s="152"/>
      <c r="J322" s="9" t="s">
        <v>8</v>
      </c>
      <c r="K322" s="9"/>
      <c r="L322" s="12"/>
      <c r="M322" s="1"/>
      <c r="N322" s="1"/>
      <c r="O322" s="1"/>
      <c r="P322" s="5"/>
      <c r="Q322" s="138" t="s">
        <v>67</v>
      </c>
      <c r="R322" s="139"/>
      <c r="S322" s="151">
        <f>領収証内訳!$AA$2</f>
        <v>0</v>
      </c>
      <c r="T322" s="152"/>
      <c r="U322" s="9" t="s">
        <v>8</v>
      </c>
      <c r="V322" s="9"/>
    </row>
    <row r="323" spans="2:22" ht="6.95" customHeight="1">
      <c r="B323" s="10"/>
      <c r="C323" s="10"/>
      <c r="D323" s="10"/>
      <c r="E323" s="10"/>
      <c r="F323" s="13"/>
      <c r="G323" s="14"/>
      <c r="H323" s="10"/>
      <c r="I323" s="10"/>
      <c r="J323" s="11"/>
      <c r="K323" s="11"/>
      <c r="L323" s="15"/>
      <c r="M323" s="10"/>
      <c r="N323" s="10"/>
      <c r="O323" s="10"/>
      <c r="P323" s="10"/>
      <c r="Q323" s="13"/>
      <c r="R323" s="14"/>
      <c r="S323" s="10"/>
      <c r="T323" s="10"/>
      <c r="U323" s="11"/>
      <c r="V323" s="11"/>
    </row>
    <row r="324" spans="2:22" ht="10.5" customHeight="1">
      <c r="B324" s="1"/>
      <c r="C324" s="1"/>
      <c r="D324" s="1"/>
      <c r="E324" s="1"/>
      <c r="F324" s="1"/>
      <c r="G324" s="1"/>
      <c r="H324" s="1"/>
      <c r="I324" s="1"/>
      <c r="J324" s="1"/>
      <c r="K324" s="1"/>
      <c r="L324" s="2"/>
      <c r="M324" s="1"/>
      <c r="N324" s="1"/>
      <c r="O324" s="1"/>
      <c r="P324" s="1"/>
      <c r="Q324" s="1"/>
      <c r="R324" s="1"/>
      <c r="S324" s="1"/>
      <c r="T324" s="1"/>
      <c r="U324" s="1"/>
      <c r="V324" s="1"/>
    </row>
    <row r="325" spans="2:22" ht="21">
      <c r="B325" s="1"/>
      <c r="C325" s="1"/>
      <c r="D325" s="4" t="s">
        <v>4</v>
      </c>
      <c r="E325" s="1"/>
      <c r="F325" s="1"/>
      <c r="G325" s="1"/>
      <c r="H325" s="1"/>
      <c r="I325" s="1"/>
      <c r="J325" s="1"/>
      <c r="K325" s="1"/>
      <c r="L325" s="2"/>
      <c r="M325" s="1"/>
      <c r="N325" s="1"/>
      <c r="O325" s="4" t="s">
        <v>4</v>
      </c>
      <c r="P325" s="1"/>
      <c r="Q325" s="1"/>
      <c r="R325" s="1"/>
      <c r="S325" s="1"/>
      <c r="T325" s="1"/>
      <c r="U325" s="1"/>
      <c r="V325" s="1"/>
    </row>
    <row r="326" spans="2:22" ht="8.25" customHeight="1">
      <c r="B326" s="1"/>
      <c r="C326" s="1"/>
      <c r="D326" s="1"/>
      <c r="E326" s="1"/>
      <c r="F326" s="1"/>
      <c r="G326" s="1"/>
      <c r="H326" s="1"/>
      <c r="I326" s="1"/>
      <c r="J326" s="1"/>
      <c r="K326" s="1"/>
      <c r="L326" s="2"/>
      <c r="M326" s="1"/>
      <c r="N326" s="1"/>
      <c r="O326" s="1"/>
      <c r="P326" s="1"/>
      <c r="Q326" s="1"/>
      <c r="R326" s="1"/>
      <c r="S326" s="1"/>
      <c r="T326" s="1"/>
      <c r="U326" s="1"/>
      <c r="V326" s="1"/>
    </row>
    <row r="327" spans="2:22" ht="18.75">
      <c r="B327" s="1"/>
      <c r="C327" s="1"/>
      <c r="D327" s="1"/>
      <c r="E327" s="1"/>
      <c r="F327" s="140">
        <f>領収証内訳!$AA$3</f>
        <v>46275</v>
      </c>
      <c r="G327" s="141"/>
      <c r="H327" s="141"/>
      <c r="I327" s="141"/>
      <c r="J327" s="141"/>
      <c r="K327" s="1"/>
      <c r="L327" s="2"/>
      <c r="M327" s="1"/>
      <c r="N327" s="1"/>
      <c r="O327" s="1"/>
      <c r="P327" s="1"/>
      <c r="Q327" s="140">
        <f>領収証内訳!$AA$3</f>
        <v>46275</v>
      </c>
      <c r="R327" s="142"/>
      <c r="S327" s="142"/>
      <c r="T327" s="142"/>
      <c r="U327" s="142"/>
      <c r="V327" s="1"/>
    </row>
    <row r="328" spans="2:22" ht="9.9499999999999993" customHeight="1">
      <c r="B328" s="1"/>
      <c r="C328" s="1"/>
      <c r="D328" s="1"/>
      <c r="E328" s="1"/>
      <c r="F328" s="1"/>
      <c r="G328" s="1"/>
      <c r="H328" s="1"/>
      <c r="I328" s="1"/>
      <c r="J328" s="1"/>
      <c r="K328" s="1"/>
      <c r="L328" s="2"/>
      <c r="M328" s="1"/>
      <c r="N328" s="1"/>
      <c r="O328" s="1"/>
      <c r="P328" s="1"/>
      <c r="Q328" s="1"/>
      <c r="R328" s="1"/>
      <c r="S328" s="1"/>
      <c r="T328" s="1"/>
      <c r="U328" s="1"/>
      <c r="V328" s="1"/>
    </row>
    <row r="329" spans="2:22" ht="18.75">
      <c r="B329" s="154" t="str">
        <f ca="1">INDIRECT("領収証内訳!"&amp;$Z$2&amp;$X274+6)&amp;" さん保護者　様"</f>
        <v xml:space="preserve"> さん保護者　様</v>
      </c>
      <c r="C329" s="155"/>
      <c r="D329" s="156"/>
      <c r="E329" s="156"/>
      <c r="F329" s="156"/>
      <c r="G329" s="1"/>
      <c r="H329" s="1"/>
      <c r="I329" s="1"/>
      <c r="J329" s="1"/>
      <c r="K329" s="1"/>
      <c r="L329" s="2"/>
      <c r="M329" s="154" t="str">
        <f ca="1">INDIRECT("領収証内訳!"&amp;$Z$2&amp;$X274+7)&amp;" さん保護者　様"</f>
        <v xml:space="preserve"> さん保護者　様</v>
      </c>
      <c r="N329" s="155"/>
      <c r="O329" s="157"/>
      <c r="P329" s="157"/>
      <c r="Q329" s="157"/>
      <c r="R329" s="1"/>
      <c r="S329" s="1"/>
      <c r="T329" s="1"/>
      <c r="U329" s="1"/>
      <c r="V329" s="1"/>
    </row>
    <row r="330" spans="2:22">
      <c r="B330" s="1"/>
      <c r="C330" s="1"/>
      <c r="D330" s="1"/>
      <c r="E330" s="1"/>
      <c r="F330" s="1"/>
      <c r="G330" s="1"/>
      <c r="H330" s="1"/>
      <c r="I330" s="1"/>
      <c r="J330" s="1"/>
      <c r="K330" s="1"/>
      <c r="L330" s="2"/>
      <c r="M330" s="1"/>
      <c r="N330" s="1"/>
      <c r="O330" s="1"/>
      <c r="P330" s="1"/>
      <c r="Q330" s="1"/>
      <c r="R330" s="1"/>
      <c r="S330" s="1"/>
      <c r="T330" s="1"/>
      <c r="U330" s="1"/>
      <c r="V330" s="1"/>
    </row>
    <row r="331" spans="2:22" ht="7.5" customHeight="1">
      <c r="B331" s="1"/>
      <c r="C331" s="1"/>
      <c r="D331" s="1"/>
      <c r="E331" s="1"/>
      <c r="F331" s="1"/>
      <c r="G331" s="1"/>
      <c r="H331" s="1"/>
      <c r="I331" s="1"/>
      <c r="J331" s="1"/>
      <c r="K331" s="1"/>
      <c r="L331" s="2"/>
      <c r="M331" s="1"/>
      <c r="N331" s="1"/>
      <c r="O331" s="1"/>
      <c r="P331" s="1"/>
      <c r="Q331" s="1"/>
      <c r="R331" s="1"/>
      <c r="S331" s="1"/>
      <c r="T331" s="1"/>
      <c r="U331" s="1"/>
      <c r="V331" s="1"/>
    </row>
    <row r="332" spans="2:22" ht="21">
      <c r="B332" s="1"/>
      <c r="C332" s="5"/>
      <c r="D332" s="6" t="s">
        <v>5</v>
      </c>
      <c r="E332" s="143">
        <f ca="1">INDIRECT("領収証内訳!"&amp;$Y$2&amp;$X274+6)</f>
        <v>0</v>
      </c>
      <c r="F332" s="144"/>
      <c r="G332" s="7" t="s">
        <v>6</v>
      </c>
      <c r="H332" s="8"/>
      <c r="I332" s="1"/>
      <c r="J332" s="1"/>
      <c r="K332" s="1"/>
      <c r="L332" s="2"/>
      <c r="M332" s="1"/>
      <c r="N332" s="5"/>
      <c r="O332" s="6" t="s">
        <v>5</v>
      </c>
      <c r="P332" s="143">
        <f ca="1">INDIRECT("領収証内訳!"&amp;$Y$2&amp;$X274+7)</f>
        <v>0</v>
      </c>
      <c r="Q332" s="144"/>
      <c r="R332" s="7" t="s">
        <v>6</v>
      </c>
      <c r="S332" s="8"/>
      <c r="T332" s="1"/>
      <c r="U332" s="1"/>
      <c r="V332" s="1"/>
    </row>
    <row r="333" spans="2:22">
      <c r="B333" s="1"/>
      <c r="C333" s="1"/>
      <c r="D333" s="1"/>
      <c r="E333" s="1"/>
      <c r="F333" s="1"/>
      <c r="G333" s="1"/>
      <c r="H333" s="1"/>
      <c r="I333" s="1"/>
      <c r="J333" s="1"/>
      <c r="K333" s="1"/>
      <c r="L333" s="2"/>
      <c r="M333" s="1"/>
      <c r="N333" s="1"/>
      <c r="O333" s="1"/>
      <c r="P333" s="1"/>
      <c r="Q333" s="1"/>
      <c r="R333" s="1"/>
      <c r="S333" s="1"/>
      <c r="T333" s="1"/>
      <c r="U333" s="1"/>
      <c r="V333" s="1"/>
    </row>
    <row r="334" spans="2:22" ht="18.75">
      <c r="B334" s="1"/>
      <c r="C334" s="1"/>
      <c r="D334" s="145" t="str">
        <f>"　　※但　　参加費等収入（"&amp;領収証内訳!$X$4&amp;"分）として"</f>
        <v>　　※但　　参加費等収入（４月分）として</v>
      </c>
      <c r="E334" s="146"/>
      <c r="F334" s="146"/>
      <c r="G334" s="146"/>
      <c r="H334" s="146"/>
      <c r="I334" s="146"/>
      <c r="J334" s="146"/>
      <c r="K334" s="1"/>
      <c r="L334" s="2"/>
      <c r="M334" s="1"/>
      <c r="N334" s="1"/>
      <c r="O334" s="145" t="str">
        <f>"　　※但　　参加費等収入（"&amp;領収証内訳!$X$4&amp;"分）として"</f>
        <v>　　※但　　参加費等収入（４月分）として</v>
      </c>
      <c r="P334" s="139"/>
      <c r="Q334" s="139"/>
      <c r="R334" s="139"/>
      <c r="S334" s="139"/>
      <c r="T334" s="139"/>
      <c r="U334" s="139"/>
      <c r="V334" s="1"/>
    </row>
    <row r="335" spans="2:22">
      <c r="B335" s="1"/>
      <c r="C335" s="1"/>
      <c r="D335" s="1"/>
      <c r="E335" s="1"/>
      <c r="F335" s="1"/>
      <c r="G335" s="1"/>
      <c r="H335" s="1"/>
      <c r="I335" s="1"/>
      <c r="J335" s="1"/>
      <c r="K335" s="1"/>
      <c r="L335" s="2"/>
      <c r="M335" s="1"/>
      <c r="N335" s="1"/>
      <c r="O335" s="1"/>
      <c r="P335" s="1"/>
      <c r="Q335" s="1"/>
      <c r="R335" s="1"/>
      <c r="S335" s="1"/>
      <c r="T335" s="1"/>
      <c r="U335" s="1"/>
      <c r="V335" s="1"/>
    </row>
    <row r="336" spans="2:22" ht="18.75">
      <c r="B336" s="1"/>
      <c r="C336" s="1"/>
      <c r="D336" s="1"/>
      <c r="E336" s="17" t="s">
        <v>7</v>
      </c>
      <c r="F336" s="1"/>
      <c r="G336" s="1"/>
      <c r="H336" s="1"/>
      <c r="I336" s="1"/>
      <c r="J336" s="1"/>
      <c r="K336" s="1"/>
      <c r="L336" s="2"/>
      <c r="M336" s="1"/>
      <c r="N336" s="1"/>
      <c r="O336" s="1"/>
      <c r="P336" s="17" t="s">
        <v>7</v>
      </c>
      <c r="Q336" s="1"/>
      <c r="R336" s="1"/>
      <c r="S336" s="1"/>
      <c r="T336" s="1"/>
      <c r="U336" s="1"/>
      <c r="V336" s="1"/>
    </row>
    <row r="337" spans="2:24" ht="6" customHeight="1">
      <c r="B337" s="1"/>
      <c r="C337" s="1"/>
      <c r="D337" s="1"/>
      <c r="E337" s="1"/>
      <c r="F337" s="1"/>
      <c r="G337" s="1"/>
      <c r="H337" s="1"/>
      <c r="I337" s="1"/>
      <c r="J337" s="1"/>
      <c r="K337" s="1"/>
      <c r="L337" s="2"/>
      <c r="M337" s="1"/>
      <c r="N337" s="1"/>
      <c r="O337" s="1"/>
      <c r="P337" s="1"/>
      <c r="Q337" s="1"/>
      <c r="R337" s="1"/>
      <c r="S337" s="1"/>
      <c r="T337" s="1"/>
      <c r="U337" s="1"/>
      <c r="V337" s="1"/>
    </row>
    <row r="338" spans="2:24" ht="20.100000000000001" customHeight="1">
      <c r="B338" s="1"/>
      <c r="C338" s="1"/>
      <c r="D338" s="1"/>
      <c r="F338" s="136" t="s">
        <v>68</v>
      </c>
      <c r="G338" s="137"/>
      <c r="H338" s="147">
        <f>領収証内訳!$X$2</f>
        <v>0</v>
      </c>
      <c r="I338" s="148"/>
      <c r="J338" s="149"/>
      <c r="K338" s="150"/>
      <c r="L338" s="2"/>
      <c r="M338" s="1"/>
      <c r="N338" s="1"/>
      <c r="O338" s="1"/>
      <c r="P338" s="5"/>
      <c r="Q338" s="136" t="s">
        <v>68</v>
      </c>
      <c r="R338" s="137"/>
      <c r="S338" s="147">
        <f>領収証内訳!$X$2</f>
        <v>0</v>
      </c>
      <c r="T338" s="148"/>
      <c r="U338" s="153"/>
      <c r="V338" s="153"/>
    </row>
    <row r="339" spans="2:24" ht="20.100000000000001" customHeight="1">
      <c r="B339" s="1"/>
      <c r="C339" s="1"/>
      <c r="D339" s="1"/>
      <c r="F339" s="138" t="s">
        <v>67</v>
      </c>
      <c r="G339" s="139"/>
      <c r="H339" s="151">
        <f>領収証内訳!$AA$2</f>
        <v>0</v>
      </c>
      <c r="I339" s="152"/>
      <c r="J339" s="9" t="s">
        <v>8</v>
      </c>
      <c r="K339" s="9"/>
      <c r="L339" s="12"/>
      <c r="M339" s="1"/>
      <c r="N339" s="1"/>
      <c r="O339" s="1"/>
      <c r="P339" s="5"/>
      <c r="Q339" s="138" t="s">
        <v>67</v>
      </c>
      <c r="R339" s="139"/>
      <c r="S339" s="151">
        <f>領収証内訳!$AA$2</f>
        <v>0</v>
      </c>
      <c r="T339" s="152"/>
      <c r="U339" s="9" t="s">
        <v>8</v>
      </c>
      <c r="V339" s="9"/>
    </row>
    <row r="340" spans="2:24" ht="5.25" customHeight="1">
      <c r="B340" s="1"/>
      <c r="C340" s="1"/>
      <c r="D340" s="1"/>
      <c r="E340" s="1"/>
      <c r="F340" s="16"/>
      <c r="G340" s="5"/>
      <c r="H340" s="1"/>
      <c r="I340" s="1"/>
      <c r="J340" s="9"/>
      <c r="K340" s="9"/>
      <c r="L340" s="12"/>
      <c r="M340" s="1"/>
      <c r="N340" s="1"/>
      <c r="O340" s="1"/>
      <c r="P340" s="1"/>
      <c r="Q340" s="16"/>
      <c r="R340" s="5"/>
      <c r="S340" s="1"/>
      <c r="T340" s="1"/>
      <c r="U340" s="9"/>
      <c r="V340" s="9"/>
    </row>
    <row r="341" spans="2:24" ht="10.5" customHeight="1">
      <c r="B341" s="1"/>
      <c r="C341" s="1"/>
      <c r="D341" s="1"/>
      <c r="E341" s="1"/>
      <c r="F341" s="1"/>
      <c r="G341" s="1"/>
      <c r="H341" s="1"/>
      <c r="I341" s="1"/>
      <c r="J341" s="1"/>
      <c r="K341" s="1"/>
      <c r="L341" s="2"/>
      <c r="M341" s="1"/>
      <c r="N341" s="1"/>
      <c r="O341" s="1"/>
      <c r="P341" s="1"/>
      <c r="Q341" s="1"/>
      <c r="R341" s="1"/>
      <c r="S341" s="1"/>
      <c r="T341" s="1"/>
      <c r="U341" s="1"/>
      <c r="V341" s="1"/>
    </row>
    <row r="342" spans="2:24" ht="21">
      <c r="B342" s="1"/>
      <c r="C342" s="1"/>
      <c r="D342" s="4" t="s">
        <v>4</v>
      </c>
      <c r="E342" s="1"/>
      <c r="F342" s="1"/>
      <c r="G342" s="1"/>
      <c r="H342" s="1"/>
      <c r="I342" s="1"/>
      <c r="J342" s="1"/>
      <c r="K342" s="1"/>
      <c r="L342" s="2"/>
      <c r="M342" s="1"/>
      <c r="N342" s="1"/>
      <c r="O342" s="4" t="s">
        <v>4</v>
      </c>
      <c r="P342" s="1"/>
      <c r="Q342" s="1"/>
      <c r="R342" s="1"/>
      <c r="S342" s="1"/>
      <c r="T342" s="1"/>
      <c r="U342" s="1"/>
      <c r="V342" s="1"/>
      <c r="X342" s="3">
        <f>X274+8</f>
        <v>45</v>
      </c>
    </row>
    <row r="343" spans="2:24" ht="8.25" customHeight="1">
      <c r="B343" s="1"/>
      <c r="C343" s="1"/>
      <c r="D343" s="1"/>
      <c r="E343" s="1"/>
      <c r="F343" s="1"/>
      <c r="G343" s="1"/>
      <c r="H343" s="1"/>
      <c r="I343" s="1"/>
      <c r="J343" s="1"/>
      <c r="K343" s="1"/>
      <c r="L343" s="2"/>
      <c r="M343" s="1"/>
      <c r="N343" s="1"/>
      <c r="O343" s="1"/>
      <c r="P343" s="1"/>
      <c r="Q343" s="1"/>
      <c r="R343" s="1"/>
      <c r="S343" s="1"/>
      <c r="T343" s="1"/>
      <c r="U343" s="1"/>
      <c r="V343" s="1"/>
    </row>
    <row r="344" spans="2:24" ht="18.75">
      <c r="B344" s="1"/>
      <c r="C344" s="1"/>
      <c r="D344" s="1"/>
      <c r="E344" s="1"/>
      <c r="F344" s="140">
        <f>領収証内訳!$AA$3</f>
        <v>46275</v>
      </c>
      <c r="G344" s="141"/>
      <c r="H344" s="141"/>
      <c r="I344" s="141"/>
      <c r="J344" s="141"/>
      <c r="K344" s="1"/>
      <c r="L344" s="2"/>
      <c r="M344" s="1"/>
      <c r="N344" s="1"/>
      <c r="O344" s="1"/>
      <c r="P344" s="1"/>
      <c r="Q344" s="140">
        <f>領収証内訳!$AA$3</f>
        <v>46275</v>
      </c>
      <c r="R344" s="142"/>
      <c r="S344" s="142"/>
      <c r="T344" s="142"/>
      <c r="U344" s="142"/>
      <c r="V344" s="1"/>
    </row>
    <row r="345" spans="2:24" ht="9.9499999999999993" customHeight="1">
      <c r="B345" s="1"/>
      <c r="C345" s="1"/>
      <c r="D345" s="1"/>
      <c r="E345" s="1"/>
      <c r="F345" s="1"/>
      <c r="G345" s="1"/>
      <c r="H345" s="1"/>
      <c r="I345" s="1"/>
      <c r="J345" s="1"/>
      <c r="K345" s="1"/>
      <c r="L345" s="2"/>
      <c r="M345" s="1"/>
      <c r="N345" s="1"/>
      <c r="O345" s="1"/>
      <c r="P345" s="1"/>
      <c r="Q345" s="1"/>
      <c r="R345" s="1"/>
      <c r="S345" s="1"/>
      <c r="T345" s="1"/>
      <c r="U345" s="1"/>
      <c r="V345" s="1"/>
    </row>
    <row r="346" spans="2:24" ht="18.75">
      <c r="B346" s="154" t="str">
        <f ca="1">INDIRECT("領収証内訳!"&amp;$Z$2&amp;$X342)&amp;" さん保護者　様"</f>
        <v xml:space="preserve"> さん保護者　様</v>
      </c>
      <c r="C346" s="155"/>
      <c r="D346" s="156"/>
      <c r="E346" s="156"/>
      <c r="F346" s="156"/>
      <c r="G346" s="1"/>
      <c r="H346" s="1"/>
      <c r="I346" s="1"/>
      <c r="J346" s="1"/>
      <c r="K346" s="1"/>
      <c r="L346" s="2"/>
      <c r="M346" s="154" t="str">
        <f ca="1">INDIRECT("領収証内訳!"&amp;$Z$2&amp;$X342+1)&amp;" さん保護者　様"</f>
        <v xml:space="preserve"> さん保護者　様</v>
      </c>
      <c r="N346" s="155"/>
      <c r="O346" s="157"/>
      <c r="P346" s="157"/>
      <c r="Q346" s="157"/>
      <c r="R346" s="1"/>
      <c r="S346" s="1"/>
      <c r="T346" s="1"/>
      <c r="U346" s="1"/>
      <c r="V346" s="1"/>
    </row>
    <row r="347" spans="2:24" ht="9.9499999999999993" customHeight="1">
      <c r="B347" s="1"/>
      <c r="C347" s="1"/>
      <c r="D347" s="1"/>
      <c r="E347" s="1"/>
      <c r="F347" s="1"/>
      <c r="G347" s="1"/>
      <c r="H347" s="1"/>
      <c r="I347" s="1"/>
      <c r="J347" s="1"/>
      <c r="K347" s="1"/>
      <c r="L347" s="2"/>
      <c r="M347" s="1"/>
      <c r="N347" s="1"/>
      <c r="O347" s="1"/>
      <c r="P347" s="1"/>
      <c r="Q347" s="1"/>
      <c r="R347" s="1"/>
      <c r="S347" s="1"/>
      <c r="T347" s="1"/>
      <c r="U347" s="1"/>
      <c r="V347" s="1"/>
    </row>
    <row r="348" spans="2:24" ht="7.5" customHeight="1">
      <c r="B348" s="1"/>
      <c r="C348" s="1"/>
      <c r="D348" s="1"/>
      <c r="E348" s="1"/>
      <c r="F348" s="1"/>
      <c r="G348" s="1"/>
      <c r="H348" s="1"/>
      <c r="I348" s="1"/>
      <c r="J348" s="1"/>
      <c r="K348" s="1"/>
      <c r="L348" s="2"/>
      <c r="M348" s="1"/>
      <c r="N348" s="1"/>
      <c r="O348" s="1"/>
      <c r="P348" s="1"/>
      <c r="Q348" s="1"/>
      <c r="R348" s="1"/>
      <c r="S348" s="1"/>
      <c r="T348" s="1"/>
      <c r="U348" s="1"/>
      <c r="V348" s="1"/>
    </row>
    <row r="349" spans="2:24" ht="21">
      <c r="B349" s="1"/>
      <c r="C349" s="5"/>
      <c r="D349" s="6" t="s">
        <v>5</v>
      </c>
      <c r="E349" s="143">
        <f ca="1">INDIRECT("領収証内訳!"&amp;$Y$2&amp;$X342)</f>
        <v>0</v>
      </c>
      <c r="F349" s="144"/>
      <c r="G349" s="7" t="s">
        <v>6</v>
      </c>
      <c r="H349" s="8"/>
      <c r="I349" s="1"/>
      <c r="J349" s="1"/>
      <c r="K349" s="1"/>
      <c r="L349" s="2"/>
      <c r="M349" s="1"/>
      <c r="N349" s="5"/>
      <c r="O349" s="6" t="s">
        <v>5</v>
      </c>
      <c r="P349" s="143">
        <f ca="1">INDIRECT("領収証内訳!"&amp;$Y$2&amp;$X342+1)</f>
        <v>0</v>
      </c>
      <c r="Q349" s="144"/>
      <c r="R349" s="7" t="s">
        <v>6</v>
      </c>
      <c r="S349" s="8"/>
      <c r="T349" s="1"/>
      <c r="U349" s="1"/>
      <c r="V349" s="1"/>
    </row>
    <row r="350" spans="2:24">
      <c r="B350" s="1"/>
      <c r="C350" s="1"/>
      <c r="D350" s="1"/>
      <c r="E350" s="1"/>
      <c r="F350" s="1"/>
      <c r="G350" s="1"/>
      <c r="H350" s="1"/>
      <c r="I350" s="1"/>
      <c r="J350" s="1"/>
      <c r="K350" s="1"/>
      <c r="L350" s="2"/>
      <c r="M350" s="1"/>
      <c r="N350" s="1"/>
      <c r="O350" s="1"/>
      <c r="P350" s="1"/>
      <c r="Q350" s="1"/>
      <c r="R350" s="1"/>
      <c r="S350" s="1"/>
      <c r="T350" s="1"/>
      <c r="U350" s="1"/>
      <c r="V350" s="1"/>
    </row>
    <row r="351" spans="2:24" ht="18.75">
      <c r="B351" s="1"/>
      <c r="C351" s="1"/>
      <c r="D351" s="145" t="str">
        <f>"　　※但　　参加費等収入（"&amp;領収証内訳!$X$4&amp;"分）として"</f>
        <v>　　※但　　参加費等収入（４月分）として</v>
      </c>
      <c r="E351" s="146"/>
      <c r="F351" s="146"/>
      <c r="G351" s="146"/>
      <c r="H351" s="146"/>
      <c r="I351" s="146"/>
      <c r="J351" s="146"/>
      <c r="K351" s="1"/>
      <c r="L351" s="2"/>
      <c r="M351" s="1"/>
      <c r="N351" s="1"/>
      <c r="O351" s="145" t="str">
        <f>"　　※但　　参加費等収入（"&amp;領収証内訳!$X$4&amp;"分）として"</f>
        <v>　　※但　　参加費等収入（４月分）として</v>
      </c>
      <c r="P351" s="139"/>
      <c r="Q351" s="139"/>
      <c r="R351" s="139"/>
      <c r="S351" s="139"/>
      <c r="T351" s="139"/>
      <c r="U351" s="139"/>
      <c r="V351" s="1"/>
    </row>
    <row r="352" spans="2:24" ht="9.9499999999999993" customHeight="1">
      <c r="B352" s="1"/>
      <c r="C352" s="1"/>
      <c r="D352" s="1"/>
      <c r="E352" s="1"/>
      <c r="F352" s="1"/>
      <c r="G352" s="1"/>
      <c r="H352" s="1"/>
      <c r="I352" s="1"/>
      <c r="J352" s="1"/>
      <c r="K352" s="1"/>
      <c r="L352" s="2"/>
      <c r="M352" s="1"/>
      <c r="N352" s="1"/>
      <c r="O352" s="1"/>
      <c r="P352" s="1"/>
      <c r="Q352" s="1"/>
      <c r="R352" s="1"/>
      <c r="S352" s="1"/>
      <c r="T352" s="1"/>
      <c r="U352" s="1"/>
      <c r="V352" s="1"/>
    </row>
    <row r="353" spans="2:22" ht="18.75">
      <c r="B353" s="1"/>
      <c r="C353" s="1"/>
      <c r="D353" s="1"/>
      <c r="E353" s="17" t="s">
        <v>7</v>
      </c>
      <c r="F353" s="1"/>
      <c r="G353" s="1"/>
      <c r="H353" s="1"/>
      <c r="I353" s="1"/>
      <c r="J353" s="1"/>
      <c r="K353" s="1"/>
      <c r="L353" s="2"/>
      <c r="M353" s="1"/>
      <c r="N353" s="1"/>
      <c r="O353" s="1"/>
      <c r="P353" s="17" t="s">
        <v>7</v>
      </c>
      <c r="Q353" s="1"/>
      <c r="R353" s="1"/>
      <c r="S353" s="1"/>
      <c r="T353" s="1"/>
      <c r="U353" s="1"/>
      <c r="V353" s="1"/>
    </row>
    <row r="354" spans="2:22" ht="6" customHeight="1">
      <c r="B354" s="1"/>
      <c r="C354" s="1"/>
      <c r="D354" s="1"/>
      <c r="E354" s="1"/>
      <c r="F354" s="1"/>
      <c r="G354" s="1"/>
      <c r="H354" s="1"/>
      <c r="I354" s="1"/>
      <c r="J354" s="1"/>
      <c r="K354" s="1"/>
      <c r="L354" s="2"/>
      <c r="M354" s="1"/>
      <c r="N354" s="1"/>
      <c r="O354" s="1"/>
      <c r="P354" s="1"/>
      <c r="Q354" s="1"/>
      <c r="R354" s="1"/>
      <c r="S354" s="1"/>
      <c r="T354" s="1"/>
      <c r="U354" s="1"/>
      <c r="V354" s="1"/>
    </row>
    <row r="355" spans="2:22" ht="20.100000000000001" customHeight="1">
      <c r="B355" s="1"/>
      <c r="C355" s="1"/>
      <c r="D355" s="1"/>
      <c r="F355" s="136" t="s">
        <v>68</v>
      </c>
      <c r="G355" s="137"/>
      <c r="H355" s="147">
        <f>領収証内訳!$X$2</f>
        <v>0</v>
      </c>
      <c r="I355" s="148"/>
      <c r="J355" s="149"/>
      <c r="K355" s="150"/>
      <c r="L355" s="2"/>
      <c r="M355" s="1"/>
      <c r="N355" s="1"/>
      <c r="O355" s="1"/>
      <c r="P355" s="5"/>
      <c r="Q355" s="136" t="s">
        <v>68</v>
      </c>
      <c r="R355" s="137"/>
      <c r="S355" s="147">
        <f>領収証内訳!$X$2</f>
        <v>0</v>
      </c>
      <c r="T355" s="148"/>
      <c r="U355" s="153"/>
      <c r="V355" s="153"/>
    </row>
    <row r="356" spans="2:22" ht="20.100000000000001" customHeight="1">
      <c r="B356" s="1"/>
      <c r="C356" s="1"/>
      <c r="D356" s="1"/>
      <c r="F356" s="138" t="s">
        <v>67</v>
      </c>
      <c r="G356" s="139"/>
      <c r="H356" s="151">
        <f>領収証内訳!$AA$2</f>
        <v>0</v>
      </c>
      <c r="I356" s="152"/>
      <c r="J356" s="9" t="s">
        <v>8</v>
      </c>
      <c r="K356" s="9"/>
      <c r="L356" s="12"/>
      <c r="M356" s="1"/>
      <c r="N356" s="1"/>
      <c r="O356" s="1"/>
      <c r="P356" s="5"/>
      <c r="Q356" s="138" t="s">
        <v>67</v>
      </c>
      <c r="R356" s="139"/>
      <c r="S356" s="162">
        <f>領収証内訳!$AA$2</f>
        <v>0</v>
      </c>
      <c r="T356" s="163"/>
      <c r="U356" s="9" t="s">
        <v>8</v>
      </c>
      <c r="V356" s="9"/>
    </row>
    <row r="357" spans="2:22" ht="6.95" customHeight="1">
      <c r="B357" s="10"/>
      <c r="C357" s="10"/>
      <c r="D357" s="10"/>
      <c r="E357" s="10"/>
      <c r="F357" s="13"/>
      <c r="G357" s="14"/>
      <c r="H357" s="10"/>
      <c r="I357" s="10"/>
      <c r="J357" s="11"/>
      <c r="K357" s="11"/>
      <c r="L357" s="15"/>
      <c r="M357" s="10"/>
      <c r="N357" s="10"/>
      <c r="O357" s="10"/>
      <c r="P357" s="10"/>
      <c r="Q357" s="13"/>
      <c r="R357" s="14"/>
      <c r="S357" s="10"/>
      <c r="T357" s="10"/>
      <c r="U357" s="11"/>
      <c r="V357" s="11"/>
    </row>
    <row r="358" spans="2:22" ht="10.5" customHeight="1">
      <c r="B358" s="1"/>
      <c r="C358" s="1"/>
      <c r="D358" s="1"/>
      <c r="E358" s="1"/>
      <c r="F358" s="1"/>
      <c r="G358" s="1"/>
      <c r="H358" s="1"/>
      <c r="I358" s="1"/>
      <c r="J358" s="1"/>
      <c r="K358" s="1"/>
      <c r="L358" s="2"/>
      <c r="M358" s="1"/>
      <c r="N358" s="1"/>
      <c r="O358" s="1"/>
      <c r="P358" s="1"/>
      <c r="Q358" s="1"/>
      <c r="R358" s="1"/>
      <c r="S358" s="1"/>
      <c r="T358" s="1"/>
      <c r="U358" s="1"/>
      <c r="V358" s="1"/>
    </row>
    <row r="359" spans="2:22" ht="21">
      <c r="B359" s="1"/>
      <c r="C359" s="1"/>
      <c r="D359" s="4" t="s">
        <v>4</v>
      </c>
      <c r="E359" s="1"/>
      <c r="F359" s="1"/>
      <c r="G359" s="1"/>
      <c r="H359" s="1"/>
      <c r="I359" s="1"/>
      <c r="J359" s="1"/>
      <c r="K359" s="1"/>
      <c r="L359" s="2"/>
      <c r="M359" s="1"/>
      <c r="N359" s="1"/>
      <c r="O359" s="4" t="s">
        <v>4</v>
      </c>
      <c r="P359" s="1"/>
      <c r="Q359" s="1"/>
      <c r="R359" s="1"/>
      <c r="S359" s="1"/>
      <c r="T359" s="1"/>
      <c r="U359" s="1"/>
      <c r="V359" s="1"/>
    </row>
    <row r="360" spans="2:22" ht="8.25" customHeight="1">
      <c r="B360" s="1"/>
      <c r="C360" s="1"/>
      <c r="D360" s="1"/>
      <c r="E360" s="1"/>
      <c r="F360" s="1"/>
      <c r="G360" s="1"/>
      <c r="H360" s="1"/>
      <c r="I360" s="1"/>
      <c r="J360" s="1"/>
      <c r="K360" s="1"/>
      <c r="L360" s="2"/>
      <c r="M360" s="1"/>
      <c r="N360" s="1"/>
      <c r="O360" s="1"/>
      <c r="P360" s="1"/>
      <c r="Q360" s="1"/>
      <c r="R360" s="1"/>
      <c r="S360" s="1"/>
      <c r="T360" s="1"/>
      <c r="U360" s="1"/>
      <c r="V360" s="1"/>
    </row>
    <row r="361" spans="2:22" ht="18.75">
      <c r="B361" s="1"/>
      <c r="C361" s="1"/>
      <c r="D361" s="1"/>
      <c r="E361" s="1"/>
      <c r="F361" s="140">
        <f>領収証内訳!$AA$3</f>
        <v>46275</v>
      </c>
      <c r="G361" s="141"/>
      <c r="H361" s="141"/>
      <c r="I361" s="141"/>
      <c r="J361" s="141"/>
      <c r="K361" s="1"/>
      <c r="L361" s="2"/>
      <c r="M361" s="1"/>
      <c r="N361" s="1"/>
      <c r="O361" s="1"/>
      <c r="P361" s="1"/>
      <c r="Q361" s="140">
        <f>領収証内訳!$AA$3</f>
        <v>46275</v>
      </c>
      <c r="R361" s="142"/>
      <c r="S361" s="142"/>
      <c r="T361" s="142"/>
      <c r="U361" s="142"/>
      <c r="V361" s="1"/>
    </row>
    <row r="362" spans="2:22" ht="9.9499999999999993" customHeight="1">
      <c r="B362" s="1"/>
      <c r="C362" s="1"/>
      <c r="D362" s="1"/>
      <c r="E362" s="1"/>
      <c r="F362" s="1"/>
      <c r="G362" s="1"/>
      <c r="H362" s="1"/>
      <c r="I362" s="1"/>
      <c r="J362" s="1"/>
      <c r="K362" s="1"/>
      <c r="L362" s="2"/>
      <c r="M362" s="1"/>
      <c r="N362" s="1"/>
      <c r="O362" s="1"/>
      <c r="P362" s="1"/>
      <c r="Q362" s="1"/>
      <c r="R362" s="1"/>
      <c r="S362" s="1"/>
      <c r="T362" s="1"/>
      <c r="U362" s="1"/>
      <c r="V362" s="1"/>
    </row>
    <row r="363" spans="2:22" ht="18.75">
      <c r="B363" s="154" t="str">
        <f ca="1">INDIRECT("領収証内訳!"&amp;$Z$2&amp;$X342+2)&amp;" さん保護者　様"</f>
        <v xml:space="preserve"> さん保護者　様</v>
      </c>
      <c r="C363" s="155"/>
      <c r="D363" s="156"/>
      <c r="E363" s="156"/>
      <c r="F363" s="156"/>
      <c r="G363" s="1"/>
      <c r="H363" s="1"/>
      <c r="I363" s="1"/>
      <c r="J363" s="1"/>
      <c r="K363" s="1"/>
      <c r="L363" s="2"/>
      <c r="M363" s="154" t="str">
        <f ca="1">INDIRECT("領収証内訳!"&amp;$Z$2&amp;$X342+3)&amp;" さん保護者　様"</f>
        <v xml:space="preserve"> さん保護者　様</v>
      </c>
      <c r="N363" s="155"/>
      <c r="O363" s="157"/>
      <c r="P363" s="157"/>
      <c r="Q363" s="157"/>
      <c r="R363" s="1"/>
      <c r="S363" s="1"/>
      <c r="T363" s="1"/>
      <c r="U363" s="1"/>
      <c r="V363" s="1"/>
    </row>
    <row r="364" spans="2:22" ht="9.9499999999999993" customHeight="1">
      <c r="B364" s="1"/>
      <c r="C364" s="1"/>
      <c r="D364" s="1"/>
      <c r="E364" s="1"/>
      <c r="F364" s="1"/>
      <c r="G364" s="1"/>
      <c r="H364" s="1"/>
      <c r="I364" s="1"/>
      <c r="J364" s="1"/>
      <c r="K364" s="1"/>
      <c r="L364" s="2"/>
      <c r="M364" s="1"/>
      <c r="N364" s="1"/>
      <c r="O364" s="1"/>
      <c r="P364" s="1"/>
      <c r="Q364" s="1"/>
      <c r="R364" s="1"/>
      <c r="S364" s="1"/>
      <c r="T364" s="1"/>
      <c r="U364" s="1"/>
      <c r="V364" s="1"/>
    </row>
    <row r="365" spans="2:22" ht="7.5" customHeight="1">
      <c r="B365" s="1"/>
      <c r="C365" s="1"/>
      <c r="D365" s="1"/>
      <c r="E365" s="1"/>
      <c r="F365" s="1"/>
      <c r="G365" s="1"/>
      <c r="H365" s="1"/>
      <c r="I365" s="1"/>
      <c r="J365" s="1"/>
      <c r="K365" s="1"/>
      <c r="L365" s="2"/>
      <c r="M365" s="1"/>
      <c r="N365" s="1"/>
      <c r="O365" s="1"/>
      <c r="P365" s="1"/>
      <c r="Q365" s="1"/>
      <c r="R365" s="1"/>
      <c r="S365" s="1"/>
      <c r="T365" s="1"/>
      <c r="U365" s="1"/>
      <c r="V365" s="1"/>
    </row>
    <row r="366" spans="2:22" ht="21">
      <c r="B366" s="1"/>
      <c r="C366" s="5"/>
      <c r="D366" s="6" t="s">
        <v>5</v>
      </c>
      <c r="E366" s="143">
        <f ca="1">INDIRECT("領収証内訳!"&amp;$Y$2&amp;$X342+2)</f>
        <v>0</v>
      </c>
      <c r="F366" s="144"/>
      <c r="G366" s="7" t="s">
        <v>6</v>
      </c>
      <c r="H366" s="8"/>
      <c r="I366" s="1"/>
      <c r="J366" s="1"/>
      <c r="K366" s="1"/>
      <c r="L366" s="2"/>
      <c r="M366" s="1"/>
      <c r="N366" s="5"/>
      <c r="O366" s="6" t="s">
        <v>5</v>
      </c>
      <c r="P366" s="143">
        <f ca="1">INDIRECT("領収証内訳!"&amp;$Y$2&amp;$X342+3)</f>
        <v>0</v>
      </c>
      <c r="Q366" s="144"/>
      <c r="R366" s="7" t="s">
        <v>6</v>
      </c>
      <c r="S366" s="8"/>
      <c r="T366" s="1"/>
      <c r="U366" s="1"/>
      <c r="V366" s="1"/>
    </row>
    <row r="367" spans="2:22">
      <c r="B367" s="1"/>
      <c r="C367" s="1"/>
      <c r="D367" s="1"/>
      <c r="E367" s="1"/>
      <c r="F367" s="1"/>
      <c r="G367" s="1"/>
      <c r="H367" s="1"/>
      <c r="I367" s="1"/>
      <c r="J367" s="1"/>
      <c r="K367" s="1"/>
      <c r="L367" s="2"/>
      <c r="M367" s="1"/>
      <c r="N367" s="1"/>
      <c r="O367" s="1"/>
      <c r="P367" s="1"/>
      <c r="Q367" s="1"/>
      <c r="R367" s="1"/>
      <c r="S367" s="1"/>
      <c r="T367" s="1"/>
      <c r="U367" s="1"/>
      <c r="V367" s="1"/>
    </row>
    <row r="368" spans="2:22" ht="18.75">
      <c r="B368" s="1"/>
      <c r="C368" s="1"/>
      <c r="D368" s="145" t="str">
        <f>"　　※但　　参加費等収入（"&amp;領収証内訳!$X$4&amp;"分）として"</f>
        <v>　　※但　　参加費等収入（４月分）として</v>
      </c>
      <c r="E368" s="146"/>
      <c r="F368" s="146"/>
      <c r="G368" s="146"/>
      <c r="H368" s="146"/>
      <c r="I368" s="146"/>
      <c r="J368" s="146"/>
      <c r="K368" s="1"/>
      <c r="L368" s="2"/>
      <c r="M368" s="1"/>
      <c r="N368" s="1"/>
      <c r="O368" s="145" t="str">
        <f>"　　※但　　参加費等収入（"&amp;領収証内訳!$X$4&amp;"分）として"</f>
        <v>　　※但　　参加費等収入（４月分）として</v>
      </c>
      <c r="P368" s="139"/>
      <c r="Q368" s="139"/>
      <c r="R368" s="139"/>
      <c r="S368" s="139"/>
      <c r="T368" s="139"/>
      <c r="U368" s="139"/>
      <c r="V368" s="1"/>
    </row>
    <row r="369" spans="2:22" ht="9.9499999999999993" customHeight="1">
      <c r="B369" s="1"/>
      <c r="C369" s="1"/>
      <c r="D369" s="1"/>
      <c r="E369" s="1"/>
      <c r="F369" s="1"/>
      <c r="G369" s="1"/>
      <c r="H369" s="1"/>
      <c r="I369" s="1"/>
      <c r="J369" s="1"/>
      <c r="K369" s="1"/>
      <c r="L369" s="2"/>
      <c r="M369" s="1"/>
      <c r="N369" s="1"/>
      <c r="O369" s="1"/>
      <c r="P369" s="1"/>
      <c r="Q369" s="1"/>
      <c r="R369" s="1"/>
      <c r="S369" s="1"/>
      <c r="T369" s="1"/>
      <c r="U369" s="1"/>
      <c r="V369" s="1"/>
    </row>
    <row r="370" spans="2:22" ht="18.75">
      <c r="B370" s="1"/>
      <c r="C370" s="1"/>
      <c r="D370" s="1"/>
      <c r="E370" s="17" t="s">
        <v>7</v>
      </c>
      <c r="F370" s="1"/>
      <c r="G370" s="1"/>
      <c r="H370" s="1"/>
      <c r="I370" s="1"/>
      <c r="J370" s="1"/>
      <c r="K370" s="1"/>
      <c r="L370" s="2"/>
      <c r="M370" s="1"/>
      <c r="N370" s="1"/>
      <c r="O370" s="1"/>
      <c r="P370" s="17" t="s">
        <v>7</v>
      </c>
      <c r="Q370" s="1"/>
      <c r="R370" s="1"/>
      <c r="S370" s="1"/>
      <c r="T370" s="1"/>
      <c r="U370" s="1"/>
      <c r="V370" s="1"/>
    </row>
    <row r="371" spans="2:22" ht="6" customHeight="1">
      <c r="B371" s="1"/>
      <c r="C371" s="1"/>
      <c r="D371" s="1"/>
      <c r="E371" s="1"/>
      <c r="F371" s="1"/>
      <c r="G371" s="1"/>
      <c r="H371" s="1"/>
      <c r="I371" s="1"/>
      <c r="J371" s="1"/>
      <c r="K371" s="1"/>
      <c r="L371" s="2"/>
      <c r="M371" s="1"/>
      <c r="N371" s="1"/>
      <c r="O371" s="1"/>
      <c r="P371" s="1"/>
      <c r="Q371" s="1"/>
      <c r="R371" s="1"/>
      <c r="S371" s="1"/>
      <c r="T371" s="1"/>
      <c r="U371" s="1"/>
      <c r="V371" s="1"/>
    </row>
    <row r="372" spans="2:22" ht="20.100000000000001" customHeight="1">
      <c r="B372" s="1"/>
      <c r="C372" s="1"/>
      <c r="D372" s="1"/>
      <c r="F372" s="136" t="s">
        <v>68</v>
      </c>
      <c r="G372" s="137"/>
      <c r="H372" s="147">
        <f>領収証内訳!$X$2</f>
        <v>0</v>
      </c>
      <c r="I372" s="148"/>
      <c r="J372" s="149"/>
      <c r="K372" s="150"/>
      <c r="L372" s="2"/>
      <c r="M372" s="1"/>
      <c r="N372" s="1"/>
      <c r="O372" s="1"/>
      <c r="P372" s="5"/>
      <c r="Q372" s="136" t="s">
        <v>68</v>
      </c>
      <c r="R372" s="137"/>
      <c r="S372" s="147">
        <f>領収証内訳!$X$2</f>
        <v>0</v>
      </c>
      <c r="T372" s="148"/>
      <c r="U372" s="153"/>
      <c r="V372" s="153"/>
    </row>
    <row r="373" spans="2:22" ht="20.100000000000001" customHeight="1">
      <c r="B373" s="1"/>
      <c r="C373" s="1"/>
      <c r="D373" s="1"/>
      <c r="F373" s="138" t="s">
        <v>67</v>
      </c>
      <c r="G373" s="139"/>
      <c r="H373" s="162">
        <f>領収証内訳!$AA$2</f>
        <v>0</v>
      </c>
      <c r="I373" s="163"/>
      <c r="J373" s="9" t="s">
        <v>8</v>
      </c>
      <c r="K373" s="9"/>
      <c r="L373" s="12"/>
      <c r="M373" s="1"/>
      <c r="N373" s="1"/>
      <c r="O373" s="1"/>
      <c r="P373" s="5"/>
      <c r="Q373" s="138" t="s">
        <v>67</v>
      </c>
      <c r="R373" s="139"/>
      <c r="S373" s="162">
        <f>領収証内訳!$AA$2</f>
        <v>0</v>
      </c>
      <c r="T373" s="163"/>
      <c r="U373" s="9" t="s">
        <v>8</v>
      </c>
      <c r="V373" s="9"/>
    </row>
    <row r="374" spans="2:22" ht="6.95" customHeight="1">
      <c r="B374" s="10"/>
      <c r="C374" s="10"/>
      <c r="D374" s="10"/>
      <c r="E374" s="10"/>
      <c r="F374" s="13"/>
      <c r="G374" s="14"/>
      <c r="H374" s="10"/>
      <c r="I374" s="10"/>
      <c r="J374" s="11"/>
      <c r="K374" s="11"/>
      <c r="L374" s="15"/>
      <c r="M374" s="10"/>
      <c r="N374" s="10"/>
      <c r="O374" s="10"/>
      <c r="P374" s="10"/>
      <c r="Q374" s="13"/>
      <c r="R374" s="14"/>
      <c r="S374" s="10"/>
      <c r="T374" s="10"/>
      <c r="U374" s="11"/>
      <c r="V374" s="11"/>
    </row>
    <row r="375" spans="2:22" ht="10.5" customHeight="1">
      <c r="B375" s="1"/>
      <c r="C375" s="1"/>
      <c r="D375" s="1"/>
      <c r="E375" s="1"/>
      <c r="F375" s="1"/>
      <c r="G375" s="1"/>
      <c r="H375" s="1"/>
      <c r="I375" s="1"/>
      <c r="J375" s="1"/>
      <c r="K375" s="1"/>
      <c r="L375" s="2"/>
      <c r="M375" s="1"/>
      <c r="N375" s="1"/>
      <c r="O375" s="1"/>
      <c r="P375" s="1"/>
      <c r="Q375" s="1"/>
      <c r="R375" s="1"/>
      <c r="S375" s="1"/>
      <c r="T375" s="1"/>
      <c r="U375" s="1"/>
      <c r="V375" s="1"/>
    </row>
    <row r="376" spans="2:22" ht="21">
      <c r="B376" s="1"/>
      <c r="C376" s="1"/>
      <c r="D376" s="4" t="s">
        <v>4</v>
      </c>
      <c r="E376" s="1"/>
      <c r="F376" s="1"/>
      <c r="G376" s="1"/>
      <c r="H376" s="1"/>
      <c r="I376" s="1"/>
      <c r="J376" s="1"/>
      <c r="K376" s="1"/>
      <c r="L376" s="2"/>
      <c r="M376" s="1"/>
      <c r="N376" s="1"/>
      <c r="O376" s="4" t="s">
        <v>4</v>
      </c>
      <c r="P376" s="1"/>
      <c r="Q376" s="1"/>
      <c r="R376" s="1"/>
      <c r="S376" s="1"/>
      <c r="T376" s="1"/>
      <c r="U376" s="1"/>
      <c r="V376" s="1"/>
    </row>
    <row r="377" spans="2:22" ht="8.25" customHeight="1">
      <c r="B377" s="1"/>
      <c r="C377" s="1"/>
      <c r="D377" s="1"/>
      <c r="E377" s="1"/>
      <c r="F377" s="1"/>
      <c r="G377" s="1"/>
      <c r="H377" s="1"/>
      <c r="I377" s="1"/>
      <c r="J377" s="1"/>
      <c r="K377" s="1"/>
      <c r="L377" s="2"/>
      <c r="M377" s="1"/>
      <c r="N377" s="1"/>
      <c r="O377" s="1"/>
      <c r="P377" s="1"/>
      <c r="Q377" s="1"/>
      <c r="R377" s="1"/>
      <c r="S377" s="1"/>
      <c r="T377" s="1"/>
      <c r="U377" s="1"/>
      <c r="V377" s="1"/>
    </row>
    <row r="378" spans="2:22" ht="18.75">
      <c r="B378" s="1"/>
      <c r="C378" s="1"/>
      <c r="D378" s="1"/>
      <c r="E378" s="1"/>
      <c r="F378" s="140">
        <f>領収証内訳!$AA$3</f>
        <v>46275</v>
      </c>
      <c r="G378" s="141"/>
      <c r="H378" s="141"/>
      <c r="I378" s="141"/>
      <c r="J378" s="141"/>
      <c r="K378" s="1"/>
      <c r="L378" s="2"/>
      <c r="M378" s="1"/>
      <c r="N378" s="1"/>
      <c r="O378" s="1"/>
      <c r="P378" s="1"/>
      <c r="Q378" s="140">
        <f>領収証内訳!$AA$3</f>
        <v>46275</v>
      </c>
      <c r="R378" s="142"/>
      <c r="S378" s="142"/>
      <c r="T378" s="142"/>
      <c r="U378" s="142"/>
      <c r="V378" s="1"/>
    </row>
    <row r="379" spans="2:22" ht="9.9499999999999993" customHeight="1">
      <c r="B379" s="1"/>
      <c r="C379" s="1"/>
      <c r="D379" s="1"/>
      <c r="E379" s="1"/>
      <c r="F379" s="1"/>
      <c r="G379" s="1"/>
      <c r="H379" s="1"/>
      <c r="I379" s="1"/>
      <c r="J379" s="1"/>
      <c r="K379" s="1"/>
      <c r="L379" s="2"/>
      <c r="M379" s="1"/>
      <c r="N379" s="1"/>
      <c r="O379" s="1"/>
      <c r="P379" s="1"/>
      <c r="Q379" s="1"/>
      <c r="R379" s="1"/>
      <c r="S379" s="1"/>
      <c r="T379" s="1"/>
      <c r="U379" s="1"/>
      <c r="V379" s="1"/>
    </row>
    <row r="380" spans="2:22" ht="18.75">
      <c r="B380" s="154" t="str">
        <f ca="1">INDIRECT("領収証内訳!"&amp;$Z$2&amp;$X342+4)&amp;" さん保護者　様"</f>
        <v xml:space="preserve"> さん保護者　様</v>
      </c>
      <c r="C380" s="155"/>
      <c r="D380" s="156"/>
      <c r="E380" s="156"/>
      <c r="F380" s="156"/>
      <c r="G380" s="1"/>
      <c r="H380" s="1"/>
      <c r="I380" s="1"/>
      <c r="J380" s="1"/>
      <c r="K380" s="1"/>
      <c r="L380" s="2"/>
      <c r="M380" s="154" t="str">
        <f ca="1">INDIRECT("領収証内訳!"&amp;$Z$2&amp;$X342+5)&amp;" さん保護者　様"</f>
        <v xml:space="preserve"> さん保護者　様</v>
      </c>
      <c r="N380" s="155"/>
      <c r="O380" s="157"/>
      <c r="P380" s="157"/>
      <c r="Q380" s="157"/>
      <c r="R380" s="1"/>
      <c r="S380" s="1"/>
      <c r="T380" s="1"/>
      <c r="U380" s="1"/>
      <c r="V380" s="1"/>
    </row>
    <row r="381" spans="2:22" ht="9.9499999999999993" customHeight="1">
      <c r="B381" s="1"/>
      <c r="C381" s="1"/>
      <c r="D381" s="1"/>
      <c r="E381" s="1"/>
      <c r="F381" s="1"/>
      <c r="G381" s="1"/>
      <c r="H381" s="1"/>
      <c r="I381" s="1"/>
      <c r="J381" s="1"/>
      <c r="K381" s="1"/>
      <c r="L381" s="2"/>
      <c r="M381" s="1"/>
      <c r="N381" s="1"/>
      <c r="O381" s="1"/>
      <c r="P381" s="1"/>
      <c r="Q381" s="1"/>
      <c r="R381" s="1"/>
      <c r="S381" s="1"/>
      <c r="T381" s="1"/>
      <c r="U381" s="1"/>
      <c r="V381" s="1"/>
    </row>
    <row r="382" spans="2:22" ht="7.5" customHeight="1">
      <c r="B382" s="1"/>
      <c r="C382" s="1"/>
      <c r="D382" s="1"/>
      <c r="E382" s="1"/>
      <c r="F382" s="1"/>
      <c r="G382" s="1"/>
      <c r="H382" s="1"/>
      <c r="I382" s="1"/>
      <c r="J382" s="1"/>
      <c r="K382" s="1"/>
      <c r="L382" s="2"/>
      <c r="M382" s="1"/>
      <c r="N382" s="1"/>
      <c r="O382" s="1"/>
      <c r="P382" s="1"/>
      <c r="Q382" s="1"/>
      <c r="R382" s="1"/>
      <c r="S382" s="1"/>
      <c r="T382" s="1"/>
      <c r="U382" s="1"/>
      <c r="V382" s="1"/>
    </row>
    <row r="383" spans="2:22" ht="21">
      <c r="B383" s="1"/>
      <c r="C383" s="5"/>
      <c r="D383" s="6" t="s">
        <v>5</v>
      </c>
      <c r="E383" s="143">
        <f ca="1">INDIRECT("領収証内訳!"&amp;$Y$2&amp;$X342+4)</f>
        <v>0</v>
      </c>
      <c r="F383" s="144"/>
      <c r="G383" s="7" t="s">
        <v>6</v>
      </c>
      <c r="H383" s="8"/>
      <c r="I383" s="1"/>
      <c r="J383" s="1"/>
      <c r="K383" s="1"/>
      <c r="L383" s="2"/>
      <c r="M383" s="1"/>
      <c r="N383" s="5"/>
      <c r="O383" s="6" t="s">
        <v>5</v>
      </c>
      <c r="P383" s="143">
        <f ca="1">INDIRECT("領収証内訳!"&amp;$Y$2&amp;$X342+5)</f>
        <v>0</v>
      </c>
      <c r="Q383" s="144"/>
      <c r="R383" s="7" t="s">
        <v>6</v>
      </c>
      <c r="S383" s="8"/>
      <c r="T383" s="1"/>
      <c r="U383" s="1"/>
      <c r="V383" s="1"/>
    </row>
    <row r="384" spans="2:22" ht="9.9499999999999993" customHeight="1">
      <c r="B384" s="1"/>
      <c r="C384" s="1"/>
      <c r="D384" s="1"/>
      <c r="E384" s="1"/>
      <c r="F384" s="1"/>
      <c r="G384" s="1"/>
      <c r="H384" s="1"/>
      <c r="I384" s="1"/>
      <c r="J384" s="1"/>
      <c r="K384" s="1"/>
      <c r="L384" s="2"/>
      <c r="M384" s="1"/>
      <c r="N384" s="1"/>
      <c r="O384" s="1"/>
      <c r="P384" s="1"/>
      <c r="Q384" s="1"/>
      <c r="R384" s="1"/>
      <c r="S384" s="1"/>
      <c r="T384" s="1"/>
      <c r="U384" s="1"/>
      <c r="V384" s="1"/>
    </row>
    <row r="385" spans="2:22" ht="18.75">
      <c r="B385" s="1"/>
      <c r="C385" s="1"/>
      <c r="D385" s="145" t="str">
        <f>"　　※但　　参加費等収入（"&amp;領収証内訳!$X$4&amp;"分）として"</f>
        <v>　　※但　　参加費等収入（４月分）として</v>
      </c>
      <c r="E385" s="146"/>
      <c r="F385" s="146"/>
      <c r="G385" s="146"/>
      <c r="H385" s="146"/>
      <c r="I385" s="146"/>
      <c r="J385" s="146"/>
      <c r="K385" s="1"/>
      <c r="L385" s="2"/>
      <c r="M385" s="1"/>
      <c r="N385" s="1"/>
      <c r="O385" s="145" t="str">
        <f>"　　※但　　参加費等収入（"&amp;領収証内訳!$X$4&amp;"分）として"</f>
        <v>　　※但　　参加費等収入（４月分）として</v>
      </c>
      <c r="P385" s="139"/>
      <c r="Q385" s="139"/>
      <c r="R385" s="139"/>
      <c r="S385" s="139"/>
      <c r="T385" s="139"/>
      <c r="U385" s="139"/>
      <c r="V385" s="1"/>
    </row>
    <row r="386" spans="2:22" ht="9.9499999999999993" customHeight="1">
      <c r="B386" s="1"/>
      <c r="C386" s="1"/>
      <c r="D386" s="1"/>
      <c r="E386" s="1"/>
      <c r="F386" s="1"/>
      <c r="G386" s="1"/>
      <c r="H386" s="1"/>
      <c r="I386" s="1"/>
      <c r="J386" s="1"/>
      <c r="K386" s="1"/>
      <c r="L386" s="2"/>
      <c r="M386" s="1"/>
      <c r="N386" s="1"/>
      <c r="O386" s="1"/>
      <c r="P386" s="1"/>
      <c r="Q386" s="1"/>
      <c r="R386" s="1"/>
      <c r="S386" s="1"/>
      <c r="T386" s="1"/>
      <c r="U386" s="1"/>
      <c r="V386" s="1"/>
    </row>
    <row r="387" spans="2:22" ht="18.75">
      <c r="B387" s="1"/>
      <c r="C387" s="1"/>
      <c r="D387" s="1"/>
      <c r="E387" s="17" t="s">
        <v>7</v>
      </c>
      <c r="F387" s="1"/>
      <c r="G387" s="1"/>
      <c r="H387" s="1"/>
      <c r="I387" s="1"/>
      <c r="J387" s="1"/>
      <c r="K387" s="1"/>
      <c r="L387" s="2"/>
      <c r="M387" s="1"/>
      <c r="N387" s="1"/>
      <c r="O387" s="1"/>
      <c r="P387" s="17" t="s">
        <v>7</v>
      </c>
      <c r="Q387" s="1"/>
      <c r="R387" s="1"/>
      <c r="S387" s="1"/>
      <c r="T387" s="1"/>
      <c r="U387" s="1"/>
      <c r="V387" s="1"/>
    </row>
    <row r="388" spans="2:22" ht="6" customHeight="1">
      <c r="B388" s="1"/>
      <c r="C388" s="1"/>
      <c r="D388" s="1"/>
      <c r="E388" s="1"/>
      <c r="F388" s="1"/>
      <c r="G388" s="1"/>
      <c r="H388" s="1"/>
      <c r="I388" s="1"/>
      <c r="J388" s="1"/>
      <c r="K388" s="1"/>
      <c r="L388" s="2"/>
      <c r="M388" s="1"/>
      <c r="N388" s="1"/>
      <c r="O388" s="1"/>
      <c r="P388" s="1"/>
      <c r="Q388" s="1"/>
      <c r="R388" s="1"/>
      <c r="S388" s="1"/>
      <c r="T388" s="1"/>
      <c r="U388" s="1"/>
      <c r="V388" s="1"/>
    </row>
    <row r="389" spans="2:22" ht="20.100000000000001" customHeight="1">
      <c r="B389" s="1"/>
      <c r="C389" s="1"/>
      <c r="D389" s="1"/>
      <c r="F389" s="136" t="s">
        <v>68</v>
      </c>
      <c r="G389" s="137"/>
      <c r="H389" s="147">
        <f>領収証内訳!$X$2</f>
        <v>0</v>
      </c>
      <c r="I389" s="148"/>
      <c r="J389" s="149"/>
      <c r="K389" s="150"/>
      <c r="L389" s="2"/>
      <c r="M389" s="1"/>
      <c r="N389" s="1"/>
      <c r="O389" s="1"/>
      <c r="P389" s="5"/>
      <c r="Q389" s="136" t="s">
        <v>68</v>
      </c>
      <c r="R389" s="137"/>
      <c r="S389" s="147">
        <f>領収証内訳!$X$2</f>
        <v>0</v>
      </c>
      <c r="T389" s="148"/>
      <c r="U389" s="153"/>
      <c r="V389" s="153"/>
    </row>
    <row r="390" spans="2:22" ht="20.100000000000001" customHeight="1">
      <c r="B390" s="1"/>
      <c r="C390" s="1"/>
      <c r="D390" s="1"/>
      <c r="F390" s="138" t="s">
        <v>67</v>
      </c>
      <c r="G390" s="139"/>
      <c r="H390" s="162">
        <f>領収証内訳!$AA$2</f>
        <v>0</v>
      </c>
      <c r="I390" s="163"/>
      <c r="J390" s="9" t="s">
        <v>8</v>
      </c>
      <c r="K390" s="9"/>
      <c r="L390" s="12"/>
      <c r="M390" s="1"/>
      <c r="N390" s="1"/>
      <c r="O390" s="1"/>
      <c r="P390" s="5"/>
      <c r="Q390" s="138" t="s">
        <v>67</v>
      </c>
      <c r="R390" s="139"/>
      <c r="S390" s="162">
        <f>領収証内訳!$AA$2</f>
        <v>0</v>
      </c>
      <c r="T390" s="163"/>
      <c r="U390" s="9" t="s">
        <v>8</v>
      </c>
      <c r="V390" s="9"/>
    </row>
    <row r="391" spans="2:22" ht="6.95" customHeight="1">
      <c r="B391" s="10"/>
      <c r="C391" s="10"/>
      <c r="D391" s="10"/>
      <c r="E391" s="10"/>
      <c r="F391" s="13"/>
      <c r="G391" s="14"/>
      <c r="H391" s="10"/>
      <c r="I391" s="10"/>
      <c r="J391" s="11"/>
      <c r="K391" s="11"/>
      <c r="L391" s="15"/>
      <c r="M391" s="10"/>
      <c r="N391" s="10"/>
      <c r="O391" s="10"/>
      <c r="P391" s="10"/>
      <c r="Q391" s="13"/>
      <c r="R391" s="14"/>
      <c r="S391" s="10"/>
      <c r="T391" s="10"/>
      <c r="U391" s="11"/>
      <c r="V391" s="11"/>
    </row>
    <row r="392" spans="2:22" ht="10.5" customHeight="1">
      <c r="B392" s="1"/>
      <c r="C392" s="1"/>
      <c r="D392" s="1"/>
      <c r="E392" s="1"/>
      <c r="F392" s="1"/>
      <c r="G392" s="1"/>
      <c r="H392" s="1"/>
      <c r="I392" s="1"/>
      <c r="J392" s="1"/>
      <c r="K392" s="1"/>
      <c r="L392" s="2"/>
      <c r="M392" s="1"/>
      <c r="N392" s="1"/>
      <c r="O392" s="1"/>
      <c r="P392" s="1"/>
      <c r="Q392" s="1"/>
      <c r="R392" s="1"/>
      <c r="S392" s="1"/>
      <c r="T392" s="1"/>
      <c r="U392" s="1"/>
      <c r="V392" s="1"/>
    </row>
    <row r="393" spans="2:22" ht="21">
      <c r="B393" s="1"/>
      <c r="C393" s="1"/>
      <c r="D393" s="4" t="s">
        <v>4</v>
      </c>
      <c r="E393" s="1"/>
      <c r="F393" s="1"/>
      <c r="G393" s="1"/>
      <c r="H393" s="1"/>
      <c r="I393" s="1"/>
      <c r="J393" s="1"/>
      <c r="K393" s="1"/>
      <c r="L393" s="2"/>
      <c r="M393" s="1"/>
      <c r="N393" s="1"/>
      <c r="O393" s="4" t="s">
        <v>4</v>
      </c>
      <c r="P393" s="1"/>
      <c r="Q393" s="1"/>
      <c r="R393" s="1"/>
      <c r="S393" s="1"/>
      <c r="T393" s="1"/>
      <c r="U393" s="1"/>
      <c r="V393" s="1"/>
    </row>
    <row r="394" spans="2:22" ht="8.25" customHeight="1">
      <c r="B394" s="1"/>
      <c r="C394" s="1"/>
      <c r="D394" s="1"/>
      <c r="E394" s="1"/>
      <c r="F394" s="1"/>
      <c r="G394" s="1"/>
      <c r="H394" s="1"/>
      <c r="I394" s="1"/>
      <c r="J394" s="1"/>
      <c r="K394" s="1"/>
      <c r="L394" s="2"/>
      <c r="M394" s="1"/>
      <c r="N394" s="1"/>
      <c r="O394" s="1"/>
      <c r="P394" s="1"/>
      <c r="Q394" s="1"/>
      <c r="R394" s="1"/>
      <c r="S394" s="1"/>
      <c r="T394" s="1"/>
      <c r="U394" s="1"/>
      <c r="V394" s="1"/>
    </row>
    <row r="395" spans="2:22" ht="18.75">
      <c r="B395" s="1"/>
      <c r="C395" s="1"/>
      <c r="D395" s="1"/>
      <c r="E395" s="1"/>
      <c r="F395" s="140">
        <f>領収証内訳!$AA$3</f>
        <v>46275</v>
      </c>
      <c r="G395" s="141"/>
      <c r="H395" s="141"/>
      <c r="I395" s="141"/>
      <c r="J395" s="141"/>
      <c r="K395" s="1"/>
      <c r="L395" s="2"/>
      <c r="M395" s="1"/>
      <c r="N395" s="1"/>
      <c r="O395" s="1"/>
      <c r="P395" s="1"/>
      <c r="Q395" s="140">
        <f>領収証内訳!$AA$3</f>
        <v>46275</v>
      </c>
      <c r="R395" s="142"/>
      <c r="S395" s="142"/>
      <c r="T395" s="142"/>
      <c r="U395" s="142"/>
      <c r="V395" s="1"/>
    </row>
    <row r="396" spans="2:22" ht="9.9499999999999993" customHeight="1">
      <c r="B396" s="1"/>
      <c r="C396" s="1"/>
      <c r="D396" s="1"/>
      <c r="E396" s="1"/>
      <c r="F396" s="1"/>
      <c r="G396" s="1"/>
      <c r="H396" s="1"/>
      <c r="I396" s="1"/>
      <c r="J396" s="1"/>
      <c r="K396" s="1"/>
      <c r="L396" s="2"/>
      <c r="M396" s="1"/>
      <c r="N396" s="1"/>
      <c r="O396" s="1"/>
      <c r="P396" s="1"/>
      <c r="Q396" s="1"/>
      <c r="R396" s="1"/>
      <c r="S396" s="1"/>
      <c r="T396" s="1"/>
      <c r="U396" s="1"/>
      <c r="V396" s="1"/>
    </row>
    <row r="397" spans="2:22" ht="18.75">
      <c r="B397" s="154" t="str">
        <f ca="1">INDIRECT("領収証内訳!"&amp;$Z$2&amp;$X342+6)&amp;" さん保護者　様"</f>
        <v xml:space="preserve"> さん保護者　様</v>
      </c>
      <c r="C397" s="155"/>
      <c r="D397" s="156"/>
      <c r="E397" s="156"/>
      <c r="F397" s="156"/>
      <c r="G397" s="1"/>
      <c r="H397" s="1"/>
      <c r="I397" s="1"/>
      <c r="J397" s="1"/>
      <c r="K397" s="1"/>
      <c r="L397" s="2"/>
      <c r="M397" s="154" t="str">
        <f ca="1">INDIRECT("領収証内訳!"&amp;$Z$2&amp;$X342+7)&amp;" さん保護者　様"</f>
        <v xml:space="preserve"> さん保護者　様</v>
      </c>
      <c r="N397" s="155"/>
      <c r="O397" s="157"/>
      <c r="P397" s="157"/>
      <c r="Q397" s="157"/>
      <c r="R397" s="1"/>
      <c r="S397" s="1"/>
      <c r="T397" s="1"/>
      <c r="U397" s="1"/>
      <c r="V397" s="1"/>
    </row>
    <row r="398" spans="2:22">
      <c r="B398" s="1"/>
      <c r="C398" s="1"/>
      <c r="D398" s="1"/>
      <c r="E398" s="1"/>
      <c r="F398" s="1"/>
      <c r="G398" s="1"/>
      <c r="H398" s="1"/>
      <c r="I398" s="1"/>
      <c r="J398" s="1"/>
      <c r="K398" s="1"/>
      <c r="L398" s="2"/>
      <c r="M398" s="1"/>
      <c r="N398" s="1"/>
      <c r="O398" s="1"/>
      <c r="P398" s="1"/>
      <c r="Q398" s="1"/>
      <c r="R398" s="1"/>
      <c r="S398" s="1"/>
      <c r="T398" s="1"/>
      <c r="U398" s="1"/>
      <c r="V398" s="1"/>
    </row>
    <row r="399" spans="2:22" ht="7.5" customHeight="1">
      <c r="B399" s="1"/>
      <c r="C399" s="1"/>
      <c r="D399" s="1"/>
      <c r="E399" s="1"/>
      <c r="F399" s="1"/>
      <c r="G399" s="1"/>
      <c r="H399" s="1"/>
      <c r="I399" s="1"/>
      <c r="J399" s="1"/>
      <c r="K399" s="1"/>
      <c r="L399" s="2"/>
      <c r="M399" s="1"/>
      <c r="N399" s="1"/>
      <c r="O399" s="1"/>
      <c r="P399" s="1"/>
      <c r="Q399" s="1"/>
      <c r="R399" s="1"/>
      <c r="S399" s="1"/>
      <c r="T399" s="1"/>
      <c r="U399" s="1"/>
      <c r="V399" s="1"/>
    </row>
    <row r="400" spans="2:22" ht="21">
      <c r="B400" s="1"/>
      <c r="C400" s="5"/>
      <c r="D400" s="6" t="s">
        <v>5</v>
      </c>
      <c r="E400" s="143">
        <f ca="1">INDIRECT("領収証内訳!"&amp;$Y$2&amp;$X342+6)</f>
        <v>0</v>
      </c>
      <c r="F400" s="144"/>
      <c r="G400" s="7" t="s">
        <v>6</v>
      </c>
      <c r="H400" s="8"/>
      <c r="I400" s="1"/>
      <c r="J400" s="1"/>
      <c r="K400" s="1"/>
      <c r="L400" s="2"/>
      <c r="M400" s="1"/>
      <c r="N400" s="5"/>
      <c r="O400" s="6" t="s">
        <v>5</v>
      </c>
      <c r="P400" s="143">
        <f ca="1">INDIRECT("領収証内訳!"&amp;$Y$2&amp;$X342+7)</f>
        <v>0</v>
      </c>
      <c r="Q400" s="144"/>
      <c r="R400" s="7" t="s">
        <v>6</v>
      </c>
      <c r="S400" s="8"/>
      <c r="T400" s="1"/>
      <c r="U400" s="1"/>
      <c r="V400" s="1"/>
    </row>
    <row r="401" spans="2:24">
      <c r="B401" s="1"/>
      <c r="C401" s="1"/>
      <c r="D401" s="1"/>
      <c r="E401" s="1"/>
      <c r="F401" s="1"/>
      <c r="G401" s="1"/>
      <c r="H401" s="1"/>
      <c r="I401" s="1"/>
      <c r="J401" s="1"/>
      <c r="K401" s="1"/>
      <c r="L401" s="2"/>
      <c r="M401" s="1"/>
      <c r="N401" s="1"/>
      <c r="O401" s="1"/>
      <c r="P401" s="1"/>
      <c r="Q401" s="1"/>
      <c r="R401" s="1"/>
      <c r="S401" s="1"/>
      <c r="T401" s="1"/>
      <c r="U401" s="1"/>
      <c r="V401" s="1"/>
    </row>
    <row r="402" spans="2:24" ht="18.75">
      <c r="B402" s="1"/>
      <c r="C402" s="1"/>
      <c r="D402" s="145" t="str">
        <f>"　　※但　　参加費等収入（"&amp;領収証内訳!$X$4&amp;"分）として"</f>
        <v>　　※但　　参加費等収入（４月分）として</v>
      </c>
      <c r="E402" s="146"/>
      <c r="F402" s="146"/>
      <c r="G402" s="146"/>
      <c r="H402" s="146"/>
      <c r="I402" s="146"/>
      <c r="J402" s="146"/>
      <c r="K402" s="1"/>
      <c r="L402" s="2"/>
      <c r="M402" s="1"/>
      <c r="N402" s="1"/>
      <c r="O402" s="145" t="str">
        <f>"　　※但　　参加費等収入（"&amp;領収証内訳!$X$4&amp;"分）として"</f>
        <v>　　※但　　参加費等収入（４月分）として</v>
      </c>
      <c r="P402" s="139"/>
      <c r="Q402" s="139"/>
      <c r="R402" s="139"/>
      <c r="S402" s="139"/>
      <c r="T402" s="139"/>
      <c r="U402" s="139"/>
      <c r="V402" s="1"/>
    </row>
    <row r="403" spans="2:24">
      <c r="B403" s="1"/>
      <c r="C403" s="1"/>
      <c r="D403" s="1"/>
      <c r="E403" s="1"/>
      <c r="F403" s="1"/>
      <c r="G403" s="1"/>
      <c r="H403" s="1"/>
      <c r="I403" s="1"/>
      <c r="J403" s="1"/>
      <c r="K403" s="1"/>
      <c r="L403" s="2"/>
      <c r="M403" s="1"/>
      <c r="N403" s="1"/>
      <c r="O403" s="1"/>
      <c r="P403" s="1"/>
      <c r="Q403" s="1"/>
      <c r="R403" s="1"/>
      <c r="S403" s="1"/>
      <c r="T403" s="1"/>
      <c r="U403" s="1"/>
      <c r="V403" s="1"/>
    </row>
    <row r="404" spans="2:24" ht="18.75">
      <c r="B404" s="1"/>
      <c r="C404" s="1"/>
      <c r="D404" s="1"/>
      <c r="E404" s="17" t="s">
        <v>7</v>
      </c>
      <c r="F404" s="1"/>
      <c r="G404" s="1"/>
      <c r="H404" s="1"/>
      <c r="I404" s="1"/>
      <c r="J404" s="1"/>
      <c r="K404" s="1"/>
      <c r="L404" s="2"/>
      <c r="M404" s="1"/>
      <c r="N404" s="1"/>
      <c r="O404" s="1"/>
      <c r="P404" s="17" t="s">
        <v>7</v>
      </c>
      <c r="Q404" s="1"/>
      <c r="R404" s="1"/>
      <c r="S404" s="1"/>
      <c r="T404" s="1"/>
      <c r="U404" s="1"/>
      <c r="V404" s="1"/>
    </row>
    <row r="405" spans="2:24" ht="6" customHeight="1">
      <c r="B405" s="1"/>
      <c r="C405" s="1"/>
      <c r="D405" s="1"/>
      <c r="E405" s="1"/>
      <c r="F405" s="1"/>
      <c r="G405" s="1"/>
      <c r="H405" s="1"/>
      <c r="I405" s="1"/>
      <c r="J405" s="1"/>
      <c r="K405" s="1"/>
      <c r="L405" s="2"/>
      <c r="M405" s="1"/>
      <c r="N405" s="1"/>
      <c r="O405" s="1"/>
      <c r="P405" s="1"/>
      <c r="Q405" s="1"/>
      <c r="R405" s="1"/>
      <c r="S405" s="1"/>
      <c r="T405" s="1"/>
      <c r="U405" s="1"/>
      <c r="V405" s="1"/>
    </row>
    <row r="406" spans="2:24" ht="20.100000000000001" customHeight="1">
      <c r="B406" s="1"/>
      <c r="C406" s="1"/>
      <c r="D406" s="1"/>
      <c r="F406" s="136" t="s">
        <v>68</v>
      </c>
      <c r="G406" s="137"/>
      <c r="H406" s="147">
        <f>領収証内訳!$X$2</f>
        <v>0</v>
      </c>
      <c r="I406" s="148"/>
      <c r="J406" s="149"/>
      <c r="K406" s="150"/>
      <c r="L406" s="2"/>
      <c r="M406" s="1"/>
      <c r="N406" s="1"/>
      <c r="O406" s="1"/>
      <c r="P406" s="5"/>
      <c r="Q406" s="136" t="s">
        <v>68</v>
      </c>
      <c r="R406" s="137"/>
      <c r="S406" s="147">
        <f>領収証内訳!$X$2</f>
        <v>0</v>
      </c>
      <c r="T406" s="148"/>
      <c r="U406" s="153"/>
      <c r="V406" s="153"/>
    </row>
    <row r="407" spans="2:24" ht="20.100000000000001" customHeight="1">
      <c r="B407" s="1"/>
      <c r="C407" s="1"/>
      <c r="D407" s="1"/>
      <c r="F407" s="138" t="s">
        <v>67</v>
      </c>
      <c r="G407" s="139"/>
      <c r="H407" s="162">
        <f>領収証内訳!$AA$2</f>
        <v>0</v>
      </c>
      <c r="I407" s="163"/>
      <c r="J407" s="9" t="s">
        <v>8</v>
      </c>
      <c r="K407" s="9"/>
      <c r="L407" s="12"/>
      <c r="M407" s="1"/>
      <c r="N407" s="1"/>
      <c r="O407" s="1"/>
      <c r="P407" s="5"/>
      <c r="Q407" s="138" t="s">
        <v>67</v>
      </c>
      <c r="R407" s="139"/>
      <c r="S407" s="162">
        <f>領収証内訳!$AA$2</f>
        <v>0</v>
      </c>
      <c r="T407" s="163"/>
      <c r="U407" s="9" t="s">
        <v>8</v>
      </c>
      <c r="V407" s="9"/>
    </row>
    <row r="408" spans="2:24" ht="5.25" customHeight="1">
      <c r="B408" s="1"/>
      <c r="C408" s="1"/>
      <c r="D408" s="1"/>
      <c r="E408" s="1"/>
      <c r="F408" s="16"/>
      <c r="G408" s="5"/>
      <c r="H408" s="1"/>
      <c r="I408" s="1"/>
      <c r="J408" s="9"/>
      <c r="K408" s="9"/>
      <c r="L408" s="12"/>
      <c r="M408" s="1"/>
      <c r="N408" s="1"/>
      <c r="O408" s="1"/>
      <c r="P408" s="1"/>
      <c r="Q408" s="16"/>
      <c r="R408" s="5"/>
      <c r="S408" s="1"/>
      <c r="T408" s="1"/>
      <c r="U408" s="9"/>
      <c r="V408" s="9"/>
    </row>
    <row r="409" spans="2:24" ht="10.5" customHeight="1">
      <c r="B409" s="1"/>
      <c r="C409" s="1"/>
      <c r="D409" s="1"/>
      <c r="E409" s="1"/>
      <c r="F409" s="1"/>
      <c r="G409" s="1"/>
      <c r="H409" s="1"/>
      <c r="I409" s="1"/>
      <c r="J409" s="1"/>
      <c r="K409" s="1"/>
      <c r="L409" s="2"/>
      <c r="M409" s="1"/>
      <c r="N409" s="1"/>
      <c r="O409" s="1"/>
      <c r="P409" s="1"/>
      <c r="Q409" s="1"/>
      <c r="R409" s="1"/>
      <c r="S409" s="1"/>
      <c r="T409" s="1"/>
      <c r="U409" s="1"/>
      <c r="V409" s="1"/>
    </row>
    <row r="410" spans="2:24" ht="21">
      <c r="B410" s="1"/>
      <c r="C410" s="1"/>
      <c r="D410" s="4" t="s">
        <v>4</v>
      </c>
      <c r="E410" s="1"/>
      <c r="F410" s="1"/>
      <c r="G410" s="1"/>
      <c r="H410" s="1"/>
      <c r="I410" s="1"/>
      <c r="J410" s="1"/>
      <c r="K410" s="1"/>
      <c r="L410" s="2"/>
      <c r="M410" s="1"/>
      <c r="N410" s="1"/>
      <c r="O410" s="4" t="s">
        <v>4</v>
      </c>
      <c r="P410" s="1"/>
      <c r="Q410" s="1"/>
      <c r="R410" s="1"/>
      <c r="S410" s="1"/>
      <c r="T410" s="1"/>
      <c r="U410" s="1"/>
      <c r="V410" s="1"/>
      <c r="X410" s="3">
        <f>X342+8</f>
        <v>53</v>
      </c>
    </row>
    <row r="411" spans="2:24" ht="8.25" customHeight="1">
      <c r="B411" s="1"/>
      <c r="C411" s="1"/>
      <c r="D411" s="1"/>
      <c r="E411" s="1"/>
      <c r="F411" s="1"/>
      <c r="G411" s="1"/>
      <c r="H411" s="1"/>
      <c r="I411" s="1"/>
      <c r="J411" s="1"/>
      <c r="K411" s="1"/>
      <c r="L411" s="2"/>
      <c r="M411" s="1"/>
      <c r="N411" s="1"/>
      <c r="O411" s="1"/>
      <c r="P411" s="1"/>
      <c r="Q411" s="1"/>
      <c r="R411" s="1"/>
      <c r="S411" s="1"/>
      <c r="T411" s="1"/>
      <c r="U411" s="1"/>
      <c r="V411" s="1"/>
    </row>
    <row r="412" spans="2:24" ht="18.75">
      <c r="B412" s="1"/>
      <c r="C412" s="1"/>
      <c r="D412" s="1"/>
      <c r="E412" s="1"/>
      <c r="F412" s="140">
        <f>領収証内訳!$AA$3</f>
        <v>46275</v>
      </c>
      <c r="G412" s="141"/>
      <c r="H412" s="141"/>
      <c r="I412" s="141"/>
      <c r="J412" s="141"/>
      <c r="K412" s="1"/>
      <c r="L412" s="2"/>
      <c r="M412" s="1"/>
      <c r="N412" s="1"/>
      <c r="O412" s="1"/>
      <c r="P412" s="1"/>
      <c r="Q412" s="140">
        <f>領収証内訳!$AA$3</f>
        <v>46275</v>
      </c>
      <c r="R412" s="142"/>
      <c r="S412" s="142"/>
      <c r="T412" s="142"/>
      <c r="U412" s="142"/>
      <c r="V412" s="1"/>
    </row>
    <row r="413" spans="2:24" ht="9.9499999999999993" customHeight="1">
      <c r="B413" s="1"/>
      <c r="C413" s="1"/>
      <c r="D413" s="1"/>
      <c r="E413" s="1"/>
      <c r="F413" s="1"/>
      <c r="G413" s="1"/>
      <c r="H413" s="1"/>
      <c r="I413" s="1"/>
      <c r="J413" s="1"/>
      <c r="K413" s="1"/>
      <c r="L413" s="2"/>
      <c r="M413" s="1"/>
      <c r="N413" s="1"/>
      <c r="O413" s="1"/>
      <c r="P413" s="1"/>
      <c r="Q413" s="1"/>
      <c r="R413" s="1"/>
      <c r="S413" s="1"/>
      <c r="T413" s="1"/>
      <c r="U413" s="1"/>
      <c r="V413" s="1"/>
    </row>
    <row r="414" spans="2:24" ht="18.75">
      <c r="B414" s="154" t="str">
        <f ca="1">INDIRECT("領収証内訳!"&amp;$Z$2&amp;$X410)&amp;" さん保護者　様"</f>
        <v xml:space="preserve"> さん保護者　様</v>
      </c>
      <c r="C414" s="155"/>
      <c r="D414" s="156"/>
      <c r="E414" s="156"/>
      <c r="F414" s="156"/>
      <c r="G414" s="1"/>
      <c r="H414" s="1"/>
      <c r="I414" s="1"/>
      <c r="J414" s="1"/>
      <c r="K414" s="1"/>
      <c r="L414" s="2"/>
      <c r="M414" s="154" t="str">
        <f ca="1">INDIRECT("領収証内訳!"&amp;$Z$2&amp;$X410+1)&amp;" さん保護者　様"</f>
        <v xml:space="preserve"> さん保護者　様</v>
      </c>
      <c r="N414" s="155"/>
      <c r="O414" s="157"/>
      <c r="P414" s="157"/>
      <c r="Q414" s="157"/>
      <c r="R414" s="1"/>
      <c r="S414" s="1"/>
      <c r="T414" s="1"/>
      <c r="U414" s="1"/>
      <c r="V414" s="1"/>
    </row>
    <row r="415" spans="2:24" ht="9.9499999999999993" customHeight="1">
      <c r="B415" s="1"/>
      <c r="C415" s="1"/>
      <c r="D415" s="1"/>
      <c r="E415" s="1"/>
      <c r="F415" s="1"/>
      <c r="G415" s="1"/>
      <c r="H415" s="1"/>
      <c r="I415" s="1"/>
      <c r="J415" s="1"/>
      <c r="K415" s="1"/>
      <c r="L415" s="2"/>
      <c r="M415" s="1"/>
      <c r="N415" s="1"/>
      <c r="O415" s="1"/>
      <c r="P415" s="1"/>
      <c r="Q415" s="1"/>
      <c r="R415" s="1"/>
      <c r="S415" s="1"/>
      <c r="T415" s="1"/>
      <c r="U415" s="1"/>
      <c r="V415" s="1"/>
    </row>
    <row r="416" spans="2:24" ht="7.5" customHeight="1">
      <c r="B416" s="1"/>
      <c r="C416" s="1"/>
      <c r="D416" s="1"/>
      <c r="E416" s="1"/>
      <c r="F416" s="1"/>
      <c r="G416" s="1"/>
      <c r="H416" s="1"/>
      <c r="I416" s="1"/>
      <c r="J416" s="1"/>
      <c r="K416" s="1"/>
      <c r="L416" s="2"/>
      <c r="M416" s="1"/>
      <c r="N416" s="1"/>
      <c r="O416" s="1"/>
      <c r="P416" s="1"/>
      <c r="Q416" s="1"/>
      <c r="R416" s="1"/>
      <c r="S416" s="1"/>
      <c r="T416" s="1"/>
      <c r="U416" s="1"/>
      <c r="V416" s="1"/>
    </row>
    <row r="417" spans="2:22" ht="21">
      <c r="B417" s="1"/>
      <c r="C417" s="5"/>
      <c r="D417" s="6" t="s">
        <v>5</v>
      </c>
      <c r="E417" s="143">
        <f ca="1">INDIRECT("領収証内訳!"&amp;$Y$2&amp;$X410)</f>
        <v>0</v>
      </c>
      <c r="F417" s="144"/>
      <c r="G417" s="7" t="s">
        <v>6</v>
      </c>
      <c r="H417" s="8"/>
      <c r="I417" s="1"/>
      <c r="J417" s="1"/>
      <c r="K417" s="1"/>
      <c r="L417" s="2"/>
      <c r="M417" s="1"/>
      <c r="N417" s="5"/>
      <c r="O417" s="6" t="s">
        <v>5</v>
      </c>
      <c r="P417" s="143">
        <f ca="1">INDIRECT("領収証内訳!"&amp;$Y$2&amp;$X410+1)</f>
        <v>0</v>
      </c>
      <c r="Q417" s="144"/>
      <c r="R417" s="7" t="s">
        <v>6</v>
      </c>
      <c r="S417" s="8"/>
      <c r="T417" s="1"/>
      <c r="U417" s="1"/>
      <c r="V417" s="1"/>
    </row>
    <row r="418" spans="2:22">
      <c r="B418" s="1"/>
      <c r="C418" s="1"/>
      <c r="D418" s="1"/>
      <c r="E418" s="1"/>
      <c r="F418" s="1"/>
      <c r="G418" s="1"/>
      <c r="H418" s="1"/>
      <c r="I418" s="1"/>
      <c r="J418" s="1"/>
      <c r="K418" s="1"/>
      <c r="L418" s="2"/>
      <c r="M418" s="1"/>
      <c r="N418" s="1"/>
      <c r="O418" s="1"/>
      <c r="P418" s="1"/>
      <c r="Q418" s="1"/>
      <c r="R418" s="1"/>
      <c r="S418" s="1"/>
      <c r="T418" s="1"/>
      <c r="U418" s="1"/>
      <c r="V418" s="1"/>
    </row>
    <row r="419" spans="2:22" ht="18.75">
      <c r="B419" s="1"/>
      <c r="C419" s="1"/>
      <c r="D419" s="145" t="str">
        <f>"　　※但　　参加費等収入（"&amp;領収証内訳!$X$4&amp;"分）として"</f>
        <v>　　※但　　参加費等収入（４月分）として</v>
      </c>
      <c r="E419" s="146"/>
      <c r="F419" s="146"/>
      <c r="G419" s="146"/>
      <c r="H419" s="146"/>
      <c r="I419" s="146"/>
      <c r="J419" s="146"/>
      <c r="K419" s="1"/>
      <c r="L419" s="2"/>
      <c r="M419" s="1"/>
      <c r="N419" s="1"/>
      <c r="O419" s="145" t="str">
        <f>"　　※但　　参加費等収入（"&amp;領収証内訳!$X$4&amp;"分）として"</f>
        <v>　　※但　　参加費等収入（４月分）として</v>
      </c>
      <c r="P419" s="139"/>
      <c r="Q419" s="139"/>
      <c r="R419" s="139"/>
      <c r="S419" s="139"/>
      <c r="T419" s="139"/>
      <c r="U419" s="139"/>
      <c r="V419" s="1"/>
    </row>
    <row r="420" spans="2:22" ht="9.9499999999999993" customHeight="1">
      <c r="B420" s="1"/>
      <c r="C420" s="1"/>
      <c r="D420" s="1"/>
      <c r="E420" s="1"/>
      <c r="F420" s="1"/>
      <c r="G420" s="1"/>
      <c r="H420" s="1"/>
      <c r="I420" s="1"/>
      <c r="J420" s="1"/>
      <c r="K420" s="1"/>
      <c r="L420" s="2"/>
      <c r="M420" s="1"/>
      <c r="N420" s="1"/>
      <c r="O420" s="1"/>
      <c r="P420" s="1"/>
      <c r="Q420" s="1"/>
      <c r="R420" s="1"/>
      <c r="S420" s="1"/>
      <c r="T420" s="1"/>
      <c r="U420" s="1"/>
      <c r="V420" s="1"/>
    </row>
    <row r="421" spans="2:22" ht="18.75">
      <c r="B421" s="1"/>
      <c r="C421" s="1"/>
      <c r="D421" s="1"/>
      <c r="E421" s="17" t="s">
        <v>7</v>
      </c>
      <c r="F421" s="1"/>
      <c r="G421" s="1"/>
      <c r="H421" s="1"/>
      <c r="I421" s="1"/>
      <c r="J421" s="1"/>
      <c r="K421" s="1"/>
      <c r="L421" s="2"/>
      <c r="M421" s="1"/>
      <c r="N421" s="1"/>
      <c r="O421" s="1"/>
      <c r="P421" s="17" t="s">
        <v>7</v>
      </c>
      <c r="Q421" s="1"/>
      <c r="R421" s="1"/>
      <c r="S421" s="1"/>
      <c r="T421" s="1"/>
      <c r="U421" s="1"/>
      <c r="V421" s="1"/>
    </row>
    <row r="422" spans="2:22" ht="6" customHeight="1">
      <c r="B422" s="1"/>
      <c r="C422" s="1"/>
      <c r="D422" s="1"/>
      <c r="E422" s="1"/>
      <c r="F422" s="1"/>
      <c r="G422" s="1"/>
      <c r="H422" s="1"/>
      <c r="I422" s="1"/>
      <c r="J422" s="1"/>
      <c r="K422" s="1"/>
      <c r="L422" s="2"/>
      <c r="M422" s="1"/>
      <c r="N422" s="1"/>
      <c r="O422" s="1"/>
      <c r="P422" s="1"/>
      <c r="Q422" s="1"/>
      <c r="R422" s="1"/>
      <c r="S422" s="1"/>
      <c r="T422" s="1"/>
      <c r="U422" s="1"/>
      <c r="V422" s="1"/>
    </row>
    <row r="423" spans="2:22" ht="20.100000000000001" customHeight="1">
      <c r="B423" s="1"/>
      <c r="C423" s="1"/>
      <c r="D423" s="1"/>
      <c r="F423" s="136" t="s">
        <v>68</v>
      </c>
      <c r="G423" s="137"/>
      <c r="H423" s="147">
        <f>領収証内訳!$X$2</f>
        <v>0</v>
      </c>
      <c r="I423" s="148"/>
      <c r="J423" s="149"/>
      <c r="K423" s="150"/>
      <c r="L423" s="2"/>
      <c r="M423" s="1"/>
      <c r="N423" s="1"/>
      <c r="O423" s="1"/>
      <c r="P423" s="5"/>
      <c r="Q423" s="136" t="s">
        <v>68</v>
      </c>
      <c r="R423" s="137"/>
      <c r="S423" s="147">
        <f>領収証内訳!$X$2</f>
        <v>0</v>
      </c>
      <c r="T423" s="148"/>
      <c r="U423" s="153"/>
      <c r="V423" s="153"/>
    </row>
    <row r="424" spans="2:22" ht="20.100000000000001" customHeight="1">
      <c r="B424" s="1"/>
      <c r="C424" s="1"/>
      <c r="D424" s="1"/>
      <c r="F424" s="138" t="s">
        <v>67</v>
      </c>
      <c r="G424" s="139"/>
      <c r="H424" s="162">
        <f>領収証内訳!$AA$2</f>
        <v>0</v>
      </c>
      <c r="I424" s="163"/>
      <c r="J424" s="9" t="s">
        <v>8</v>
      </c>
      <c r="K424" s="9"/>
      <c r="L424" s="12"/>
      <c r="M424" s="1"/>
      <c r="N424" s="1"/>
      <c r="O424" s="1"/>
      <c r="P424" s="5"/>
      <c r="Q424" s="138" t="s">
        <v>67</v>
      </c>
      <c r="R424" s="139"/>
      <c r="S424" s="162">
        <f>領収証内訳!$AA$2</f>
        <v>0</v>
      </c>
      <c r="T424" s="163"/>
      <c r="U424" s="9" t="s">
        <v>8</v>
      </c>
      <c r="V424" s="9"/>
    </row>
    <row r="425" spans="2:22" ht="6.95" customHeight="1">
      <c r="B425" s="10"/>
      <c r="C425" s="10"/>
      <c r="D425" s="10"/>
      <c r="E425" s="10"/>
      <c r="F425" s="13"/>
      <c r="G425" s="14"/>
      <c r="H425" s="10"/>
      <c r="I425" s="10"/>
      <c r="J425" s="11"/>
      <c r="K425" s="11"/>
      <c r="L425" s="15"/>
      <c r="M425" s="10"/>
      <c r="N425" s="10"/>
      <c r="O425" s="10"/>
      <c r="P425" s="10"/>
      <c r="Q425" s="13"/>
      <c r="R425" s="14"/>
      <c r="S425" s="10"/>
      <c r="T425" s="10"/>
      <c r="U425" s="11"/>
      <c r="V425" s="11"/>
    </row>
    <row r="426" spans="2:22" ht="10.5" customHeight="1">
      <c r="B426" s="1"/>
      <c r="C426" s="1"/>
      <c r="D426" s="1"/>
      <c r="E426" s="1"/>
      <c r="F426" s="1"/>
      <c r="G426" s="1"/>
      <c r="H426" s="1"/>
      <c r="I426" s="1"/>
      <c r="J426" s="1"/>
      <c r="K426" s="1"/>
      <c r="L426" s="2"/>
      <c r="M426" s="1"/>
      <c r="N426" s="1"/>
      <c r="O426" s="1"/>
      <c r="P426" s="1"/>
      <c r="Q426" s="1"/>
      <c r="R426" s="1"/>
      <c r="S426" s="1"/>
      <c r="T426" s="1"/>
      <c r="U426" s="1"/>
      <c r="V426" s="1"/>
    </row>
    <row r="427" spans="2:22" ht="21">
      <c r="B427" s="1"/>
      <c r="C427" s="1"/>
      <c r="D427" s="4" t="s">
        <v>4</v>
      </c>
      <c r="E427" s="1"/>
      <c r="F427" s="1"/>
      <c r="G427" s="1"/>
      <c r="H427" s="1"/>
      <c r="I427" s="1"/>
      <c r="J427" s="1"/>
      <c r="K427" s="1"/>
      <c r="L427" s="2"/>
      <c r="M427" s="1"/>
      <c r="N427" s="1"/>
      <c r="O427" s="4" t="s">
        <v>4</v>
      </c>
      <c r="P427" s="1"/>
      <c r="Q427" s="1"/>
      <c r="R427" s="1"/>
      <c r="S427" s="1"/>
      <c r="T427" s="1"/>
      <c r="U427" s="1"/>
      <c r="V427" s="1"/>
    </row>
    <row r="428" spans="2:22" ht="8.25" customHeight="1">
      <c r="B428" s="1"/>
      <c r="C428" s="1"/>
      <c r="D428" s="1"/>
      <c r="E428" s="1"/>
      <c r="F428" s="1"/>
      <c r="G428" s="1"/>
      <c r="H428" s="1"/>
      <c r="I428" s="1"/>
      <c r="J428" s="1"/>
      <c r="K428" s="1"/>
      <c r="L428" s="2"/>
      <c r="M428" s="1"/>
      <c r="N428" s="1"/>
      <c r="O428" s="1"/>
      <c r="P428" s="1"/>
      <c r="Q428" s="1"/>
      <c r="R428" s="1"/>
      <c r="S428" s="1"/>
      <c r="T428" s="1"/>
      <c r="U428" s="1"/>
      <c r="V428" s="1"/>
    </row>
    <row r="429" spans="2:22" ht="18.75">
      <c r="B429" s="1"/>
      <c r="C429" s="1"/>
      <c r="D429" s="1"/>
      <c r="E429" s="1"/>
      <c r="F429" s="140">
        <f>領収証内訳!$AA$3</f>
        <v>46275</v>
      </c>
      <c r="G429" s="141"/>
      <c r="H429" s="141"/>
      <c r="I429" s="141"/>
      <c r="J429" s="141"/>
      <c r="K429" s="1"/>
      <c r="L429" s="2"/>
      <c r="M429" s="1"/>
      <c r="N429" s="1"/>
      <c r="O429" s="1"/>
      <c r="P429" s="1"/>
      <c r="Q429" s="140">
        <f>領収証内訳!$AA$3</f>
        <v>46275</v>
      </c>
      <c r="R429" s="142"/>
      <c r="S429" s="142"/>
      <c r="T429" s="142"/>
      <c r="U429" s="142"/>
      <c r="V429" s="1"/>
    </row>
    <row r="430" spans="2:22" ht="9.9499999999999993" customHeight="1">
      <c r="B430" s="1"/>
      <c r="C430" s="1"/>
      <c r="D430" s="1"/>
      <c r="E430" s="1"/>
      <c r="F430" s="1"/>
      <c r="G430" s="1"/>
      <c r="H430" s="1"/>
      <c r="I430" s="1"/>
      <c r="J430" s="1"/>
      <c r="K430" s="1"/>
      <c r="L430" s="2"/>
      <c r="M430" s="1"/>
      <c r="N430" s="1"/>
      <c r="O430" s="1"/>
      <c r="P430" s="1"/>
      <c r="Q430" s="1"/>
      <c r="R430" s="1"/>
      <c r="S430" s="1"/>
      <c r="T430" s="1"/>
      <c r="U430" s="1"/>
      <c r="V430" s="1"/>
    </row>
    <row r="431" spans="2:22" ht="18.75">
      <c r="B431" s="154" t="str">
        <f ca="1">INDIRECT("領収証内訳!"&amp;$Z$2&amp;$X410+2)&amp;" さん保護者　様"</f>
        <v xml:space="preserve"> さん保護者　様</v>
      </c>
      <c r="C431" s="155"/>
      <c r="D431" s="156"/>
      <c r="E431" s="156"/>
      <c r="F431" s="156"/>
      <c r="G431" s="1"/>
      <c r="H431" s="1"/>
      <c r="I431" s="1"/>
      <c r="J431" s="1"/>
      <c r="K431" s="1"/>
      <c r="L431" s="2"/>
      <c r="M431" s="154" t="str">
        <f ca="1">INDIRECT("領収証内訳!"&amp;$Z$2&amp;$X410+3)&amp;" さん保護者　様"</f>
        <v xml:space="preserve"> さん保護者　様</v>
      </c>
      <c r="N431" s="155"/>
      <c r="O431" s="157"/>
      <c r="P431" s="157"/>
      <c r="Q431" s="157"/>
      <c r="R431" s="1"/>
      <c r="S431" s="1"/>
      <c r="T431" s="1"/>
      <c r="U431" s="1"/>
      <c r="V431" s="1"/>
    </row>
    <row r="432" spans="2:22" ht="9.9499999999999993" customHeight="1">
      <c r="B432" s="1"/>
      <c r="C432" s="1"/>
      <c r="D432" s="1"/>
      <c r="E432" s="1"/>
      <c r="F432" s="1"/>
      <c r="G432" s="1"/>
      <c r="H432" s="1"/>
      <c r="I432" s="1"/>
      <c r="J432" s="1"/>
      <c r="K432" s="1"/>
      <c r="L432" s="2"/>
      <c r="M432" s="1"/>
      <c r="N432" s="1"/>
      <c r="O432" s="1"/>
      <c r="P432" s="1"/>
      <c r="Q432" s="1"/>
      <c r="R432" s="1"/>
      <c r="S432" s="1"/>
      <c r="T432" s="1"/>
      <c r="U432" s="1"/>
      <c r="V432" s="1"/>
    </row>
    <row r="433" spans="2:22" ht="7.5" customHeight="1">
      <c r="B433" s="1"/>
      <c r="C433" s="1"/>
      <c r="D433" s="1"/>
      <c r="E433" s="1"/>
      <c r="F433" s="1"/>
      <c r="G433" s="1"/>
      <c r="H433" s="1"/>
      <c r="I433" s="1"/>
      <c r="J433" s="1"/>
      <c r="K433" s="1"/>
      <c r="L433" s="2"/>
      <c r="M433" s="1"/>
      <c r="N433" s="1"/>
      <c r="O433" s="1"/>
      <c r="P433" s="1"/>
      <c r="Q433" s="1"/>
      <c r="R433" s="1"/>
      <c r="S433" s="1"/>
      <c r="T433" s="1"/>
      <c r="U433" s="1"/>
      <c r="V433" s="1"/>
    </row>
    <row r="434" spans="2:22" ht="21">
      <c r="B434" s="1"/>
      <c r="C434" s="5"/>
      <c r="D434" s="6" t="s">
        <v>5</v>
      </c>
      <c r="E434" s="143">
        <f ca="1">INDIRECT("領収証内訳!"&amp;$Y$2&amp;$X410+2)</f>
        <v>0</v>
      </c>
      <c r="F434" s="144"/>
      <c r="G434" s="7" t="s">
        <v>6</v>
      </c>
      <c r="H434" s="8"/>
      <c r="I434" s="1"/>
      <c r="J434" s="1"/>
      <c r="K434" s="1"/>
      <c r="L434" s="2"/>
      <c r="M434" s="1"/>
      <c r="N434" s="5"/>
      <c r="O434" s="6" t="s">
        <v>5</v>
      </c>
      <c r="P434" s="143">
        <f ca="1">INDIRECT("領収証内訳!"&amp;$Y$2&amp;$X410+3)</f>
        <v>0</v>
      </c>
      <c r="Q434" s="144"/>
      <c r="R434" s="7" t="s">
        <v>6</v>
      </c>
      <c r="S434" s="8"/>
      <c r="T434" s="1"/>
      <c r="U434" s="1"/>
      <c r="V434" s="1"/>
    </row>
    <row r="435" spans="2:22">
      <c r="B435" s="1"/>
      <c r="C435" s="1"/>
      <c r="D435" s="1"/>
      <c r="E435" s="1"/>
      <c r="F435" s="1"/>
      <c r="G435" s="1"/>
      <c r="H435" s="1"/>
      <c r="I435" s="1"/>
      <c r="J435" s="1"/>
      <c r="K435" s="1"/>
      <c r="L435" s="2"/>
      <c r="M435" s="1"/>
      <c r="N435" s="1"/>
      <c r="O435" s="1"/>
      <c r="P435" s="1"/>
      <c r="Q435" s="1"/>
      <c r="R435" s="1"/>
      <c r="S435" s="1"/>
      <c r="T435" s="1"/>
      <c r="U435" s="1"/>
      <c r="V435" s="1"/>
    </row>
    <row r="436" spans="2:22" ht="18.75">
      <c r="B436" s="1"/>
      <c r="C436" s="1"/>
      <c r="D436" s="145" t="str">
        <f>"　　※但　　参加費等収入（"&amp;領収証内訳!$X$4&amp;"分）として"</f>
        <v>　　※但　　参加費等収入（４月分）として</v>
      </c>
      <c r="E436" s="146"/>
      <c r="F436" s="146"/>
      <c r="G436" s="146"/>
      <c r="H436" s="146"/>
      <c r="I436" s="146"/>
      <c r="J436" s="146"/>
      <c r="K436" s="1"/>
      <c r="L436" s="2"/>
      <c r="M436" s="1"/>
      <c r="N436" s="1"/>
      <c r="O436" s="145" t="str">
        <f>"　　※但　　参加費等収入（"&amp;領収証内訳!$X$4&amp;"分）として"</f>
        <v>　　※但　　参加費等収入（４月分）として</v>
      </c>
      <c r="P436" s="139"/>
      <c r="Q436" s="139"/>
      <c r="R436" s="139"/>
      <c r="S436" s="139"/>
      <c r="T436" s="139"/>
      <c r="U436" s="139"/>
      <c r="V436" s="1"/>
    </row>
    <row r="437" spans="2:22" ht="9.9499999999999993" customHeight="1">
      <c r="B437" s="1"/>
      <c r="C437" s="1"/>
      <c r="D437" s="1"/>
      <c r="E437" s="1"/>
      <c r="F437" s="1"/>
      <c r="G437" s="1"/>
      <c r="H437" s="1"/>
      <c r="I437" s="1"/>
      <c r="J437" s="1"/>
      <c r="K437" s="1"/>
      <c r="L437" s="2"/>
      <c r="M437" s="1"/>
      <c r="N437" s="1"/>
      <c r="O437" s="1"/>
      <c r="P437" s="1"/>
      <c r="Q437" s="1"/>
      <c r="R437" s="1"/>
      <c r="S437" s="1"/>
      <c r="T437" s="1"/>
      <c r="U437" s="1"/>
      <c r="V437" s="1"/>
    </row>
    <row r="438" spans="2:22" ht="18.75">
      <c r="B438" s="1"/>
      <c r="C438" s="1"/>
      <c r="D438" s="1"/>
      <c r="E438" s="17" t="s">
        <v>7</v>
      </c>
      <c r="F438" s="1"/>
      <c r="G438" s="1"/>
      <c r="H438" s="1"/>
      <c r="I438" s="1"/>
      <c r="J438" s="1"/>
      <c r="K438" s="1"/>
      <c r="L438" s="2"/>
      <c r="M438" s="1"/>
      <c r="N438" s="1"/>
      <c r="O438" s="1"/>
      <c r="P438" s="17" t="s">
        <v>7</v>
      </c>
      <c r="Q438" s="1"/>
      <c r="R438" s="1"/>
      <c r="S438" s="1"/>
      <c r="T438" s="1"/>
      <c r="U438" s="1"/>
      <c r="V438" s="1"/>
    </row>
    <row r="439" spans="2:22" ht="6" customHeight="1">
      <c r="B439" s="1"/>
      <c r="C439" s="1"/>
      <c r="D439" s="1"/>
      <c r="E439" s="1"/>
      <c r="F439" s="1"/>
      <c r="G439" s="1"/>
      <c r="H439" s="1"/>
      <c r="I439" s="1"/>
      <c r="J439" s="1"/>
      <c r="K439" s="1"/>
      <c r="L439" s="2"/>
      <c r="M439" s="1"/>
      <c r="N439" s="1"/>
      <c r="O439" s="1"/>
      <c r="P439" s="1"/>
      <c r="Q439" s="1"/>
      <c r="R439" s="1"/>
      <c r="S439" s="1"/>
      <c r="T439" s="1"/>
      <c r="U439" s="1"/>
      <c r="V439" s="1"/>
    </row>
    <row r="440" spans="2:22" ht="20.100000000000001" customHeight="1">
      <c r="B440" s="1"/>
      <c r="C440" s="1"/>
      <c r="D440" s="1"/>
      <c r="F440" s="136" t="s">
        <v>68</v>
      </c>
      <c r="G440" s="137"/>
      <c r="H440" s="147">
        <f>領収証内訳!$X$2</f>
        <v>0</v>
      </c>
      <c r="I440" s="148"/>
      <c r="J440" s="149"/>
      <c r="K440" s="150"/>
      <c r="L440" s="2"/>
      <c r="M440" s="1"/>
      <c r="N440" s="1"/>
      <c r="O440" s="1"/>
      <c r="P440" s="5"/>
      <c r="Q440" s="136" t="s">
        <v>68</v>
      </c>
      <c r="R440" s="137"/>
      <c r="S440" s="147">
        <f>領収証内訳!$X$2</f>
        <v>0</v>
      </c>
      <c r="T440" s="148"/>
      <c r="U440" s="153"/>
      <c r="V440" s="153"/>
    </row>
    <row r="441" spans="2:22" ht="20.100000000000001" customHeight="1">
      <c r="B441" s="1"/>
      <c r="C441" s="1"/>
      <c r="D441" s="1"/>
      <c r="F441" s="138" t="s">
        <v>67</v>
      </c>
      <c r="G441" s="139"/>
      <c r="H441" s="162">
        <f>領収証内訳!$AA$2</f>
        <v>0</v>
      </c>
      <c r="I441" s="163"/>
      <c r="J441" s="9" t="s">
        <v>8</v>
      </c>
      <c r="K441" s="9"/>
      <c r="L441" s="12"/>
      <c r="M441" s="1"/>
      <c r="N441" s="1"/>
      <c r="O441" s="1"/>
      <c r="P441" s="5"/>
      <c r="Q441" s="138" t="s">
        <v>67</v>
      </c>
      <c r="R441" s="139"/>
      <c r="S441" s="162">
        <f>領収証内訳!$AA$2</f>
        <v>0</v>
      </c>
      <c r="T441" s="163"/>
      <c r="U441" s="9" t="s">
        <v>8</v>
      </c>
      <c r="V441" s="9"/>
    </row>
    <row r="442" spans="2:22" ht="6.95" customHeight="1">
      <c r="B442" s="10"/>
      <c r="C442" s="10"/>
      <c r="D442" s="10"/>
      <c r="E442" s="10"/>
      <c r="F442" s="13"/>
      <c r="G442" s="14"/>
      <c r="H442" s="10"/>
      <c r="I442" s="10"/>
      <c r="J442" s="11"/>
      <c r="K442" s="11"/>
      <c r="L442" s="15"/>
      <c r="M442" s="10"/>
      <c r="N442" s="10"/>
      <c r="O442" s="10"/>
      <c r="P442" s="10"/>
      <c r="Q442" s="13"/>
      <c r="R442" s="14"/>
      <c r="S442" s="10"/>
      <c r="T442" s="10"/>
      <c r="U442" s="11"/>
      <c r="V442" s="11"/>
    </row>
    <row r="443" spans="2:22" ht="10.5" customHeight="1">
      <c r="B443" s="1"/>
      <c r="C443" s="1"/>
      <c r="D443" s="1"/>
      <c r="E443" s="1"/>
      <c r="F443" s="1"/>
      <c r="G443" s="1"/>
      <c r="H443" s="1"/>
      <c r="I443" s="1"/>
      <c r="J443" s="1"/>
      <c r="K443" s="1"/>
      <c r="L443" s="2"/>
      <c r="M443" s="1"/>
      <c r="N443" s="1"/>
      <c r="O443" s="1"/>
      <c r="P443" s="1"/>
      <c r="Q443" s="1"/>
      <c r="R443" s="1"/>
      <c r="S443" s="1"/>
      <c r="T443" s="1"/>
      <c r="U443" s="1"/>
      <c r="V443" s="1"/>
    </row>
    <row r="444" spans="2:22" ht="21">
      <c r="B444" s="1"/>
      <c r="C444" s="1"/>
      <c r="D444" s="4" t="s">
        <v>4</v>
      </c>
      <c r="E444" s="1"/>
      <c r="F444" s="1"/>
      <c r="G444" s="1"/>
      <c r="H444" s="1"/>
      <c r="I444" s="1"/>
      <c r="J444" s="1"/>
      <c r="K444" s="1"/>
      <c r="L444" s="2"/>
      <c r="M444" s="1"/>
      <c r="N444" s="1"/>
      <c r="O444" s="4" t="s">
        <v>4</v>
      </c>
      <c r="P444" s="1"/>
      <c r="Q444" s="1"/>
      <c r="R444" s="1"/>
      <c r="S444" s="1"/>
      <c r="T444" s="1"/>
      <c r="U444" s="1"/>
      <c r="V444" s="1"/>
    </row>
    <row r="445" spans="2:22" ht="8.25" customHeight="1">
      <c r="B445" s="1"/>
      <c r="C445" s="1"/>
      <c r="D445" s="1"/>
      <c r="E445" s="1"/>
      <c r="F445" s="1"/>
      <c r="G445" s="1"/>
      <c r="H445" s="1"/>
      <c r="I445" s="1"/>
      <c r="J445" s="1"/>
      <c r="K445" s="1"/>
      <c r="L445" s="2"/>
      <c r="M445" s="1"/>
      <c r="N445" s="1"/>
      <c r="O445" s="1"/>
      <c r="P445" s="1"/>
      <c r="Q445" s="1"/>
      <c r="R445" s="1"/>
      <c r="S445" s="1"/>
      <c r="T445" s="1"/>
      <c r="U445" s="1"/>
      <c r="V445" s="1"/>
    </row>
    <row r="446" spans="2:22" ht="18.75">
      <c r="B446" s="1"/>
      <c r="C446" s="1"/>
      <c r="D446" s="1"/>
      <c r="E446" s="1"/>
      <c r="F446" s="140">
        <f>領収証内訳!$AA$3</f>
        <v>46275</v>
      </c>
      <c r="G446" s="141"/>
      <c r="H446" s="141"/>
      <c r="I446" s="141"/>
      <c r="J446" s="141"/>
      <c r="K446" s="1"/>
      <c r="L446" s="2"/>
      <c r="M446" s="1"/>
      <c r="N446" s="1"/>
      <c r="O446" s="1"/>
      <c r="P446" s="1"/>
      <c r="Q446" s="140">
        <f>領収証内訳!$AA$3</f>
        <v>46275</v>
      </c>
      <c r="R446" s="142"/>
      <c r="S446" s="142"/>
      <c r="T446" s="142"/>
      <c r="U446" s="142"/>
      <c r="V446" s="1"/>
    </row>
    <row r="447" spans="2:22" ht="9.9499999999999993" customHeight="1">
      <c r="B447" s="1"/>
      <c r="C447" s="1"/>
      <c r="D447" s="1"/>
      <c r="E447" s="1"/>
      <c r="F447" s="1"/>
      <c r="G447" s="1"/>
      <c r="H447" s="1"/>
      <c r="I447" s="1"/>
      <c r="J447" s="1"/>
      <c r="K447" s="1"/>
      <c r="L447" s="2"/>
      <c r="M447" s="1"/>
      <c r="N447" s="1"/>
      <c r="O447" s="1"/>
      <c r="P447" s="1"/>
      <c r="Q447" s="1"/>
      <c r="R447" s="1"/>
      <c r="S447" s="1"/>
      <c r="T447" s="1"/>
      <c r="U447" s="1"/>
      <c r="V447" s="1"/>
    </row>
    <row r="448" spans="2:22" ht="18.75">
      <c r="B448" s="154" t="str">
        <f ca="1">INDIRECT("領収証内訳!"&amp;$Z$2&amp;$X410+4)&amp;" さん保護者　様"</f>
        <v xml:space="preserve"> さん保護者　様</v>
      </c>
      <c r="C448" s="155"/>
      <c r="D448" s="156"/>
      <c r="E448" s="156"/>
      <c r="F448" s="156"/>
      <c r="G448" s="1"/>
      <c r="H448" s="1"/>
      <c r="I448" s="1"/>
      <c r="J448" s="1"/>
      <c r="K448" s="1"/>
      <c r="L448" s="2"/>
      <c r="M448" s="154" t="str">
        <f ca="1">INDIRECT("領収証内訳!"&amp;$Z$2&amp;$X410+5)&amp;" さん保護者　様"</f>
        <v xml:space="preserve"> さん保護者　様</v>
      </c>
      <c r="N448" s="155"/>
      <c r="O448" s="157"/>
      <c r="P448" s="157"/>
      <c r="Q448" s="157"/>
      <c r="R448" s="1"/>
      <c r="S448" s="1"/>
      <c r="T448" s="1"/>
      <c r="U448" s="1"/>
      <c r="V448" s="1"/>
    </row>
    <row r="449" spans="2:22" ht="9.9499999999999993" customHeight="1">
      <c r="B449" s="1"/>
      <c r="C449" s="1"/>
      <c r="D449" s="1"/>
      <c r="E449" s="1"/>
      <c r="F449" s="1"/>
      <c r="G449" s="1"/>
      <c r="H449" s="1"/>
      <c r="I449" s="1"/>
      <c r="J449" s="1"/>
      <c r="K449" s="1"/>
      <c r="L449" s="2"/>
      <c r="M449" s="1"/>
      <c r="N449" s="1"/>
      <c r="O449" s="1"/>
      <c r="P449" s="1"/>
      <c r="Q449" s="1"/>
      <c r="R449" s="1"/>
      <c r="S449" s="1"/>
      <c r="T449" s="1"/>
      <c r="U449" s="1"/>
      <c r="V449" s="1"/>
    </row>
    <row r="450" spans="2:22" ht="7.5" customHeight="1">
      <c r="B450" s="1"/>
      <c r="C450" s="1"/>
      <c r="D450" s="1"/>
      <c r="E450" s="1"/>
      <c r="F450" s="1"/>
      <c r="G450" s="1"/>
      <c r="H450" s="1"/>
      <c r="I450" s="1"/>
      <c r="J450" s="1"/>
      <c r="K450" s="1"/>
      <c r="L450" s="2"/>
      <c r="M450" s="1"/>
      <c r="N450" s="1"/>
      <c r="O450" s="1"/>
      <c r="P450" s="1"/>
      <c r="Q450" s="1"/>
      <c r="R450" s="1"/>
      <c r="S450" s="1"/>
      <c r="T450" s="1"/>
      <c r="U450" s="1"/>
      <c r="V450" s="1"/>
    </row>
    <row r="451" spans="2:22" ht="21">
      <c r="B451" s="1"/>
      <c r="C451" s="5"/>
      <c r="D451" s="6" t="s">
        <v>5</v>
      </c>
      <c r="E451" s="143">
        <f ca="1">INDIRECT("領収証内訳!"&amp;$Y$2&amp;$X410+4)</f>
        <v>0</v>
      </c>
      <c r="F451" s="144"/>
      <c r="G451" s="7" t="s">
        <v>6</v>
      </c>
      <c r="H451" s="8"/>
      <c r="I451" s="1"/>
      <c r="J451" s="1"/>
      <c r="K451" s="1"/>
      <c r="L451" s="2"/>
      <c r="M451" s="1"/>
      <c r="N451" s="5"/>
      <c r="O451" s="6" t="s">
        <v>5</v>
      </c>
      <c r="P451" s="143">
        <f ca="1">INDIRECT("領収証内訳!"&amp;$Y$2&amp;$X410+5)</f>
        <v>0</v>
      </c>
      <c r="Q451" s="144"/>
      <c r="R451" s="7" t="s">
        <v>6</v>
      </c>
      <c r="S451" s="8"/>
      <c r="T451" s="1"/>
      <c r="U451" s="1"/>
      <c r="V451" s="1"/>
    </row>
    <row r="452" spans="2:22" ht="9.9499999999999993" customHeight="1">
      <c r="B452" s="1"/>
      <c r="C452" s="1"/>
      <c r="D452" s="1"/>
      <c r="E452" s="1"/>
      <c r="F452" s="1"/>
      <c r="G452" s="1"/>
      <c r="H452" s="1"/>
      <c r="I452" s="1"/>
      <c r="J452" s="1"/>
      <c r="K452" s="1"/>
      <c r="L452" s="2"/>
      <c r="M452" s="1"/>
      <c r="N452" s="1"/>
      <c r="O452" s="1"/>
      <c r="P452" s="1"/>
      <c r="Q452" s="1"/>
      <c r="R452" s="1"/>
      <c r="S452" s="1"/>
      <c r="T452" s="1"/>
      <c r="U452" s="1"/>
      <c r="V452" s="1"/>
    </row>
    <row r="453" spans="2:22" ht="18.75">
      <c r="B453" s="1"/>
      <c r="C453" s="1"/>
      <c r="D453" s="145" t="str">
        <f>"　　※但　　参加費等収入（"&amp;領収証内訳!$X$4&amp;"分）として"</f>
        <v>　　※但　　参加費等収入（４月分）として</v>
      </c>
      <c r="E453" s="146"/>
      <c r="F453" s="146"/>
      <c r="G453" s="146"/>
      <c r="H453" s="146"/>
      <c r="I453" s="146"/>
      <c r="J453" s="146"/>
      <c r="K453" s="1"/>
      <c r="L453" s="2"/>
      <c r="M453" s="1"/>
      <c r="N453" s="1"/>
      <c r="O453" s="145" t="str">
        <f>"　　※但　　参加費等収入（"&amp;領収証内訳!$X$4&amp;"分）として"</f>
        <v>　　※但　　参加費等収入（４月分）として</v>
      </c>
      <c r="P453" s="139"/>
      <c r="Q453" s="139"/>
      <c r="R453" s="139"/>
      <c r="S453" s="139"/>
      <c r="T453" s="139"/>
      <c r="U453" s="139"/>
      <c r="V453" s="1"/>
    </row>
    <row r="454" spans="2:22" ht="9.9499999999999993" customHeight="1">
      <c r="B454" s="1"/>
      <c r="C454" s="1"/>
      <c r="D454" s="1"/>
      <c r="E454" s="1"/>
      <c r="F454" s="1"/>
      <c r="G454" s="1"/>
      <c r="H454" s="1"/>
      <c r="I454" s="1"/>
      <c r="J454" s="1"/>
      <c r="K454" s="1"/>
      <c r="L454" s="2"/>
      <c r="M454" s="1"/>
      <c r="N454" s="1"/>
      <c r="O454" s="1"/>
      <c r="P454" s="1"/>
      <c r="Q454" s="1"/>
      <c r="R454" s="1"/>
      <c r="S454" s="1"/>
      <c r="T454" s="1"/>
      <c r="U454" s="1"/>
      <c r="V454" s="1"/>
    </row>
    <row r="455" spans="2:22" ht="18.75">
      <c r="B455" s="1"/>
      <c r="C455" s="1"/>
      <c r="D455" s="1"/>
      <c r="E455" s="17" t="s">
        <v>7</v>
      </c>
      <c r="F455" s="1"/>
      <c r="G455" s="1"/>
      <c r="H455" s="1"/>
      <c r="I455" s="1"/>
      <c r="J455" s="1"/>
      <c r="K455" s="1"/>
      <c r="L455" s="2"/>
      <c r="M455" s="1"/>
      <c r="N455" s="1"/>
      <c r="O455" s="1"/>
      <c r="P455" s="17" t="s">
        <v>7</v>
      </c>
      <c r="Q455" s="1"/>
      <c r="R455" s="1"/>
      <c r="S455" s="1"/>
      <c r="T455" s="1"/>
      <c r="U455" s="1"/>
      <c r="V455" s="1"/>
    </row>
    <row r="456" spans="2:22" ht="6" customHeight="1">
      <c r="B456" s="1"/>
      <c r="C456" s="1"/>
      <c r="D456" s="1"/>
      <c r="E456" s="1"/>
      <c r="F456" s="1"/>
      <c r="G456" s="1"/>
      <c r="H456" s="1"/>
      <c r="I456" s="1"/>
      <c r="J456" s="1"/>
      <c r="K456" s="1"/>
      <c r="L456" s="2"/>
      <c r="M456" s="1"/>
      <c r="N456" s="1"/>
      <c r="O456" s="1"/>
      <c r="P456" s="1"/>
      <c r="Q456" s="1"/>
      <c r="R456" s="1"/>
      <c r="S456" s="1"/>
      <c r="T456" s="1"/>
      <c r="U456" s="1"/>
      <c r="V456" s="1"/>
    </row>
    <row r="457" spans="2:22" ht="20.100000000000001" customHeight="1">
      <c r="B457" s="1"/>
      <c r="C457" s="1"/>
      <c r="D457" s="1"/>
      <c r="F457" s="136" t="s">
        <v>68</v>
      </c>
      <c r="G457" s="137"/>
      <c r="H457" s="147">
        <f>領収証内訳!$X$2</f>
        <v>0</v>
      </c>
      <c r="I457" s="148"/>
      <c r="J457" s="149"/>
      <c r="K457" s="150"/>
      <c r="L457" s="2"/>
      <c r="M457" s="1"/>
      <c r="N457" s="1"/>
      <c r="O457" s="1"/>
      <c r="P457" s="5"/>
      <c r="Q457" s="136" t="s">
        <v>68</v>
      </c>
      <c r="R457" s="137"/>
      <c r="S457" s="147">
        <f>領収証内訳!$X$2</f>
        <v>0</v>
      </c>
      <c r="T457" s="148"/>
      <c r="U457" s="153"/>
      <c r="V457" s="153"/>
    </row>
    <row r="458" spans="2:22" ht="20.100000000000001" customHeight="1">
      <c r="B458" s="1"/>
      <c r="C458" s="1"/>
      <c r="D458" s="1"/>
      <c r="F458" s="138" t="s">
        <v>67</v>
      </c>
      <c r="G458" s="139"/>
      <c r="H458" s="162">
        <f>領収証内訳!$AA$2</f>
        <v>0</v>
      </c>
      <c r="I458" s="163"/>
      <c r="J458" s="9" t="s">
        <v>8</v>
      </c>
      <c r="K458" s="9"/>
      <c r="L458" s="12"/>
      <c r="M458" s="1"/>
      <c r="N458" s="1"/>
      <c r="O458" s="1"/>
      <c r="P458" s="5"/>
      <c r="Q458" s="138" t="s">
        <v>67</v>
      </c>
      <c r="R458" s="139"/>
      <c r="S458" s="162">
        <f>領収証内訳!$AA$2</f>
        <v>0</v>
      </c>
      <c r="T458" s="163"/>
      <c r="U458" s="9" t="s">
        <v>8</v>
      </c>
      <c r="V458" s="9"/>
    </row>
    <row r="459" spans="2:22" ht="6.95" customHeight="1">
      <c r="B459" s="10"/>
      <c r="C459" s="10"/>
      <c r="D459" s="10"/>
      <c r="E459" s="10"/>
      <c r="F459" s="13"/>
      <c r="G459" s="14"/>
      <c r="H459" s="10"/>
      <c r="I459" s="10"/>
      <c r="J459" s="11"/>
      <c r="K459" s="11"/>
      <c r="L459" s="15"/>
      <c r="M459" s="10"/>
      <c r="N459" s="10"/>
      <c r="O459" s="10"/>
      <c r="P459" s="10"/>
      <c r="Q459" s="13"/>
      <c r="R459" s="14"/>
      <c r="S459" s="10"/>
      <c r="T459" s="10"/>
      <c r="U459" s="11"/>
      <c r="V459" s="11"/>
    </row>
    <row r="460" spans="2:22" ht="10.5" customHeight="1">
      <c r="B460" s="1"/>
      <c r="C460" s="1"/>
      <c r="D460" s="1"/>
      <c r="E460" s="1"/>
      <c r="F460" s="1"/>
      <c r="G460" s="1"/>
      <c r="H460" s="1"/>
      <c r="I460" s="1"/>
      <c r="J460" s="1"/>
      <c r="K460" s="1"/>
      <c r="L460" s="2"/>
      <c r="M460" s="1"/>
      <c r="N460" s="1"/>
      <c r="O460" s="1"/>
      <c r="P460" s="1"/>
      <c r="Q460" s="1"/>
      <c r="R460" s="1"/>
      <c r="S460" s="1"/>
      <c r="T460" s="1"/>
      <c r="U460" s="1"/>
      <c r="V460" s="1"/>
    </row>
    <row r="461" spans="2:22" ht="21">
      <c r="B461" s="1"/>
      <c r="C461" s="1"/>
      <c r="D461" s="4" t="s">
        <v>4</v>
      </c>
      <c r="E461" s="1"/>
      <c r="F461" s="1"/>
      <c r="G461" s="1"/>
      <c r="H461" s="1"/>
      <c r="I461" s="1"/>
      <c r="J461" s="1"/>
      <c r="K461" s="1"/>
      <c r="L461" s="2"/>
      <c r="M461" s="1"/>
      <c r="N461" s="1"/>
      <c r="O461" s="4" t="s">
        <v>4</v>
      </c>
      <c r="P461" s="1"/>
      <c r="Q461" s="1"/>
      <c r="R461" s="1"/>
      <c r="S461" s="1"/>
      <c r="T461" s="1"/>
      <c r="U461" s="1"/>
      <c r="V461" s="1"/>
    </row>
    <row r="462" spans="2:22" ht="8.25" customHeight="1">
      <c r="B462" s="1"/>
      <c r="C462" s="1"/>
      <c r="D462" s="1"/>
      <c r="E462" s="1"/>
      <c r="F462" s="1"/>
      <c r="G462" s="1"/>
      <c r="H462" s="1"/>
      <c r="I462" s="1"/>
      <c r="J462" s="1"/>
      <c r="K462" s="1"/>
      <c r="L462" s="2"/>
      <c r="M462" s="1"/>
      <c r="N462" s="1"/>
      <c r="O462" s="1"/>
      <c r="P462" s="1"/>
      <c r="Q462" s="1"/>
      <c r="R462" s="1"/>
      <c r="S462" s="1"/>
      <c r="T462" s="1"/>
      <c r="U462" s="1"/>
      <c r="V462" s="1"/>
    </row>
    <row r="463" spans="2:22" ht="18.75">
      <c r="B463" s="1"/>
      <c r="C463" s="1"/>
      <c r="D463" s="1"/>
      <c r="E463" s="1"/>
      <c r="F463" s="140">
        <f>領収証内訳!$AA$3</f>
        <v>46275</v>
      </c>
      <c r="G463" s="141"/>
      <c r="H463" s="141"/>
      <c r="I463" s="141"/>
      <c r="J463" s="141"/>
      <c r="K463" s="1"/>
      <c r="L463" s="2"/>
      <c r="M463" s="1"/>
      <c r="N463" s="1"/>
      <c r="O463" s="1"/>
      <c r="P463" s="1"/>
      <c r="Q463" s="140">
        <f>領収証内訳!$AA$3</f>
        <v>46275</v>
      </c>
      <c r="R463" s="142"/>
      <c r="S463" s="142"/>
      <c r="T463" s="142"/>
      <c r="U463" s="142"/>
      <c r="V463" s="1"/>
    </row>
    <row r="464" spans="2:22" ht="9.9499999999999993" customHeight="1">
      <c r="B464" s="1"/>
      <c r="C464" s="1"/>
      <c r="D464" s="1"/>
      <c r="E464" s="1"/>
      <c r="F464" s="1"/>
      <c r="G464" s="1"/>
      <c r="H464" s="1"/>
      <c r="I464" s="1"/>
      <c r="J464" s="1"/>
      <c r="K464" s="1"/>
      <c r="L464" s="2"/>
      <c r="M464" s="1"/>
      <c r="N464" s="1"/>
      <c r="O464" s="1"/>
      <c r="P464" s="1"/>
      <c r="Q464" s="1"/>
      <c r="R464" s="1"/>
      <c r="S464" s="1"/>
      <c r="T464" s="1"/>
      <c r="U464" s="1"/>
      <c r="V464" s="1"/>
    </row>
    <row r="465" spans="2:22" ht="18.75">
      <c r="B465" s="154" t="str">
        <f ca="1">INDIRECT("領収証内訳!"&amp;$Z$2&amp;$X410+6)&amp;" さん保護者　様"</f>
        <v xml:space="preserve"> さん保護者　様</v>
      </c>
      <c r="C465" s="155"/>
      <c r="D465" s="156"/>
      <c r="E465" s="156"/>
      <c r="F465" s="156"/>
      <c r="G465" s="1"/>
      <c r="H465" s="1"/>
      <c r="I465" s="1"/>
      <c r="J465" s="1"/>
      <c r="K465" s="1"/>
      <c r="L465" s="2"/>
      <c r="M465" s="154" t="str">
        <f ca="1">INDIRECT("領収証内訳!"&amp;$Z$2&amp;$X410+7)&amp;" さん保護者　様"</f>
        <v xml:space="preserve"> さん保護者　様</v>
      </c>
      <c r="N465" s="155"/>
      <c r="O465" s="157"/>
      <c r="P465" s="157"/>
      <c r="Q465" s="157"/>
      <c r="R465" s="1"/>
      <c r="S465" s="1"/>
      <c r="T465" s="1"/>
      <c r="U465" s="1"/>
      <c r="V465" s="1"/>
    </row>
    <row r="466" spans="2:22">
      <c r="B466" s="1"/>
      <c r="C466" s="1"/>
      <c r="D466" s="1"/>
      <c r="E466" s="1"/>
      <c r="F466" s="1"/>
      <c r="G466" s="1"/>
      <c r="H466" s="1"/>
      <c r="I466" s="1"/>
      <c r="J466" s="1"/>
      <c r="K466" s="1"/>
      <c r="L466" s="2"/>
      <c r="M466" s="1"/>
      <c r="N466" s="1"/>
      <c r="O466" s="1"/>
      <c r="P466" s="1"/>
      <c r="Q466" s="1"/>
      <c r="R466" s="1"/>
      <c r="S466" s="1"/>
      <c r="T466" s="1"/>
      <c r="U466" s="1"/>
      <c r="V466" s="1"/>
    </row>
    <row r="467" spans="2:22" ht="7.5" customHeight="1">
      <c r="B467" s="1"/>
      <c r="C467" s="1"/>
      <c r="D467" s="1"/>
      <c r="E467" s="1"/>
      <c r="F467" s="1"/>
      <c r="G467" s="1"/>
      <c r="H467" s="1"/>
      <c r="I467" s="1"/>
      <c r="J467" s="1"/>
      <c r="K467" s="1"/>
      <c r="L467" s="2"/>
      <c r="M467" s="1"/>
      <c r="N467" s="1"/>
      <c r="O467" s="1"/>
      <c r="P467" s="1"/>
      <c r="Q467" s="1"/>
      <c r="R467" s="1"/>
      <c r="S467" s="1"/>
      <c r="T467" s="1"/>
      <c r="U467" s="1"/>
      <c r="V467" s="1"/>
    </row>
    <row r="468" spans="2:22" ht="21">
      <c r="B468" s="1"/>
      <c r="C468" s="5"/>
      <c r="D468" s="6" t="s">
        <v>5</v>
      </c>
      <c r="E468" s="143">
        <f ca="1">INDIRECT("領収証内訳!"&amp;$Y$2&amp;$X410+6)</f>
        <v>0</v>
      </c>
      <c r="F468" s="144"/>
      <c r="G468" s="7" t="s">
        <v>6</v>
      </c>
      <c r="H468" s="8"/>
      <c r="I468" s="1"/>
      <c r="J468" s="1"/>
      <c r="K468" s="1"/>
      <c r="L468" s="2"/>
      <c r="M468" s="1"/>
      <c r="N468" s="5"/>
      <c r="O468" s="6" t="s">
        <v>5</v>
      </c>
      <c r="P468" s="143">
        <f ca="1">INDIRECT("領収証内訳!"&amp;$Y$2&amp;$X410+7)</f>
        <v>0</v>
      </c>
      <c r="Q468" s="144"/>
      <c r="R468" s="7" t="s">
        <v>6</v>
      </c>
      <c r="S468" s="8"/>
      <c r="T468" s="1"/>
      <c r="U468" s="1"/>
      <c r="V468" s="1"/>
    </row>
    <row r="469" spans="2:22">
      <c r="B469" s="1"/>
      <c r="C469" s="1"/>
      <c r="D469" s="1"/>
      <c r="E469" s="1"/>
      <c r="F469" s="1"/>
      <c r="G469" s="1"/>
      <c r="H469" s="1"/>
      <c r="I469" s="1"/>
      <c r="J469" s="1"/>
      <c r="K469" s="1"/>
      <c r="L469" s="2"/>
      <c r="M469" s="1"/>
      <c r="N469" s="1"/>
      <c r="O469" s="1"/>
      <c r="P469" s="1"/>
      <c r="Q469" s="1"/>
      <c r="R469" s="1"/>
      <c r="S469" s="1"/>
      <c r="T469" s="1"/>
      <c r="U469" s="1"/>
      <c r="V469" s="1"/>
    </row>
    <row r="470" spans="2:22" ht="18.75">
      <c r="B470" s="1"/>
      <c r="C470" s="1"/>
      <c r="D470" s="145" t="str">
        <f>"　　※但　　参加費等収入（"&amp;領収証内訳!$X$4&amp;"分）として"</f>
        <v>　　※但　　参加費等収入（４月分）として</v>
      </c>
      <c r="E470" s="146"/>
      <c r="F470" s="146"/>
      <c r="G470" s="146"/>
      <c r="H470" s="146"/>
      <c r="I470" s="146"/>
      <c r="J470" s="146"/>
      <c r="K470" s="1"/>
      <c r="L470" s="2"/>
      <c r="M470" s="1"/>
      <c r="N470" s="1"/>
      <c r="O470" s="145" t="str">
        <f>"　　※但　　参加費等収入（"&amp;領収証内訳!$X$4&amp;"分）として"</f>
        <v>　　※但　　参加費等収入（４月分）として</v>
      </c>
      <c r="P470" s="139"/>
      <c r="Q470" s="139"/>
      <c r="R470" s="139"/>
      <c r="S470" s="139"/>
      <c r="T470" s="139"/>
      <c r="U470" s="139"/>
      <c r="V470" s="1"/>
    </row>
    <row r="471" spans="2:22">
      <c r="B471" s="1"/>
      <c r="C471" s="1"/>
      <c r="D471" s="1"/>
      <c r="E471" s="1"/>
      <c r="F471" s="1"/>
      <c r="G471" s="1"/>
      <c r="H471" s="1"/>
      <c r="I471" s="1"/>
      <c r="J471" s="1"/>
      <c r="K471" s="1"/>
      <c r="L471" s="2"/>
      <c r="M471" s="1"/>
      <c r="N471" s="1"/>
      <c r="O471" s="1"/>
      <c r="P471" s="1"/>
      <c r="Q471" s="1"/>
      <c r="R471" s="1"/>
      <c r="S471" s="1"/>
      <c r="T471" s="1"/>
      <c r="U471" s="1"/>
      <c r="V471" s="1"/>
    </row>
    <row r="472" spans="2:22" ht="18.75">
      <c r="B472" s="1"/>
      <c r="C472" s="1"/>
      <c r="D472" s="1"/>
      <c r="E472" s="17" t="s">
        <v>7</v>
      </c>
      <c r="F472" s="1"/>
      <c r="G472" s="1"/>
      <c r="H472" s="1"/>
      <c r="I472" s="1"/>
      <c r="J472" s="1"/>
      <c r="K472" s="1"/>
      <c r="L472" s="2"/>
      <c r="M472" s="1"/>
      <c r="N472" s="1"/>
      <c r="O472" s="1"/>
      <c r="P472" s="17" t="s">
        <v>7</v>
      </c>
      <c r="Q472" s="1"/>
      <c r="R472" s="1"/>
      <c r="S472" s="1"/>
      <c r="T472" s="1"/>
      <c r="U472" s="1"/>
      <c r="V472" s="1"/>
    </row>
    <row r="473" spans="2:22" ht="6" customHeight="1">
      <c r="B473" s="1"/>
      <c r="C473" s="1"/>
      <c r="D473" s="1"/>
      <c r="E473" s="1"/>
      <c r="F473" s="1"/>
      <c r="G473" s="1"/>
      <c r="H473" s="1"/>
      <c r="I473" s="1"/>
      <c r="J473" s="1"/>
      <c r="K473" s="1"/>
      <c r="L473" s="2"/>
      <c r="M473" s="1"/>
      <c r="N473" s="1"/>
      <c r="O473" s="1"/>
      <c r="P473" s="1"/>
      <c r="Q473" s="1"/>
      <c r="R473" s="1"/>
      <c r="S473" s="1"/>
      <c r="T473" s="1"/>
      <c r="U473" s="1"/>
      <c r="V473" s="1"/>
    </row>
    <row r="474" spans="2:22" ht="20.100000000000001" customHeight="1">
      <c r="B474" s="1"/>
      <c r="C474" s="1"/>
      <c r="D474" s="1"/>
      <c r="F474" s="136" t="s">
        <v>68</v>
      </c>
      <c r="G474" s="137"/>
      <c r="H474" s="147">
        <f>領収証内訳!$X$2</f>
        <v>0</v>
      </c>
      <c r="I474" s="148"/>
      <c r="J474" s="149"/>
      <c r="K474" s="150"/>
      <c r="L474" s="2"/>
      <c r="M474" s="1"/>
      <c r="N474" s="1"/>
      <c r="O474" s="1"/>
      <c r="P474" s="5"/>
      <c r="Q474" s="136" t="s">
        <v>68</v>
      </c>
      <c r="R474" s="137"/>
      <c r="S474" s="147">
        <f>領収証内訳!$X$2</f>
        <v>0</v>
      </c>
      <c r="T474" s="148"/>
      <c r="U474" s="153"/>
      <c r="V474" s="153"/>
    </row>
    <row r="475" spans="2:22" ht="20.100000000000001" customHeight="1">
      <c r="B475" s="1"/>
      <c r="C475" s="1"/>
      <c r="D475" s="1"/>
      <c r="F475" s="138" t="s">
        <v>67</v>
      </c>
      <c r="G475" s="139"/>
      <c r="H475" s="162">
        <f>領収証内訳!$AA$2</f>
        <v>0</v>
      </c>
      <c r="I475" s="163"/>
      <c r="J475" s="9" t="s">
        <v>8</v>
      </c>
      <c r="K475" s="9"/>
      <c r="L475" s="12"/>
      <c r="M475" s="1"/>
      <c r="N475" s="1"/>
      <c r="O475" s="1"/>
      <c r="P475" s="5"/>
      <c r="Q475" s="138" t="s">
        <v>67</v>
      </c>
      <c r="R475" s="139"/>
      <c r="S475" s="162">
        <f>領収証内訳!$AA$2</f>
        <v>0</v>
      </c>
      <c r="T475" s="163"/>
      <c r="U475" s="9" t="s">
        <v>8</v>
      </c>
      <c r="V475" s="9"/>
    </row>
    <row r="476" spans="2:22" ht="5.25" customHeight="1">
      <c r="B476" s="1"/>
      <c r="C476" s="1"/>
      <c r="D476" s="1"/>
      <c r="E476" s="1"/>
      <c r="F476" s="16"/>
      <c r="G476" s="5"/>
      <c r="H476" s="1"/>
      <c r="I476" s="1"/>
      <c r="J476" s="9"/>
      <c r="K476" s="9"/>
      <c r="L476" s="12"/>
      <c r="M476" s="1"/>
      <c r="N476" s="1"/>
      <c r="O476" s="1"/>
      <c r="P476" s="1"/>
      <c r="Q476" s="16"/>
      <c r="R476" s="5"/>
      <c r="S476" s="1"/>
      <c r="T476" s="1"/>
      <c r="U476" s="9"/>
      <c r="V476" s="9"/>
    </row>
  </sheetData>
  <sheetProtection sheet="1" objects="1" scenarios="1"/>
  <mergeCells count="448">
    <mergeCell ref="D470:J470"/>
    <mergeCell ref="O470:U470"/>
    <mergeCell ref="F474:G474"/>
    <mergeCell ref="H474:K474"/>
    <mergeCell ref="Q474:R474"/>
    <mergeCell ref="S474:V474"/>
    <mergeCell ref="F475:G475"/>
    <mergeCell ref="H475:I475"/>
    <mergeCell ref="Q475:R475"/>
    <mergeCell ref="S475:T475"/>
    <mergeCell ref="F458:G458"/>
    <mergeCell ref="H458:I458"/>
    <mergeCell ref="Q458:R458"/>
    <mergeCell ref="S458:T458"/>
    <mergeCell ref="F463:J463"/>
    <mergeCell ref="Q463:U463"/>
    <mergeCell ref="B465:F465"/>
    <mergeCell ref="M465:Q465"/>
    <mergeCell ref="E468:F468"/>
    <mergeCell ref="P468:Q468"/>
    <mergeCell ref="F446:J446"/>
    <mergeCell ref="Q446:U446"/>
    <mergeCell ref="B448:F448"/>
    <mergeCell ref="M448:Q448"/>
    <mergeCell ref="E451:F451"/>
    <mergeCell ref="P451:Q451"/>
    <mergeCell ref="D453:J453"/>
    <mergeCell ref="O453:U453"/>
    <mergeCell ref="F457:G457"/>
    <mergeCell ref="H457:K457"/>
    <mergeCell ref="Q457:R457"/>
    <mergeCell ref="S457:V457"/>
    <mergeCell ref="D436:J436"/>
    <mergeCell ref="O436:U436"/>
    <mergeCell ref="F440:G440"/>
    <mergeCell ref="H440:K440"/>
    <mergeCell ref="Q440:R440"/>
    <mergeCell ref="S440:V440"/>
    <mergeCell ref="F441:G441"/>
    <mergeCell ref="H441:I441"/>
    <mergeCell ref="Q441:R441"/>
    <mergeCell ref="S441:T441"/>
    <mergeCell ref="F424:G424"/>
    <mergeCell ref="H424:I424"/>
    <mergeCell ref="Q424:R424"/>
    <mergeCell ref="S424:T424"/>
    <mergeCell ref="F429:J429"/>
    <mergeCell ref="Q429:U429"/>
    <mergeCell ref="B431:F431"/>
    <mergeCell ref="M431:Q431"/>
    <mergeCell ref="E434:F434"/>
    <mergeCell ref="P434:Q434"/>
    <mergeCell ref="F412:J412"/>
    <mergeCell ref="Q412:U412"/>
    <mergeCell ref="B414:F414"/>
    <mergeCell ref="M414:Q414"/>
    <mergeCell ref="E417:F417"/>
    <mergeCell ref="P417:Q417"/>
    <mergeCell ref="D419:J419"/>
    <mergeCell ref="O419:U419"/>
    <mergeCell ref="F423:G423"/>
    <mergeCell ref="H423:K423"/>
    <mergeCell ref="Q423:R423"/>
    <mergeCell ref="S423:V423"/>
    <mergeCell ref="D402:J402"/>
    <mergeCell ref="O402:U402"/>
    <mergeCell ref="F406:G406"/>
    <mergeCell ref="H406:K406"/>
    <mergeCell ref="Q406:R406"/>
    <mergeCell ref="S406:V406"/>
    <mergeCell ref="F407:G407"/>
    <mergeCell ref="H407:I407"/>
    <mergeCell ref="Q407:R407"/>
    <mergeCell ref="S407:T407"/>
    <mergeCell ref="F390:G390"/>
    <mergeCell ref="H390:I390"/>
    <mergeCell ref="Q390:R390"/>
    <mergeCell ref="S390:T390"/>
    <mergeCell ref="F395:J395"/>
    <mergeCell ref="Q395:U395"/>
    <mergeCell ref="B397:F397"/>
    <mergeCell ref="M397:Q397"/>
    <mergeCell ref="E400:F400"/>
    <mergeCell ref="P400:Q400"/>
    <mergeCell ref="F378:J378"/>
    <mergeCell ref="Q378:U378"/>
    <mergeCell ref="B380:F380"/>
    <mergeCell ref="M380:Q380"/>
    <mergeCell ref="E383:F383"/>
    <mergeCell ref="P383:Q383"/>
    <mergeCell ref="D385:J385"/>
    <mergeCell ref="O385:U385"/>
    <mergeCell ref="F389:G389"/>
    <mergeCell ref="H389:K389"/>
    <mergeCell ref="Q389:R389"/>
    <mergeCell ref="S389:V389"/>
    <mergeCell ref="D368:J368"/>
    <mergeCell ref="O368:U368"/>
    <mergeCell ref="F372:G372"/>
    <mergeCell ref="H372:K372"/>
    <mergeCell ref="Q372:R372"/>
    <mergeCell ref="S372:V372"/>
    <mergeCell ref="F373:G373"/>
    <mergeCell ref="H373:I373"/>
    <mergeCell ref="Q373:R373"/>
    <mergeCell ref="S373:T373"/>
    <mergeCell ref="F356:G356"/>
    <mergeCell ref="H356:I356"/>
    <mergeCell ref="Q356:R356"/>
    <mergeCell ref="S356:T356"/>
    <mergeCell ref="F361:J361"/>
    <mergeCell ref="Q361:U361"/>
    <mergeCell ref="B363:F363"/>
    <mergeCell ref="M363:Q363"/>
    <mergeCell ref="E366:F366"/>
    <mergeCell ref="P366:Q366"/>
    <mergeCell ref="F344:J344"/>
    <mergeCell ref="Q344:U344"/>
    <mergeCell ref="B346:F346"/>
    <mergeCell ref="M346:Q346"/>
    <mergeCell ref="E349:F349"/>
    <mergeCell ref="P349:Q349"/>
    <mergeCell ref="D351:J351"/>
    <mergeCell ref="O351:U351"/>
    <mergeCell ref="F355:G355"/>
    <mergeCell ref="H355:K355"/>
    <mergeCell ref="Q355:R355"/>
    <mergeCell ref="S355:V355"/>
    <mergeCell ref="S50:T50"/>
    <mergeCell ref="H66:K66"/>
    <mergeCell ref="B176:F176"/>
    <mergeCell ref="M176:Q176"/>
    <mergeCell ref="B193:F193"/>
    <mergeCell ref="M193:Q193"/>
    <mergeCell ref="F151:G151"/>
    <mergeCell ref="F152:G152"/>
    <mergeCell ref="Q152:R152"/>
    <mergeCell ref="H152:I152"/>
    <mergeCell ref="F185:G185"/>
    <mergeCell ref="Q185:R185"/>
    <mergeCell ref="F186:G186"/>
    <mergeCell ref="Q186:R186"/>
    <mergeCell ref="F174:J174"/>
    <mergeCell ref="Q174:U174"/>
    <mergeCell ref="E179:F179"/>
    <mergeCell ref="P179:Q179"/>
    <mergeCell ref="D181:J181"/>
    <mergeCell ref="O181:U181"/>
    <mergeCell ref="S152:T152"/>
    <mergeCell ref="F168:G168"/>
    <mergeCell ref="Q168:R168"/>
    <mergeCell ref="F169:G169"/>
    <mergeCell ref="H151:K151"/>
    <mergeCell ref="S151:V151"/>
    <mergeCell ref="Q151:R151"/>
    <mergeCell ref="F140:J140"/>
    <mergeCell ref="Q140:U140"/>
    <mergeCell ref="E145:F145"/>
    <mergeCell ref="P145:Q145"/>
    <mergeCell ref="D147:J147"/>
    <mergeCell ref="O147:U147"/>
    <mergeCell ref="B142:F142"/>
    <mergeCell ref="M142:Q142"/>
    <mergeCell ref="E94:F94"/>
    <mergeCell ref="P94:Q94"/>
    <mergeCell ref="D79:J79"/>
    <mergeCell ref="O79:U79"/>
    <mergeCell ref="F83:G83"/>
    <mergeCell ref="Q83:R83"/>
    <mergeCell ref="H135:I135"/>
    <mergeCell ref="S134:V134"/>
    <mergeCell ref="S135:T135"/>
    <mergeCell ref="F135:G135"/>
    <mergeCell ref="Q135:R135"/>
    <mergeCell ref="F72:J72"/>
    <mergeCell ref="E77:F77"/>
    <mergeCell ref="P77:Q77"/>
    <mergeCell ref="B74:F74"/>
    <mergeCell ref="M74:Q74"/>
    <mergeCell ref="B91:F91"/>
    <mergeCell ref="M91:Q91"/>
    <mergeCell ref="H67:I67"/>
    <mergeCell ref="F84:G84"/>
    <mergeCell ref="Q72:U72"/>
    <mergeCell ref="H83:K83"/>
    <mergeCell ref="H84:I84"/>
    <mergeCell ref="S83:V83"/>
    <mergeCell ref="S84:T84"/>
    <mergeCell ref="Q84:R84"/>
    <mergeCell ref="F89:J89"/>
    <mergeCell ref="Q89:U89"/>
    <mergeCell ref="F67:G67"/>
    <mergeCell ref="S67:T67"/>
    <mergeCell ref="Q67:R67"/>
    <mergeCell ref="B6:F6"/>
    <mergeCell ref="M6:Q6"/>
    <mergeCell ref="H16:I16"/>
    <mergeCell ref="H15:K15"/>
    <mergeCell ref="S15:V15"/>
    <mergeCell ref="S16:T16"/>
    <mergeCell ref="F15:G15"/>
    <mergeCell ref="Q15:R15"/>
    <mergeCell ref="F16:G16"/>
    <mergeCell ref="Q16:R16"/>
    <mergeCell ref="F21:J21"/>
    <mergeCell ref="Q21:U21"/>
    <mergeCell ref="D45:J45"/>
    <mergeCell ref="O45:U45"/>
    <mergeCell ref="F49:G49"/>
    <mergeCell ref="Q49:R49"/>
    <mergeCell ref="F66:G66"/>
    <mergeCell ref="B57:F57"/>
    <mergeCell ref="M57:Q57"/>
    <mergeCell ref="H32:K32"/>
    <mergeCell ref="H33:I33"/>
    <mergeCell ref="F55:J55"/>
    <mergeCell ref="Q55:U55"/>
    <mergeCell ref="E60:F60"/>
    <mergeCell ref="P60:Q60"/>
    <mergeCell ref="D62:J62"/>
    <mergeCell ref="O62:U62"/>
    <mergeCell ref="F50:G50"/>
    <mergeCell ref="Q50:R50"/>
    <mergeCell ref="S66:V66"/>
    <mergeCell ref="Q66:R66"/>
    <mergeCell ref="H49:K49"/>
    <mergeCell ref="H50:I50"/>
    <mergeCell ref="S49:V49"/>
    <mergeCell ref="F4:J4"/>
    <mergeCell ref="Q4:U4"/>
    <mergeCell ref="E9:F9"/>
    <mergeCell ref="P9:Q9"/>
    <mergeCell ref="D11:J11"/>
    <mergeCell ref="O11:U11"/>
    <mergeCell ref="F38:J38"/>
    <mergeCell ref="Q38:U38"/>
    <mergeCell ref="E43:F43"/>
    <mergeCell ref="P43:Q43"/>
    <mergeCell ref="E26:F26"/>
    <mergeCell ref="P26:Q26"/>
    <mergeCell ref="D28:J28"/>
    <mergeCell ref="O28:U28"/>
    <mergeCell ref="F32:G32"/>
    <mergeCell ref="Q32:R32"/>
    <mergeCell ref="F33:G33"/>
    <mergeCell ref="Q33:R33"/>
    <mergeCell ref="S32:V32"/>
    <mergeCell ref="S33:T33"/>
    <mergeCell ref="B23:F23"/>
    <mergeCell ref="M23:Q23"/>
    <mergeCell ref="B40:F40"/>
    <mergeCell ref="M40:Q40"/>
    <mergeCell ref="O130:U130"/>
    <mergeCell ref="F134:G134"/>
    <mergeCell ref="Q134:R134"/>
    <mergeCell ref="F118:G118"/>
    <mergeCell ref="Q118:R118"/>
    <mergeCell ref="F123:J123"/>
    <mergeCell ref="Q123:U123"/>
    <mergeCell ref="E128:F128"/>
    <mergeCell ref="P128:Q128"/>
    <mergeCell ref="H118:I118"/>
    <mergeCell ref="S118:T118"/>
    <mergeCell ref="H134:K134"/>
    <mergeCell ref="B125:F125"/>
    <mergeCell ref="M125:Q125"/>
    <mergeCell ref="D130:J130"/>
    <mergeCell ref="D113:J113"/>
    <mergeCell ref="O113:U113"/>
    <mergeCell ref="F117:G117"/>
    <mergeCell ref="Q117:R117"/>
    <mergeCell ref="F106:J106"/>
    <mergeCell ref="Q106:U106"/>
    <mergeCell ref="E111:F111"/>
    <mergeCell ref="P111:Q111"/>
    <mergeCell ref="D96:J96"/>
    <mergeCell ref="O96:U96"/>
    <mergeCell ref="B108:F108"/>
    <mergeCell ref="M108:Q108"/>
    <mergeCell ref="F100:G100"/>
    <mergeCell ref="Q100:R100"/>
    <mergeCell ref="H117:K117"/>
    <mergeCell ref="S117:V117"/>
    <mergeCell ref="H100:K100"/>
    <mergeCell ref="H101:I101"/>
    <mergeCell ref="S100:V100"/>
    <mergeCell ref="S101:T101"/>
    <mergeCell ref="F101:G101"/>
    <mergeCell ref="Q101:R101"/>
    <mergeCell ref="Q157:U157"/>
    <mergeCell ref="E162:F162"/>
    <mergeCell ref="P162:Q162"/>
    <mergeCell ref="D164:J164"/>
    <mergeCell ref="O164:U164"/>
    <mergeCell ref="H168:K168"/>
    <mergeCell ref="H169:I169"/>
    <mergeCell ref="S168:V168"/>
    <mergeCell ref="S169:T169"/>
    <mergeCell ref="B159:F159"/>
    <mergeCell ref="M159:Q159"/>
    <mergeCell ref="Q169:R169"/>
    <mergeCell ref="F157:J157"/>
    <mergeCell ref="H185:K185"/>
    <mergeCell ref="H186:I186"/>
    <mergeCell ref="S185:V185"/>
    <mergeCell ref="S186:T186"/>
    <mergeCell ref="F202:G202"/>
    <mergeCell ref="Q202:R202"/>
    <mergeCell ref="F203:G203"/>
    <mergeCell ref="Q203:R203"/>
    <mergeCell ref="F191:J191"/>
    <mergeCell ref="Q191:U191"/>
    <mergeCell ref="E196:F196"/>
    <mergeCell ref="P196:Q196"/>
    <mergeCell ref="D198:J198"/>
    <mergeCell ref="O198:U198"/>
    <mergeCell ref="H202:K202"/>
    <mergeCell ref="H203:I203"/>
    <mergeCell ref="S202:V202"/>
    <mergeCell ref="S203:T203"/>
    <mergeCell ref="F219:G219"/>
    <mergeCell ref="Q219:R219"/>
    <mergeCell ref="F220:G220"/>
    <mergeCell ref="Q220:R220"/>
    <mergeCell ref="F208:J208"/>
    <mergeCell ref="Q208:U208"/>
    <mergeCell ref="E213:F213"/>
    <mergeCell ref="P213:Q213"/>
    <mergeCell ref="D215:J215"/>
    <mergeCell ref="O215:U215"/>
    <mergeCell ref="H219:K219"/>
    <mergeCell ref="H220:I220"/>
    <mergeCell ref="S219:V219"/>
    <mergeCell ref="S220:T220"/>
    <mergeCell ref="B210:F210"/>
    <mergeCell ref="M210:Q210"/>
    <mergeCell ref="F236:G236"/>
    <mergeCell ref="Q236:R236"/>
    <mergeCell ref="F237:G237"/>
    <mergeCell ref="Q237:R237"/>
    <mergeCell ref="F225:J225"/>
    <mergeCell ref="Q225:U225"/>
    <mergeCell ref="E230:F230"/>
    <mergeCell ref="P230:Q230"/>
    <mergeCell ref="D232:J232"/>
    <mergeCell ref="O232:U232"/>
    <mergeCell ref="H236:K236"/>
    <mergeCell ref="H237:I237"/>
    <mergeCell ref="S236:V236"/>
    <mergeCell ref="S237:T237"/>
    <mergeCell ref="B227:F227"/>
    <mergeCell ref="M227:Q227"/>
    <mergeCell ref="F253:G253"/>
    <mergeCell ref="Q253:R253"/>
    <mergeCell ref="F254:G254"/>
    <mergeCell ref="Q254:R254"/>
    <mergeCell ref="F242:J242"/>
    <mergeCell ref="Q242:U242"/>
    <mergeCell ref="E247:F247"/>
    <mergeCell ref="P247:Q247"/>
    <mergeCell ref="D249:J249"/>
    <mergeCell ref="O249:U249"/>
    <mergeCell ref="H253:K253"/>
    <mergeCell ref="H254:I254"/>
    <mergeCell ref="S253:V253"/>
    <mergeCell ref="S254:T254"/>
    <mergeCell ref="B244:F244"/>
    <mergeCell ref="M244:Q244"/>
    <mergeCell ref="F270:G270"/>
    <mergeCell ref="Q270:R270"/>
    <mergeCell ref="F271:G271"/>
    <mergeCell ref="Q271:R271"/>
    <mergeCell ref="F259:J259"/>
    <mergeCell ref="Q259:U259"/>
    <mergeCell ref="E264:F264"/>
    <mergeCell ref="P264:Q264"/>
    <mergeCell ref="D266:J266"/>
    <mergeCell ref="O266:U266"/>
    <mergeCell ref="H270:K270"/>
    <mergeCell ref="H271:I271"/>
    <mergeCell ref="S270:V270"/>
    <mergeCell ref="S271:T271"/>
    <mergeCell ref="B261:F261"/>
    <mergeCell ref="M261:Q261"/>
    <mergeCell ref="F287:G287"/>
    <mergeCell ref="Q287:R287"/>
    <mergeCell ref="F288:G288"/>
    <mergeCell ref="Q288:R288"/>
    <mergeCell ref="F276:J276"/>
    <mergeCell ref="Q276:U276"/>
    <mergeCell ref="E281:F281"/>
    <mergeCell ref="P281:Q281"/>
    <mergeCell ref="D283:J283"/>
    <mergeCell ref="O283:U283"/>
    <mergeCell ref="H287:K287"/>
    <mergeCell ref="H288:I288"/>
    <mergeCell ref="S287:V287"/>
    <mergeCell ref="S288:T288"/>
    <mergeCell ref="B278:F278"/>
    <mergeCell ref="M278:Q278"/>
    <mergeCell ref="F304:G304"/>
    <mergeCell ref="Q304:R304"/>
    <mergeCell ref="F305:G305"/>
    <mergeCell ref="Q305:R305"/>
    <mergeCell ref="F293:J293"/>
    <mergeCell ref="Q293:U293"/>
    <mergeCell ref="E298:F298"/>
    <mergeCell ref="P298:Q298"/>
    <mergeCell ref="D300:J300"/>
    <mergeCell ref="O300:U300"/>
    <mergeCell ref="H304:K304"/>
    <mergeCell ref="H305:I305"/>
    <mergeCell ref="S304:V304"/>
    <mergeCell ref="S305:T305"/>
    <mergeCell ref="B295:F295"/>
    <mergeCell ref="M295:Q295"/>
    <mergeCell ref="F321:G321"/>
    <mergeCell ref="Q321:R321"/>
    <mergeCell ref="F322:G322"/>
    <mergeCell ref="Q322:R322"/>
    <mergeCell ref="F310:J310"/>
    <mergeCell ref="Q310:U310"/>
    <mergeCell ref="E315:F315"/>
    <mergeCell ref="P315:Q315"/>
    <mergeCell ref="D317:J317"/>
    <mergeCell ref="O317:U317"/>
    <mergeCell ref="H321:K321"/>
    <mergeCell ref="H322:I322"/>
    <mergeCell ref="S321:V321"/>
    <mergeCell ref="S322:T322"/>
    <mergeCell ref="B312:F312"/>
    <mergeCell ref="M312:Q312"/>
    <mergeCell ref="F338:G338"/>
    <mergeCell ref="Q338:R338"/>
    <mergeCell ref="F339:G339"/>
    <mergeCell ref="Q339:R339"/>
    <mergeCell ref="F327:J327"/>
    <mergeCell ref="Q327:U327"/>
    <mergeCell ref="E332:F332"/>
    <mergeCell ref="P332:Q332"/>
    <mergeCell ref="D334:J334"/>
    <mergeCell ref="O334:U334"/>
    <mergeCell ref="H338:K338"/>
    <mergeCell ref="H339:I339"/>
    <mergeCell ref="S338:V338"/>
    <mergeCell ref="S339:T339"/>
    <mergeCell ref="B329:F329"/>
    <mergeCell ref="M329:Q329"/>
  </mergeCells>
  <phoneticPr fontId="1"/>
  <pageMargins left="0.15748031496062992" right="0.19685039370078741" top="0.15748031496062992" bottom="3.937007874015748E-2" header="0.23622047244094491" footer="0.19685039370078741"/>
  <pageSetup paperSize="9" scale="86" fitToHeight="0" orientation="portrait" r:id="rId1"/>
  <headerFooter alignWithMargins="0"/>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tabColor theme="5" tint="0.79998168889431442"/>
  </sheetPr>
  <dimension ref="A1:AF52"/>
  <sheetViews>
    <sheetView zoomScaleNormal="100" workbookViewId="0">
      <selection activeCell="O8" sqref="O8"/>
    </sheetView>
  </sheetViews>
  <sheetFormatPr defaultRowHeight="13.5"/>
  <cols>
    <col min="1" max="1" width="7.75" style="24" customWidth="1"/>
    <col min="2" max="2" width="11.5" style="24" customWidth="1"/>
    <col min="3" max="3" width="20" style="24" customWidth="1"/>
    <col min="4" max="4" width="6" style="24" customWidth="1"/>
    <col min="5" max="5" width="1.375" style="24" customWidth="1"/>
    <col min="6" max="12" width="2.625" style="24" customWidth="1"/>
    <col min="13" max="14" width="2.375" style="24" customWidth="1"/>
    <col min="15" max="15" width="94.625" style="24" customWidth="1"/>
    <col min="16" max="16" width="3.5" style="24" customWidth="1"/>
    <col min="17" max="17" width="18.25" style="24" customWidth="1"/>
    <col min="18" max="256" width="9" style="24"/>
    <col min="257" max="257" width="5" style="24" customWidth="1"/>
    <col min="258" max="258" width="20.625" style="24" customWidth="1"/>
    <col min="259" max="259" width="18.5" style="24" customWidth="1"/>
    <col min="260" max="260" width="3.875" style="24" customWidth="1"/>
    <col min="261" max="261" width="5.125" style="24" customWidth="1"/>
    <col min="262" max="268" width="2.625" style="24" customWidth="1"/>
    <col min="269" max="270" width="2.375" style="24" customWidth="1"/>
    <col min="271" max="271" width="2.125" style="24" customWidth="1"/>
    <col min="272" max="272" width="3.5" style="24" customWidth="1"/>
    <col min="273" max="273" width="10.375" style="24" customWidth="1"/>
    <col min="274" max="512" width="9" style="24"/>
    <col min="513" max="513" width="5" style="24" customWidth="1"/>
    <col min="514" max="514" width="20.625" style="24" customWidth="1"/>
    <col min="515" max="515" width="18.5" style="24" customWidth="1"/>
    <col min="516" max="516" width="3.875" style="24" customWidth="1"/>
    <col min="517" max="517" width="5.125" style="24" customWidth="1"/>
    <col min="518" max="524" width="2.625" style="24" customWidth="1"/>
    <col min="525" max="526" width="2.375" style="24" customWidth="1"/>
    <col min="527" max="527" width="2.125" style="24" customWidth="1"/>
    <col min="528" max="528" width="3.5" style="24" customWidth="1"/>
    <col min="529" max="529" width="10.375" style="24" customWidth="1"/>
    <col min="530" max="768" width="9" style="24"/>
    <col min="769" max="769" width="5" style="24" customWidth="1"/>
    <col min="770" max="770" width="20.625" style="24" customWidth="1"/>
    <col min="771" max="771" width="18.5" style="24" customWidth="1"/>
    <col min="772" max="772" width="3.875" style="24" customWidth="1"/>
    <col min="773" max="773" width="5.125" style="24" customWidth="1"/>
    <col min="774" max="780" width="2.625" style="24" customWidth="1"/>
    <col min="781" max="782" width="2.375" style="24" customWidth="1"/>
    <col min="783" max="783" width="2.125" style="24" customWidth="1"/>
    <col min="784" max="784" width="3.5" style="24" customWidth="1"/>
    <col min="785" max="785" width="10.375" style="24" customWidth="1"/>
    <col min="786" max="1024" width="9" style="24"/>
    <col min="1025" max="1025" width="5" style="24" customWidth="1"/>
    <col min="1026" max="1026" width="20.625" style="24" customWidth="1"/>
    <col min="1027" max="1027" width="18.5" style="24" customWidth="1"/>
    <col min="1028" max="1028" width="3.875" style="24" customWidth="1"/>
    <col min="1029" max="1029" width="5.125" style="24" customWidth="1"/>
    <col min="1030" max="1036" width="2.625" style="24" customWidth="1"/>
    <col min="1037" max="1038" width="2.375" style="24" customWidth="1"/>
    <col min="1039" max="1039" width="2.125" style="24" customWidth="1"/>
    <col min="1040" max="1040" width="3.5" style="24" customWidth="1"/>
    <col min="1041" max="1041" width="10.375" style="24" customWidth="1"/>
    <col min="1042" max="1280" width="9" style="24"/>
    <col min="1281" max="1281" width="5" style="24" customWidth="1"/>
    <col min="1282" max="1282" width="20.625" style="24" customWidth="1"/>
    <col min="1283" max="1283" width="18.5" style="24" customWidth="1"/>
    <col min="1284" max="1284" width="3.875" style="24" customWidth="1"/>
    <col min="1285" max="1285" width="5.125" style="24" customWidth="1"/>
    <col min="1286" max="1292" width="2.625" style="24" customWidth="1"/>
    <col min="1293" max="1294" width="2.375" style="24" customWidth="1"/>
    <col min="1295" max="1295" width="2.125" style="24" customWidth="1"/>
    <col min="1296" max="1296" width="3.5" style="24" customWidth="1"/>
    <col min="1297" max="1297" width="10.375" style="24" customWidth="1"/>
    <col min="1298" max="1536" width="9" style="24"/>
    <col min="1537" max="1537" width="5" style="24" customWidth="1"/>
    <col min="1538" max="1538" width="20.625" style="24" customWidth="1"/>
    <col min="1539" max="1539" width="18.5" style="24" customWidth="1"/>
    <col min="1540" max="1540" width="3.875" style="24" customWidth="1"/>
    <col min="1541" max="1541" width="5.125" style="24" customWidth="1"/>
    <col min="1542" max="1548" width="2.625" style="24" customWidth="1"/>
    <col min="1549" max="1550" width="2.375" style="24" customWidth="1"/>
    <col min="1551" max="1551" width="2.125" style="24" customWidth="1"/>
    <col min="1552" max="1552" width="3.5" style="24" customWidth="1"/>
    <col min="1553" max="1553" width="10.375" style="24" customWidth="1"/>
    <col min="1554" max="1792" width="9" style="24"/>
    <col min="1793" max="1793" width="5" style="24" customWidth="1"/>
    <col min="1794" max="1794" width="20.625" style="24" customWidth="1"/>
    <col min="1795" max="1795" width="18.5" style="24" customWidth="1"/>
    <col min="1796" max="1796" width="3.875" style="24" customWidth="1"/>
    <col min="1797" max="1797" width="5.125" style="24" customWidth="1"/>
    <col min="1798" max="1804" width="2.625" style="24" customWidth="1"/>
    <col min="1805" max="1806" width="2.375" style="24" customWidth="1"/>
    <col min="1807" max="1807" width="2.125" style="24" customWidth="1"/>
    <col min="1808" max="1808" width="3.5" style="24" customWidth="1"/>
    <col min="1809" max="1809" width="10.375" style="24" customWidth="1"/>
    <col min="1810" max="2048" width="9" style="24"/>
    <col min="2049" max="2049" width="5" style="24" customWidth="1"/>
    <col min="2050" max="2050" width="20.625" style="24" customWidth="1"/>
    <col min="2051" max="2051" width="18.5" style="24" customWidth="1"/>
    <col min="2052" max="2052" width="3.875" style="24" customWidth="1"/>
    <col min="2053" max="2053" width="5.125" style="24" customWidth="1"/>
    <col min="2054" max="2060" width="2.625" style="24" customWidth="1"/>
    <col min="2061" max="2062" width="2.375" style="24" customWidth="1"/>
    <col min="2063" max="2063" width="2.125" style="24" customWidth="1"/>
    <col min="2064" max="2064" width="3.5" style="24" customWidth="1"/>
    <col min="2065" max="2065" width="10.375" style="24" customWidth="1"/>
    <col min="2066" max="2304" width="9" style="24"/>
    <col min="2305" max="2305" width="5" style="24" customWidth="1"/>
    <col min="2306" max="2306" width="20.625" style="24" customWidth="1"/>
    <col min="2307" max="2307" width="18.5" style="24" customWidth="1"/>
    <col min="2308" max="2308" width="3.875" style="24" customWidth="1"/>
    <col min="2309" max="2309" width="5.125" style="24" customWidth="1"/>
    <col min="2310" max="2316" width="2.625" style="24" customWidth="1"/>
    <col min="2317" max="2318" width="2.375" style="24" customWidth="1"/>
    <col min="2319" max="2319" width="2.125" style="24" customWidth="1"/>
    <col min="2320" max="2320" width="3.5" style="24" customWidth="1"/>
    <col min="2321" max="2321" width="10.375" style="24" customWidth="1"/>
    <col min="2322" max="2560" width="9" style="24"/>
    <col min="2561" max="2561" width="5" style="24" customWidth="1"/>
    <col min="2562" max="2562" width="20.625" style="24" customWidth="1"/>
    <col min="2563" max="2563" width="18.5" style="24" customWidth="1"/>
    <col min="2564" max="2564" width="3.875" style="24" customWidth="1"/>
    <col min="2565" max="2565" width="5.125" style="24" customWidth="1"/>
    <col min="2566" max="2572" width="2.625" style="24" customWidth="1"/>
    <col min="2573" max="2574" width="2.375" style="24" customWidth="1"/>
    <col min="2575" max="2575" width="2.125" style="24" customWidth="1"/>
    <col min="2576" max="2576" width="3.5" style="24" customWidth="1"/>
    <col min="2577" max="2577" width="10.375" style="24" customWidth="1"/>
    <col min="2578" max="2816" width="9" style="24"/>
    <col min="2817" max="2817" width="5" style="24" customWidth="1"/>
    <col min="2818" max="2818" width="20.625" style="24" customWidth="1"/>
    <col min="2819" max="2819" width="18.5" style="24" customWidth="1"/>
    <col min="2820" max="2820" width="3.875" style="24" customWidth="1"/>
    <col min="2821" max="2821" width="5.125" style="24" customWidth="1"/>
    <col min="2822" max="2828" width="2.625" style="24" customWidth="1"/>
    <col min="2829" max="2830" width="2.375" style="24" customWidth="1"/>
    <col min="2831" max="2831" width="2.125" style="24" customWidth="1"/>
    <col min="2832" max="2832" width="3.5" style="24" customWidth="1"/>
    <col min="2833" max="2833" width="10.375" style="24" customWidth="1"/>
    <col min="2834" max="3072" width="9" style="24"/>
    <col min="3073" max="3073" width="5" style="24" customWidth="1"/>
    <col min="3074" max="3074" width="20.625" style="24" customWidth="1"/>
    <col min="3075" max="3075" width="18.5" style="24" customWidth="1"/>
    <col min="3076" max="3076" width="3.875" style="24" customWidth="1"/>
    <col min="3077" max="3077" width="5.125" style="24" customWidth="1"/>
    <col min="3078" max="3084" width="2.625" style="24" customWidth="1"/>
    <col min="3085" max="3086" width="2.375" style="24" customWidth="1"/>
    <col min="3087" max="3087" width="2.125" style="24" customWidth="1"/>
    <col min="3088" max="3088" width="3.5" style="24" customWidth="1"/>
    <col min="3089" max="3089" width="10.375" style="24" customWidth="1"/>
    <col min="3090" max="3328" width="9" style="24"/>
    <col min="3329" max="3329" width="5" style="24" customWidth="1"/>
    <col min="3330" max="3330" width="20.625" style="24" customWidth="1"/>
    <col min="3331" max="3331" width="18.5" style="24" customWidth="1"/>
    <col min="3332" max="3332" width="3.875" style="24" customWidth="1"/>
    <col min="3333" max="3333" width="5.125" style="24" customWidth="1"/>
    <col min="3334" max="3340" width="2.625" style="24" customWidth="1"/>
    <col min="3341" max="3342" width="2.375" style="24" customWidth="1"/>
    <col min="3343" max="3343" width="2.125" style="24" customWidth="1"/>
    <col min="3344" max="3344" width="3.5" style="24" customWidth="1"/>
    <col min="3345" max="3345" width="10.375" style="24" customWidth="1"/>
    <col min="3346" max="3584" width="9" style="24"/>
    <col min="3585" max="3585" width="5" style="24" customWidth="1"/>
    <col min="3586" max="3586" width="20.625" style="24" customWidth="1"/>
    <col min="3587" max="3587" width="18.5" style="24" customWidth="1"/>
    <col min="3588" max="3588" width="3.875" style="24" customWidth="1"/>
    <col min="3589" max="3589" width="5.125" style="24" customWidth="1"/>
    <col min="3590" max="3596" width="2.625" style="24" customWidth="1"/>
    <col min="3597" max="3598" width="2.375" style="24" customWidth="1"/>
    <col min="3599" max="3599" width="2.125" style="24" customWidth="1"/>
    <col min="3600" max="3600" width="3.5" style="24" customWidth="1"/>
    <col min="3601" max="3601" width="10.375" style="24" customWidth="1"/>
    <col min="3602" max="3840" width="9" style="24"/>
    <col min="3841" max="3841" width="5" style="24" customWidth="1"/>
    <col min="3842" max="3842" width="20.625" style="24" customWidth="1"/>
    <col min="3843" max="3843" width="18.5" style="24" customWidth="1"/>
    <col min="3844" max="3844" width="3.875" style="24" customWidth="1"/>
    <col min="3845" max="3845" width="5.125" style="24" customWidth="1"/>
    <col min="3846" max="3852" width="2.625" style="24" customWidth="1"/>
    <col min="3853" max="3854" width="2.375" style="24" customWidth="1"/>
    <col min="3855" max="3855" width="2.125" style="24" customWidth="1"/>
    <col min="3856" max="3856" width="3.5" style="24" customWidth="1"/>
    <col min="3857" max="3857" width="10.375" style="24" customWidth="1"/>
    <col min="3858" max="4096" width="9" style="24"/>
    <col min="4097" max="4097" width="5" style="24" customWidth="1"/>
    <col min="4098" max="4098" width="20.625" style="24" customWidth="1"/>
    <col min="4099" max="4099" width="18.5" style="24" customWidth="1"/>
    <col min="4100" max="4100" width="3.875" style="24" customWidth="1"/>
    <col min="4101" max="4101" width="5.125" style="24" customWidth="1"/>
    <col min="4102" max="4108" width="2.625" style="24" customWidth="1"/>
    <col min="4109" max="4110" width="2.375" style="24" customWidth="1"/>
    <col min="4111" max="4111" width="2.125" style="24" customWidth="1"/>
    <col min="4112" max="4112" width="3.5" style="24" customWidth="1"/>
    <col min="4113" max="4113" width="10.375" style="24" customWidth="1"/>
    <col min="4114" max="4352" width="9" style="24"/>
    <col min="4353" max="4353" width="5" style="24" customWidth="1"/>
    <col min="4354" max="4354" width="20.625" style="24" customWidth="1"/>
    <col min="4355" max="4355" width="18.5" style="24" customWidth="1"/>
    <col min="4356" max="4356" width="3.875" style="24" customWidth="1"/>
    <col min="4357" max="4357" width="5.125" style="24" customWidth="1"/>
    <col min="4358" max="4364" width="2.625" style="24" customWidth="1"/>
    <col min="4365" max="4366" width="2.375" style="24" customWidth="1"/>
    <col min="4367" max="4367" width="2.125" style="24" customWidth="1"/>
    <col min="4368" max="4368" width="3.5" style="24" customWidth="1"/>
    <col min="4369" max="4369" width="10.375" style="24" customWidth="1"/>
    <col min="4370" max="4608" width="9" style="24"/>
    <col min="4609" max="4609" width="5" style="24" customWidth="1"/>
    <col min="4610" max="4610" width="20.625" style="24" customWidth="1"/>
    <col min="4611" max="4611" width="18.5" style="24" customWidth="1"/>
    <col min="4612" max="4612" width="3.875" style="24" customWidth="1"/>
    <col min="4613" max="4613" width="5.125" style="24" customWidth="1"/>
    <col min="4614" max="4620" width="2.625" style="24" customWidth="1"/>
    <col min="4621" max="4622" width="2.375" style="24" customWidth="1"/>
    <col min="4623" max="4623" width="2.125" style="24" customWidth="1"/>
    <col min="4624" max="4624" width="3.5" style="24" customWidth="1"/>
    <col min="4625" max="4625" width="10.375" style="24" customWidth="1"/>
    <col min="4626" max="4864" width="9" style="24"/>
    <col min="4865" max="4865" width="5" style="24" customWidth="1"/>
    <col min="4866" max="4866" width="20.625" style="24" customWidth="1"/>
    <col min="4867" max="4867" width="18.5" style="24" customWidth="1"/>
    <col min="4868" max="4868" width="3.875" style="24" customWidth="1"/>
    <col min="4869" max="4869" width="5.125" style="24" customWidth="1"/>
    <col min="4870" max="4876" width="2.625" style="24" customWidth="1"/>
    <col min="4877" max="4878" width="2.375" style="24" customWidth="1"/>
    <col min="4879" max="4879" width="2.125" style="24" customWidth="1"/>
    <col min="4880" max="4880" width="3.5" style="24" customWidth="1"/>
    <col min="4881" max="4881" width="10.375" style="24" customWidth="1"/>
    <col min="4882" max="5120" width="9" style="24"/>
    <col min="5121" max="5121" width="5" style="24" customWidth="1"/>
    <col min="5122" max="5122" width="20.625" style="24" customWidth="1"/>
    <col min="5123" max="5123" width="18.5" style="24" customWidth="1"/>
    <col min="5124" max="5124" width="3.875" style="24" customWidth="1"/>
    <col min="5125" max="5125" width="5.125" style="24" customWidth="1"/>
    <col min="5126" max="5132" width="2.625" style="24" customWidth="1"/>
    <col min="5133" max="5134" width="2.375" style="24" customWidth="1"/>
    <col min="5135" max="5135" width="2.125" style="24" customWidth="1"/>
    <col min="5136" max="5136" width="3.5" style="24" customWidth="1"/>
    <col min="5137" max="5137" width="10.375" style="24" customWidth="1"/>
    <col min="5138" max="5376" width="9" style="24"/>
    <col min="5377" max="5377" width="5" style="24" customWidth="1"/>
    <col min="5378" max="5378" width="20.625" style="24" customWidth="1"/>
    <col min="5379" max="5379" width="18.5" style="24" customWidth="1"/>
    <col min="5380" max="5380" width="3.875" style="24" customWidth="1"/>
    <col min="5381" max="5381" width="5.125" style="24" customWidth="1"/>
    <col min="5382" max="5388" width="2.625" style="24" customWidth="1"/>
    <col min="5389" max="5390" width="2.375" style="24" customWidth="1"/>
    <col min="5391" max="5391" width="2.125" style="24" customWidth="1"/>
    <col min="5392" max="5392" width="3.5" style="24" customWidth="1"/>
    <col min="5393" max="5393" width="10.375" style="24" customWidth="1"/>
    <col min="5394" max="5632" width="9" style="24"/>
    <col min="5633" max="5633" width="5" style="24" customWidth="1"/>
    <col min="5634" max="5634" width="20.625" style="24" customWidth="1"/>
    <col min="5635" max="5635" width="18.5" style="24" customWidth="1"/>
    <col min="5636" max="5636" width="3.875" style="24" customWidth="1"/>
    <col min="5637" max="5637" width="5.125" style="24" customWidth="1"/>
    <col min="5638" max="5644" width="2.625" style="24" customWidth="1"/>
    <col min="5645" max="5646" width="2.375" style="24" customWidth="1"/>
    <col min="5647" max="5647" width="2.125" style="24" customWidth="1"/>
    <col min="5648" max="5648" width="3.5" style="24" customWidth="1"/>
    <col min="5649" max="5649" width="10.375" style="24" customWidth="1"/>
    <col min="5650" max="5888" width="9" style="24"/>
    <col min="5889" max="5889" width="5" style="24" customWidth="1"/>
    <col min="5890" max="5890" width="20.625" style="24" customWidth="1"/>
    <col min="5891" max="5891" width="18.5" style="24" customWidth="1"/>
    <col min="5892" max="5892" width="3.875" style="24" customWidth="1"/>
    <col min="5893" max="5893" width="5.125" style="24" customWidth="1"/>
    <col min="5894" max="5900" width="2.625" style="24" customWidth="1"/>
    <col min="5901" max="5902" width="2.375" style="24" customWidth="1"/>
    <col min="5903" max="5903" width="2.125" style="24" customWidth="1"/>
    <col min="5904" max="5904" width="3.5" style="24" customWidth="1"/>
    <col min="5905" max="5905" width="10.375" style="24" customWidth="1"/>
    <col min="5906" max="6144" width="9" style="24"/>
    <col min="6145" max="6145" width="5" style="24" customWidth="1"/>
    <col min="6146" max="6146" width="20.625" style="24" customWidth="1"/>
    <col min="6147" max="6147" width="18.5" style="24" customWidth="1"/>
    <col min="6148" max="6148" width="3.875" style="24" customWidth="1"/>
    <col min="6149" max="6149" width="5.125" style="24" customWidth="1"/>
    <col min="6150" max="6156" width="2.625" style="24" customWidth="1"/>
    <col min="6157" max="6158" width="2.375" style="24" customWidth="1"/>
    <col min="6159" max="6159" width="2.125" style="24" customWidth="1"/>
    <col min="6160" max="6160" width="3.5" style="24" customWidth="1"/>
    <col min="6161" max="6161" width="10.375" style="24" customWidth="1"/>
    <col min="6162" max="6400" width="9" style="24"/>
    <col min="6401" max="6401" width="5" style="24" customWidth="1"/>
    <col min="6402" max="6402" width="20.625" style="24" customWidth="1"/>
    <col min="6403" max="6403" width="18.5" style="24" customWidth="1"/>
    <col min="6404" max="6404" width="3.875" style="24" customWidth="1"/>
    <col min="6405" max="6405" width="5.125" style="24" customWidth="1"/>
    <col min="6406" max="6412" width="2.625" style="24" customWidth="1"/>
    <col min="6413" max="6414" width="2.375" style="24" customWidth="1"/>
    <col min="6415" max="6415" width="2.125" style="24" customWidth="1"/>
    <col min="6416" max="6416" width="3.5" style="24" customWidth="1"/>
    <col min="6417" max="6417" width="10.375" style="24" customWidth="1"/>
    <col min="6418" max="6656" width="9" style="24"/>
    <col min="6657" max="6657" width="5" style="24" customWidth="1"/>
    <col min="6658" max="6658" width="20.625" style="24" customWidth="1"/>
    <col min="6659" max="6659" width="18.5" style="24" customWidth="1"/>
    <col min="6660" max="6660" width="3.875" style="24" customWidth="1"/>
    <col min="6661" max="6661" width="5.125" style="24" customWidth="1"/>
    <col min="6662" max="6668" width="2.625" style="24" customWidth="1"/>
    <col min="6669" max="6670" width="2.375" style="24" customWidth="1"/>
    <col min="6671" max="6671" width="2.125" style="24" customWidth="1"/>
    <col min="6672" max="6672" width="3.5" style="24" customWidth="1"/>
    <col min="6673" max="6673" width="10.375" style="24" customWidth="1"/>
    <col min="6674" max="6912" width="9" style="24"/>
    <col min="6913" max="6913" width="5" style="24" customWidth="1"/>
    <col min="6914" max="6914" width="20.625" style="24" customWidth="1"/>
    <col min="6915" max="6915" width="18.5" style="24" customWidth="1"/>
    <col min="6916" max="6916" width="3.875" style="24" customWidth="1"/>
    <col min="6917" max="6917" width="5.125" style="24" customWidth="1"/>
    <col min="6918" max="6924" width="2.625" style="24" customWidth="1"/>
    <col min="6925" max="6926" width="2.375" style="24" customWidth="1"/>
    <col min="6927" max="6927" width="2.125" style="24" customWidth="1"/>
    <col min="6928" max="6928" width="3.5" style="24" customWidth="1"/>
    <col min="6929" max="6929" width="10.375" style="24" customWidth="1"/>
    <col min="6930" max="7168" width="9" style="24"/>
    <col min="7169" max="7169" width="5" style="24" customWidth="1"/>
    <col min="7170" max="7170" width="20.625" style="24" customWidth="1"/>
    <col min="7171" max="7171" width="18.5" style="24" customWidth="1"/>
    <col min="7172" max="7172" width="3.875" style="24" customWidth="1"/>
    <col min="7173" max="7173" width="5.125" style="24" customWidth="1"/>
    <col min="7174" max="7180" width="2.625" style="24" customWidth="1"/>
    <col min="7181" max="7182" width="2.375" style="24" customWidth="1"/>
    <col min="7183" max="7183" width="2.125" style="24" customWidth="1"/>
    <col min="7184" max="7184" width="3.5" style="24" customWidth="1"/>
    <col min="7185" max="7185" width="10.375" style="24" customWidth="1"/>
    <col min="7186" max="7424" width="9" style="24"/>
    <col min="7425" max="7425" width="5" style="24" customWidth="1"/>
    <col min="7426" max="7426" width="20.625" style="24" customWidth="1"/>
    <col min="7427" max="7427" width="18.5" style="24" customWidth="1"/>
    <col min="7428" max="7428" width="3.875" style="24" customWidth="1"/>
    <col min="7429" max="7429" width="5.125" style="24" customWidth="1"/>
    <col min="7430" max="7436" width="2.625" style="24" customWidth="1"/>
    <col min="7437" max="7438" width="2.375" style="24" customWidth="1"/>
    <col min="7439" max="7439" width="2.125" style="24" customWidth="1"/>
    <col min="7440" max="7440" width="3.5" style="24" customWidth="1"/>
    <col min="7441" max="7441" width="10.375" style="24" customWidth="1"/>
    <col min="7442" max="7680" width="9" style="24"/>
    <col min="7681" max="7681" width="5" style="24" customWidth="1"/>
    <col min="7682" max="7682" width="20.625" style="24" customWidth="1"/>
    <col min="7683" max="7683" width="18.5" style="24" customWidth="1"/>
    <col min="7684" max="7684" width="3.875" style="24" customWidth="1"/>
    <col min="7685" max="7685" width="5.125" style="24" customWidth="1"/>
    <col min="7686" max="7692" width="2.625" style="24" customWidth="1"/>
    <col min="7693" max="7694" width="2.375" style="24" customWidth="1"/>
    <col min="7695" max="7695" width="2.125" style="24" customWidth="1"/>
    <col min="7696" max="7696" width="3.5" style="24" customWidth="1"/>
    <col min="7697" max="7697" width="10.375" style="24" customWidth="1"/>
    <col min="7698" max="7936" width="9" style="24"/>
    <col min="7937" max="7937" width="5" style="24" customWidth="1"/>
    <col min="7938" max="7938" width="20.625" style="24" customWidth="1"/>
    <col min="7939" max="7939" width="18.5" style="24" customWidth="1"/>
    <col min="7940" max="7940" width="3.875" style="24" customWidth="1"/>
    <col min="7941" max="7941" width="5.125" style="24" customWidth="1"/>
    <col min="7942" max="7948" width="2.625" style="24" customWidth="1"/>
    <col min="7949" max="7950" width="2.375" style="24" customWidth="1"/>
    <col min="7951" max="7951" width="2.125" style="24" customWidth="1"/>
    <col min="7952" max="7952" width="3.5" style="24" customWidth="1"/>
    <col min="7953" max="7953" width="10.375" style="24" customWidth="1"/>
    <col min="7954" max="8192" width="9" style="24"/>
    <col min="8193" max="8193" width="5" style="24" customWidth="1"/>
    <col min="8194" max="8194" width="20.625" style="24" customWidth="1"/>
    <col min="8195" max="8195" width="18.5" style="24" customWidth="1"/>
    <col min="8196" max="8196" width="3.875" style="24" customWidth="1"/>
    <col min="8197" max="8197" width="5.125" style="24" customWidth="1"/>
    <col min="8198" max="8204" width="2.625" style="24" customWidth="1"/>
    <col min="8205" max="8206" width="2.375" style="24" customWidth="1"/>
    <col min="8207" max="8207" width="2.125" style="24" customWidth="1"/>
    <col min="8208" max="8208" width="3.5" style="24" customWidth="1"/>
    <col min="8209" max="8209" width="10.375" style="24" customWidth="1"/>
    <col min="8210" max="8448" width="9" style="24"/>
    <col min="8449" max="8449" width="5" style="24" customWidth="1"/>
    <col min="8450" max="8450" width="20.625" style="24" customWidth="1"/>
    <col min="8451" max="8451" width="18.5" style="24" customWidth="1"/>
    <col min="8452" max="8452" width="3.875" style="24" customWidth="1"/>
    <col min="8453" max="8453" width="5.125" style="24" customWidth="1"/>
    <col min="8454" max="8460" width="2.625" style="24" customWidth="1"/>
    <col min="8461" max="8462" width="2.375" style="24" customWidth="1"/>
    <col min="8463" max="8463" width="2.125" style="24" customWidth="1"/>
    <col min="8464" max="8464" width="3.5" style="24" customWidth="1"/>
    <col min="8465" max="8465" width="10.375" style="24" customWidth="1"/>
    <col min="8466" max="8704" width="9" style="24"/>
    <col min="8705" max="8705" width="5" style="24" customWidth="1"/>
    <col min="8706" max="8706" width="20.625" style="24" customWidth="1"/>
    <col min="8707" max="8707" width="18.5" style="24" customWidth="1"/>
    <col min="8708" max="8708" width="3.875" style="24" customWidth="1"/>
    <col min="8709" max="8709" width="5.125" style="24" customWidth="1"/>
    <col min="8710" max="8716" width="2.625" style="24" customWidth="1"/>
    <col min="8717" max="8718" width="2.375" style="24" customWidth="1"/>
    <col min="8719" max="8719" width="2.125" style="24" customWidth="1"/>
    <col min="8720" max="8720" width="3.5" style="24" customWidth="1"/>
    <col min="8721" max="8721" width="10.375" style="24" customWidth="1"/>
    <col min="8722" max="8960" width="9" style="24"/>
    <col min="8961" max="8961" width="5" style="24" customWidth="1"/>
    <col min="8962" max="8962" width="20.625" style="24" customWidth="1"/>
    <col min="8963" max="8963" width="18.5" style="24" customWidth="1"/>
    <col min="8964" max="8964" width="3.875" style="24" customWidth="1"/>
    <col min="8965" max="8965" width="5.125" style="24" customWidth="1"/>
    <col min="8966" max="8972" width="2.625" style="24" customWidth="1"/>
    <col min="8973" max="8974" width="2.375" style="24" customWidth="1"/>
    <col min="8975" max="8975" width="2.125" style="24" customWidth="1"/>
    <col min="8976" max="8976" width="3.5" style="24" customWidth="1"/>
    <col min="8977" max="8977" width="10.375" style="24" customWidth="1"/>
    <col min="8978" max="9216" width="9" style="24"/>
    <col min="9217" max="9217" width="5" style="24" customWidth="1"/>
    <col min="9218" max="9218" width="20.625" style="24" customWidth="1"/>
    <col min="9219" max="9219" width="18.5" style="24" customWidth="1"/>
    <col min="9220" max="9220" width="3.875" style="24" customWidth="1"/>
    <col min="9221" max="9221" width="5.125" style="24" customWidth="1"/>
    <col min="9222" max="9228" width="2.625" style="24" customWidth="1"/>
    <col min="9229" max="9230" width="2.375" style="24" customWidth="1"/>
    <col min="9231" max="9231" width="2.125" style="24" customWidth="1"/>
    <col min="9232" max="9232" width="3.5" style="24" customWidth="1"/>
    <col min="9233" max="9233" width="10.375" style="24" customWidth="1"/>
    <col min="9234" max="9472" width="9" style="24"/>
    <col min="9473" max="9473" width="5" style="24" customWidth="1"/>
    <col min="9474" max="9474" width="20.625" style="24" customWidth="1"/>
    <col min="9475" max="9475" width="18.5" style="24" customWidth="1"/>
    <col min="9476" max="9476" width="3.875" style="24" customWidth="1"/>
    <col min="9477" max="9477" width="5.125" style="24" customWidth="1"/>
    <col min="9478" max="9484" width="2.625" style="24" customWidth="1"/>
    <col min="9485" max="9486" width="2.375" style="24" customWidth="1"/>
    <col min="9487" max="9487" width="2.125" style="24" customWidth="1"/>
    <col min="9488" max="9488" width="3.5" style="24" customWidth="1"/>
    <col min="9489" max="9489" width="10.375" style="24" customWidth="1"/>
    <col min="9490" max="9728" width="9" style="24"/>
    <col min="9729" max="9729" width="5" style="24" customWidth="1"/>
    <col min="9730" max="9730" width="20.625" style="24" customWidth="1"/>
    <col min="9731" max="9731" width="18.5" style="24" customWidth="1"/>
    <col min="9732" max="9732" width="3.875" style="24" customWidth="1"/>
    <col min="9733" max="9733" width="5.125" style="24" customWidth="1"/>
    <col min="9734" max="9740" width="2.625" style="24" customWidth="1"/>
    <col min="9741" max="9742" width="2.375" style="24" customWidth="1"/>
    <col min="9743" max="9743" width="2.125" style="24" customWidth="1"/>
    <col min="9744" max="9744" width="3.5" style="24" customWidth="1"/>
    <col min="9745" max="9745" width="10.375" style="24" customWidth="1"/>
    <col min="9746" max="9984" width="9" style="24"/>
    <col min="9985" max="9985" width="5" style="24" customWidth="1"/>
    <col min="9986" max="9986" width="20.625" style="24" customWidth="1"/>
    <col min="9987" max="9987" width="18.5" style="24" customWidth="1"/>
    <col min="9988" max="9988" width="3.875" style="24" customWidth="1"/>
    <col min="9989" max="9989" width="5.125" style="24" customWidth="1"/>
    <col min="9990" max="9996" width="2.625" style="24" customWidth="1"/>
    <col min="9997" max="9998" width="2.375" style="24" customWidth="1"/>
    <col min="9999" max="9999" width="2.125" style="24" customWidth="1"/>
    <col min="10000" max="10000" width="3.5" style="24" customWidth="1"/>
    <col min="10001" max="10001" width="10.375" style="24" customWidth="1"/>
    <col min="10002" max="10240" width="9" style="24"/>
    <col min="10241" max="10241" width="5" style="24" customWidth="1"/>
    <col min="10242" max="10242" width="20.625" style="24" customWidth="1"/>
    <col min="10243" max="10243" width="18.5" style="24" customWidth="1"/>
    <col min="10244" max="10244" width="3.875" style="24" customWidth="1"/>
    <col min="10245" max="10245" width="5.125" style="24" customWidth="1"/>
    <col min="10246" max="10252" width="2.625" style="24" customWidth="1"/>
    <col min="10253" max="10254" width="2.375" style="24" customWidth="1"/>
    <col min="10255" max="10255" width="2.125" style="24" customWidth="1"/>
    <col min="10256" max="10256" width="3.5" style="24" customWidth="1"/>
    <col min="10257" max="10257" width="10.375" style="24" customWidth="1"/>
    <col min="10258" max="10496" width="9" style="24"/>
    <col min="10497" max="10497" width="5" style="24" customWidth="1"/>
    <col min="10498" max="10498" width="20.625" style="24" customWidth="1"/>
    <col min="10499" max="10499" width="18.5" style="24" customWidth="1"/>
    <col min="10500" max="10500" width="3.875" style="24" customWidth="1"/>
    <col min="10501" max="10501" width="5.125" style="24" customWidth="1"/>
    <col min="10502" max="10508" width="2.625" style="24" customWidth="1"/>
    <col min="10509" max="10510" width="2.375" style="24" customWidth="1"/>
    <col min="10511" max="10511" width="2.125" style="24" customWidth="1"/>
    <col min="10512" max="10512" width="3.5" style="24" customWidth="1"/>
    <col min="10513" max="10513" width="10.375" style="24" customWidth="1"/>
    <col min="10514" max="10752" width="9" style="24"/>
    <col min="10753" max="10753" width="5" style="24" customWidth="1"/>
    <col min="10754" max="10754" width="20.625" style="24" customWidth="1"/>
    <col min="10755" max="10755" width="18.5" style="24" customWidth="1"/>
    <col min="10756" max="10756" width="3.875" style="24" customWidth="1"/>
    <col min="10757" max="10757" width="5.125" style="24" customWidth="1"/>
    <col min="10758" max="10764" width="2.625" style="24" customWidth="1"/>
    <col min="10765" max="10766" width="2.375" style="24" customWidth="1"/>
    <col min="10767" max="10767" width="2.125" style="24" customWidth="1"/>
    <col min="10768" max="10768" width="3.5" style="24" customWidth="1"/>
    <col min="10769" max="10769" width="10.375" style="24" customWidth="1"/>
    <col min="10770" max="11008" width="9" style="24"/>
    <col min="11009" max="11009" width="5" style="24" customWidth="1"/>
    <col min="11010" max="11010" width="20.625" style="24" customWidth="1"/>
    <col min="11011" max="11011" width="18.5" style="24" customWidth="1"/>
    <col min="11012" max="11012" width="3.875" style="24" customWidth="1"/>
    <col min="11013" max="11013" width="5.125" style="24" customWidth="1"/>
    <col min="11014" max="11020" width="2.625" style="24" customWidth="1"/>
    <col min="11021" max="11022" width="2.375" style="24" customWidth="1"/>
    <col min="11023" max="11023" width="2.125" style="24" customWidth="1"/>
    <col min="11024" max="11024" width="3.5" style="24" customWidth="1"/>
    <col min="11025" max="11025" width="10.375" style="24" customWidth="1"/>
    <col min="11026" max="11264" width="9" style="24"/>
    <col min="11265" max="11265" width="5" style="24" customWidth="1"/>
    <col min="11266" max="11266" width="20.625" style="24" customWidth="1"/>
    <col min="11267" max="11267" width="18.5" style="24" customWidth="1"/>
    <col min="11268" max="11268" width="3.875" style="24" customWidth="1"/>
    <col min="11269" max="11269" width="5.125" style="24" customWidth="1"/>
    <col min="11270" max="11276" width="2.625" style="24" customWidth="1"/>
    <col min="11277" max="11278" width="2.375" style="24" customWidth="1"/>
    <col min="11279" max="11279" width="2.125" style="24" customWidth="1"/>
    <col min="11280" max="11280" width="3.5" style="24" customWidth="1"/>
    <col min="11281" max="11281" width="10.375" style="24" customWidth="1"/>
    <col min="11282" max="11520" width="9" style="24"/>
    <col min="11521" max="11521" width="5" style="24" customWidth="1"/>
    <col min="11522" max="11522" width="20.625" style="24" customWidth="1"/>
    <col min="11523" max="11523" width="18.5" style="24" customWidth="1"/>
    <col min="11524" max="11524" width="3.875" style="24" customWidth="1"/>
    <col min="11525" max="11525" width="5.125" style="24" customWidth="1"/>
    <col min="11526" max="11532" width="2.625" style="24" customWidth="1"/>
    <col min="11533" max="11534" width="2.375" style="24" customWidth="1"/>
    <col min="11535" max="11535" width="2.125" style="24" customWidth="1"/>
    <col min="11536" max="11536" width="3.5" style="24" customWidth="1"/>
    <col min="11537" max="11537" width="10.375" style="24" customWidth="1"/>
    <col min="11538" max="11776" width="9" style="24"/>
    <col min="11777" max="11777" width="5" style="24" customWidth="1"/>
    <col min="11778" max="11778" width="20.625" style="24" customWidth="1"/>
    <col min="11779" max="11779" width="18.5" style="24" customWidth="1"/>
    <col min="11780" max="11780" width="3.875" style="24" customWidth="1"/>
    <col min="11781" max="11781" width="5.125" style="24" customWidth="1"/>
    <col min="11782" max="11788" width="2.625" style="24" customWidth="1"/>
    <col min="11789" max="11790" width="2.375" style="24" customWidth="1"/>
    <col min="11791" max="11791" width="2.125" style="24" customWidth="1"/>
    <col min="11792" max="11792" width="3.5" style="24" customWidth="1"/>
    <col min="11793" max="11793" width="10.375" style="24" customWidth="1"/>
    <col min="11794" max="12032" width="9" style="24"/>
    <col min="12033" max="12033" width="5" style="24" customWidth="1"/>
    <col min="12034" max="12034" width="20.625" style="24" customWidth="1"/>
    <col min="12035" max="12035" width="18.5" style="24" customWidth="1"/>
    <col min="12036" max="12036" width="3.875" style="24" customWidth="1"/>
    <col min="12037" max="12037" width="5.125" style="24" customWidth="1"/>
    <col min="12038" max="12044" width="2.625" style="24" customWidth="1"/>
    <col min="12045" max="12046" width="2.375" style="24" customWidth="1"/>
    <col min="12047" max="12047" width="2.125" style="24" customWidth="1"/>
    <col min="12048" max="12048" width="3.5" style="24" customWidth="1"/>
    <col min="12049" max="12049" width="10.375" style="24" customWidth="1"/>
    <col min="12050" max="12288" width="9" style="24"/>
    <col min="12289" max="12289" width="5" style="24" customWidth="1"/>
    <col min="12290" max="12290" width="20.625" style="24" customWidth="1"/>
    <col min="12291" max="12291" width="18.5" style="24" customWidth="1"/>
    <col min="12292" max="12292" width="3.875" style="24" customWidth="1"/>
    <col min="12293" max="12293" width="5.125" style="24" customWidth="1"/>
    <col min="12294" max="12300" width="2.625" style="24" customWidth="1"/>
    <col min="12301" max="12302" width="2.375" style="24" customWidth="1"/>
    <col min="12303" max="12303" width="2.125" style="24" customWidth="1"/>
    <col min="12304" max="12304" width="3.5" style="24" customWidth="1"/>
    <col min="12305" max="12305" width="10.375" style="24" customWidth="1"/>
    <col min="12306" max="12544" width="9" style="24"/>
    <col min="12545" max="12545" width="5" style="24" customWidth="1"/>
    <col min="12546" max="12546" width="20.625" style="24" customWidth="1"/>
    <col min="12547" max="12547" width="18.5" style="24" customWidth="1"/>
    <col min="12548" max="12548" width="3.875" style="24" customWidth="1"/>
    <col min="12549" max="12549" width="5.125" style="24" customWidth="1"/>
    <col min="12550" max="12556" width="2.625" style="24" customWidth="1"/>
    <col min="12557" max="12558" width="2.375" style="24" customWidth="1"/>
    <col min="12559" max="12559" width="2.125" style="24" customWidth="1"/>
    <col min="12560" max="12560" width="3.5" style="24" customWidth="1"/>
    <col min="12561" max="12561" width="10.375" style="24" customWidth="1"/>
    <col min="12562" max="12800" width="9" style="24"/>
    <col min="12801" max="12801" width="5" style="24" customWidth="1"/>
    <col min="12802" max="12802" width="20.625" style="24" customWidth="1"/>
    <col min="12803" max="12803" width="18.5" style="24" customWidth="1"/>
    <col min="12804" max="12804" width="3.875" style="24" customWidth="1"/>
    <col min="12805" max="12805" width="5.125" style="24" customWidth="1"/>
    <col min="12806" max="12812" width="2.625" style="24" customWidth="1"/>
    <col min="12813" max="12814" width="2.375" style="24" customWidth="1"/>
    <col min="12815" max="12815" width="2.125" style="24" customWidth="1"/>
    <col min="12816" max="12816" width="3.5" style="24" customWidth="1"/>
    <col min="12817" max="12817" width="10.375" style="24" customWidth="1"/>
    <col min="12818" max="13056" width="9" style="24"/>
    <col min="13057" max="13057" width="5" style="24" customWidth="1"/>
    <col min="13058" max="13058" width="20.625" style="24" customWidth="1"/>
    <col min="13059" max="13059" width="18.5" style="24" customWidth="1"/>
    <col min="13060" max="13060" width="3.875" style="24" customWidth="1"/>
    <col min="13061" max="13061" width="5.125" style="24" customWidth="1"/>
    <col min="13062" max="13068" width="2.625" style="24" customWidth="1"/>
    <col min="13069" max="13070" width="2.375" style="24" customWidth="1"/>
    <col min="13071" max="13071" width="2.125" style="24" customWidth="1"/>
    <col min="13072" max="13072" width="3.5" style="24" customWidth="1"/>
    <col min="13073" max="13073" width="10.375" style="24" customWidth="1"/>
    <col min="13074" max="13312" width="9" style="24"/>
    <col min="13313" max="13313" width="5" style="24" customWidth="1"/>
    <col min="13314" max="13314" width="20.625" style="24" customWidth="1"/>
    <col min="13315" max="13315" width="18.5" style="24" customWidth="1"/>
    <col min="13316" max="13316" width="3.875" style="24" customWidth="1"/>
    <col min="13317" max="13317" width="5.125" style="24" customWidth="1"/>
    <col min="13318" max="13324" width="2.625" style="24" customWidth="1"/>
    <col min="13325" max="13326" width="2.375" style="24" customWidth="1"/>
    <col min="13327" max="13327" width="2.125" style="24" customWidth="1"/>
    <col min="13328" max="13328" width="3.5" style="24" customWidth="1"/>
    <col min="13329" max="13329" width="10.375" style="24" customWidth="1"/>
    <col min="13330" max="13568" width="9" style="24"/>
    <col min="13569" max="13569" width="5" style="24" customWidth="1"/>
    <col min="13570" max="13570" width="20.625" style="24" customWidth="1"/>
    <col min="13571" max="13571" width="18.5" style="24" customWidth="1"/>
    <col min="13572" max="13572" width="3.875" style="24" customWidth="1"/>
    <col min="13573" max="13573" width="5.125" style="24" customWidth="1"/>
    <col min="13574" max="13580" width="2.625" style="24" customWidth="1"/>
    <col min="13581" max="13582" width="2.375" style="24" customWidth="1"/>
    <col min="13583" max="13583" width="2.125" style="24" customWidth="1"/>
    <col min="13584" max="13584" width="3.5" style="24" customWidth="1"/>
    <col min="13585" max="13585" width="10.375" style="24" customWidth="1"/>
    <col min="13586" max="13824" width="9" style="24"/>
    <col min="13825" max="13825" width="5" style="24" customWidth="1"/>
    <col min="13826" max="13826" width="20.625" style="24" customWidth="1"/>
    <col min="13827" max="13827" width="18.5" style="24" customWidth="1"/>
    <col min="13828" max="13828" width="3.875" style="24" customWidth="1"/>
    <col min="13829" max="13829" width="5.125" style="24" customWidth="1"/>
    <col min="13830" max="13836" width="2.625" style="24" customWidth="1"/>
    <col min="13837" max="13838" width="2.375" style="24" customWidth="1"/>
    <col min="13839" max="13839" width="2.125" style="24" customWidth="1"/>
    <col min="13840" max="13840" width="3.5" style="24" customWidth="1"/>
    <col min="13841" max="13841" width="10.375" style="24" customWidth="1"/>
    <col min="13842" max="14080" width="9" style="24"/>
    <col min="14081" max="14081" width="5" style="24" customWidth="1"/>
    <col min="14082" max="14082" width="20.625" style="24" customWidth="1"/>
    <col min="14083" max="14083" width="18.5" style="24" customWidth="1"/>
    <col min="14084" max="14084" width="3.875" style="24" customWidth="1"/>
    <col min="14085" max="14085" width="5.125" style="24" customWidth="1"/>
    <col min="14086" max="14092" width="2.625" style="24" customWidth="1"/>
    <col min="14093" max="14094" width="2.375" style="24" customWidth="1"/>
    <col min="14095" max="14095" width="2.125" style="24" customWidth="1"/>
    <col min="14096" max="14096" width="3.5" style="24" customWidth="1"/>
    <col min="14097" max="14097" width="10.375" style="24" customWidth="1"/>
    <col min="14098" max="14336" width="9" style="24"/>
    <col min="14337" max="14337" width="5" style="24" customWidth="1"/>
    <col min="14338" max="14338" width="20.625" style="24" customWidth="1"/>
    <col min="14339" max="14339" width="18.5" style="24" customWidth="1"/>
    <col min="14340" max="14340" width="3.875" style="24" customWidth="1"/>
    <col min="14341" max="14341" width="5.125" style="24" customWidth="1"/>
    <col min="14342" max="14348" width="2.625" style="24" customWidth="1"/>
    <col min="14349" max="14350" width="2.375" style="24" customWidth="1"/>
    <col min="14351" max="14351" width="2.125" style="24" customWidth="1"/>
    <col min="14352" max="14352" width="3.5" style="24" customWidth="1"/>
    <col min="14353" max="14353" width="10.375" style="24" customWidth="1"/>
    <col min="14354" max="14592" width="9" style="24"/>
    <col min="14593" max="14593" width="5" style="24" customWidth="1"/>
    <col min="14594" max="14594" width="20.625" style="24" customWidth="1"/>
    <col min="14595" max="14595" width="18.5" style="24" customWidth="1"/>
    <col min="14596" max="14596" width="3.875" style="24" customWidth="1"/>
    <col min="14597" max="14597" width="5.125" style="24" customWidth="1"/>
    <col min="14598" max="14604" width="2.625" style="24" customWidth="1"/>
    <col min="14605" max="14606" width="2.375" style="24" customWidth="1"/>
    <col min="14607" max="14607" width="2.125" style="24" customWidth="1"/>
    <col min="14608" max="14608" width="3.5" style="24" customWidth="1"/>
    <col min="14609" max="14609" width="10.375" style="24" customWidth="1"/>
    <col min="14610" max="14848" width="9" style="24"/>
    <col min="14849" max="14849" width="5" style="24" customWidth="1"/>
    <col min="14850" max="14850" width="20.625" style="24" customWidth="1"/>
    <col min="14851" max="14851" width="18.5" style="24" customWidth="1"/>
    <col min="14852" max="14852" width="3.875" style="24" customWidth="1"/>
    <col min="14853" max="14853" width="5.125" style="24" customWidth="1"/>
    <col min="14854" max="14860" width="2.625" style="24" customWidth="1"/>
    <col min="14861" max="14862" width="2.375" style="24" customWidth="1"/>
    <col min="14863" max="14863" width="2.125" style="24" customWidth="1"/>
    <col min="14864" max="14864" width="3.5" style="24" customWidth="1"/>
    <col min="14865" max="14865" width="10.375" style="24" customWidth="1"/>
    <col min="14866" max="15104" width="9" style="24"/>
    <col min="15105" max="15105" width="5" style="24" customWidth="1"/>
    <col min="15106" max="15106" width="20.625" style="24" customWidth="1"/>
    <col min="15107" max="15107" width="18.5" style="24" customWidth="1"/>
    <col min="15108" max="15108" width="3.875" style="24" customWidth="1"/>
    <col min="15109" max="15109" width="5.125" style="24" customWidth="1"/>
    <col min="15110" max="15116" width="2.625" style="24" customWidth="1"/>
    <col min="15117" max="15118" width="2.375" style="24" customWidth="1"/>
    <col min="15119" max="15119" width="2.125" style="24" customWidth="1"/>
    <col min="15120" max="15120" width="3.5" style="24" customWidth="1"/>
    <col min="15121" max="15121" width="10.375" style="24" customWidth="1"/>
    <col min="15122" max="15360" width="9" style="24"/>
    <col min="15361" max="15361" width="5" style="24" customWidth="1"/>
    <col min="15362" max="15362" width="20.625" style="24" customWidth="1"/>
    <col min="15363" max="15363" width="18.5" style="24" customWidth="1"/>
    <col min="15364" max="15364" width="3.875" style="24" customWidth="1"/>
    <col min="15365" max="15365" width="5.125" style="24" customWidth="1"/>
    <col min="15366" max="15372" width="2.625" style="24" customWidth="1"/>
    <col min="15373" max="15374" width="2.375" style="24" customWidth="1"/>
    <col min="15375" max="15375" width="2.125" style="24" customWidth="1"/>
    <col min="15376" max="15376" width="3.5" style="24" customWidth="1"/>
    <col min="15377" max="15377" width="10.375" style="24" customWidth="1"/>
    <col min="15378" max="15616" width="9" style="24"/>
    <col min="15617" max="15617" width="5" style="24" customWidth="1"/>
    <col min="15618" max="15618" width="20.625" style="24" customWidth="1"/>
    <col min="15619" max="15619" width="18.5" style="24" customWidth="1"/>
    <col min="15620" max="15620" width="3.875" style="24" customWidth="1"/>
    <col min="15621" max="15621" width="5.125" style="24" customWidth="1"/>
    <col min="15622" max="15628" width="2.625" style="24" customWidth="1"/>
    <col min="15629" max="15630" width="2.375" style="24" customWidth="1"/>
    <col min="15631" max="15631" width="2.125" style="24" customWidth="1"/>
    <col min="15632" max="15632" width="3.5" style="24" customWidth="1"/>
    <col min="15633" max="15633" width="10.375" style="24" customWidth="1"/>
    <col min="15634" max="15872" width="9" style="24"/>
    <col min="15873" max="15873" width="5" style="24" customWidth="1"/>
    <col min="15874" max="15874" width="20.625" style="24" customWidth="1"/>
    <col min="15875" max="15875" width="18.5" style="24" customWidth="1"/>
    <col min="15876" max="15876" width="3.875" style="24" customWidth="1"/>
    <col min="15877" max="15877" width="5.125" style="24" customWidth="1"/>
    <col min="15878" max="15884" width="2.625" style="24" customWidth="1"/>
    <col min="15885" max="15886" width="2.375" style="24" customWidth="1"/>
    <col min="15887" max="15887" width="2.125" style="24" customWidth="1"/>
    <col min="15888" max="15888" width="3.5" style="24" customWidth="1"/>
    <col min="15889" max="15889" width="10.375" style="24" customWidth="1"/>
    <col min="15890" max="16128" width="9" style="24"/>
    <col min="16129" max="16129" width="5" style="24" customWidth="1"/>
    <col min="16130" max="16130" width="20.625" style="24" customWidth="1"/>
    <col min="16131" max="16131" width="18.5" style="24" customWidth="1"/>
    <col min="16132" max="16132" width="3.875" style="24" customWidth="1"/>
    <col min="16133" max="16133" width="5.125" style="24" customWidth="1"/>
    <col min="16134" max="16140" width="2.625" style="24" customWidth="1"/>
    <col min="16141" max="16142" width="2.375" style="24" customWidth="1"/>
    <col min="16143" max="16143" width="2.125" style="24" customWidth="1"/>
    <col min="16144" max="16144" width="3.5" style="24" customWidth="1"/>
    <col min="16145" max="16145" width="10.375" style="24" customWidth="1"/>
    <col min="16146" max="16384" width="9" style="24"/>
  </cols>
  <sheetData>
    <row r="1" spans="1:32" ht="28.5" customHeight="1">
      <c r="A1" s="166" t="s">
        <v>82</v>
      </c>
      <c r="B1" s="167"/>
      <c r="C1" s="164">
        <f ca="1">INDIRECT(K6)</f>
        <v>0</v>
      </c>
      <c r="D1" s="165"/>
      <c r="I1" s="25"/>
      <c r="J1" s="25"/>
      <c r="K1" s="25"/>
    </row>
    <row r="2" spans="1:32" ht="28.5" customHeight="1">
      <c r="A2" s="172" t="s">
        <v>83</v>
      </c>
      <c r="B2" s="172"/>
      <c r="C2" s="168" t="str">
        <f>領収証内訳!X2&amp;" "&amp;領収証内訳!AA2</f>
        <v>0 0</v>
      </c>
      <c r="D2" s="169"/>
      <c r="I2" s="26"/>
      <c r="J2" s="26"/>
      <c r="K2" s="26"/>
      <c r="Q2" s="24" t="s">
        <v>101</v>
      </c>
      <c r="R2" s="24" t="s">
        <v>18</v>
      </c>
      <c r="S2" s="24" t="s">
        <v>19</v>
      </c>
      <c r="T2" s="24" t="s">
        <v>20</v>
      </c>
      <c r="U2" s="24" t="s">
        <v>21</v>
      </c>
      <c r="V2" s="24" t="s">
        <v>22</v>
      </c>
      <c r="W2" s="24" t="s">
        <v>23</v>
      </c>
      <c r="X2" s="24" t="s">
        <v>24</v>
      </c>
      <c r="Y2" s="24" t="s">
        <v>25</v>
      </c>
      <c r="Z2" s="24" t="s">
        <v>26</v>
      </c>
      <c r="AA2" s="24" t="s">
        <v>27</v>
      </c>
      <c r="AB2" s="24" t="s">
        <v>28</v>
      </c>
      <c r="AC2" s="24" t="s">
        <v>29</v>
      </c>
      <c r="AD2" s="24" t="s">
        <v>30</v>
      </c>
      <c r="AE2" s="24" t="s">
        <v>31</v>
      </c>
      <c r="AF2" s="24" t="s">
        <v>32</v>
      </c>
    </row>
    <row r="3" spans="1:32" ht="30" customHeight="1">
      <c r="A3" s="34" t="s">
        <v>84</v>
      </c>
      <c r="B3" s="35" t="s">
        <v>85</v>
      </c>
      <c r="C3" s="34" t="s">
        <v>86</v>
      </c>
      <c r="D3" s="36" t="s">
        <v>87</v>
      </c>
      <c r="I3" s="173" t="s">
        <v>9</v>
      </c>
      <c r="J3" s="174"/>
      <c r="K3" s="27">
        <v>1</v>
      </c>
      <c r="P3" s="24">
        <v>1</v>
      </c>
      <c r="Q3" s="24">
        <f>領収証内訳!E5</f>
        <v>0</v>
      </c>
      <c r="R3" s="28">
        <f>領収証内訳!F5</f>
        <v>0</v>
      </c>
      <c r="S3" s="24">
        <f>領収証内訳!G5</f>
        <v>0</v>
      </c>
      <c r="T3" s="24">
        <f>領収証内訳!H5</f>
        <v>0</v>
      </c>
      <c r="U3" s="24">
        <f>領収証内訳!I5</f>
        <v>0</v>
      </c>
      <c r="V3" s="24">
        <f>領収証内訳!J5</f>
        <v>0</v>
      </c>
      <c r="W3" s="24">
        <f>領収証内訳!K5</f>
        <v>0</v>
      </c>
      <c r="X3" s="24">
        <f>領収証内訳!L5</f>
        <v>0</v>
      </c>
      <c r="Y3" s="24">
        <f>領収証内訳!M5</f>
        <v>0</v>
      </c>
      <c r="Z3" s="24">
        <f>領収証内訳!N5</f>
        <v>0</v>
      </c>
      <c r="AA3" s="24">
        <f>領収証内訳!O5</f>
        <v>0</v>
      </c>
      <c r="AB3" s="24">
        <f>領収証内訳!P5</f>
        <v>0</v>
      </c>
      <c r="AC3" s="24">
        <f>領収証内訳!Q5</f>
        <v>0</v>
      </c>
      <c r="AD3" s="24">
        <f>領収証内訳!R5</f>
        <v>0</v>
      </c>
      <c r="AE3" s="24">
        <f>領収証内訳!S5</f>
        <v>0</v>
      </c>
      <c r="AF3" s="24">
        <f>領収証内訳!T5</f>
        <v>0</v>
      </c>
    </row>
    <row r="4" spans="1:32" ht="30" customHeight="1">
      <c r="A4" s="37" t="s">
        <v>88</v>
      </c>
      <c r="B4" s="38">
        <f>VLOOKUP($K$3,$P$2:$AF$52,3,FALSE)</f>
        <v>0</v>
      </c>
      <c r="C4" s="39" t="s">
        <v>116</v>
      </c>
      <c r="D4" s="37"/>
      <c r="I4" s="29"/>
      <c r="J4" s="30"/>
      <c r="K4" s="30"/>
      <c r="P4" s="24">
        <v>2</v>
      </c>
      <c r="Q4" s="24">
        <f>領収証内訳!E6</f>
        <v>0</v>
      </c>
      <c r="R4" s="24">
        <f>領収証内訳!F6</f>
        <v>0</v>
      </c>
      <c r="S4" s="24">
        <f>領収証内訳!G6</f>
        <v>0</v>
      </c>
      <c r="T4" s="24">
        <f>領収証内訳!H6</f>
        <v>0</v>
      </c>
      <c r="U4" s="24">
        <f>領収証内訳!I6</f>
        <v>0</v>
      </c>
      <c r="V4" s="24">
        <f>領収証内訳!J6</f>
        <v>0</v>
      </c>
      <c r="W4" s="24">
        <f>領収証内訳!K6</f>
        <v>0</v>
      </c>
      <c r="X4" s="24">
        <f>領収証内訳!L6</f>
        <v>0</v>
      </c>
      <c r="Y4" s="24">
        <f>領収証内訳!M6</f>
        <v>0</v>
      </c>
      <c r="Z4" s="24">
        <f>領収証内訳!N6</f>
        <v>0</v>
      </c>
      <c r="AA4" s="24">
        <f>領収証内訳!O6</f>
        <v>0</v>
      </c>
      <c r="AB4" s="24">
        <f>領収証内訳!P6</f>
        <v>0</v>
      </c>
      <c r="AC4" s="24">
        <f>領収証内訳!Q6</f>
        <v>0</v>
      </c>
      <c r="AD4" s="24">
        <f>領収証内訳!R6</f>
        <v>0</v>
      </c>
      <c r="AE4" s="24">
        <f>領収証内訳!S6</f>
        <v>0</v>
      </c>
      <c r="AF4" s="24">
        <f>領収証内訳!T6</f>
        <v>0</v>
      </c>
    </row>
    <row r="5" spans="1:32" ht="30" customHeight="1">
      <c r="A5" s="37" t="s">
        <v>88</v>
      </c>
      <c r="B5" s="38">
        <f>VLOOKUP($K$3,$P$2:$AF$52,4,FALSE)</f>
        <v>0</v>
      </c>
      <c r="C5" s="40" t="s">
        <v>30</v>
      </c>
      <c r="D5" s="37"/>
      <c r="I5" s="29"/>
      <c r="J5" s="30"/>
      <c r="K5" s="30"/>
      <c r="P5" s="24">
        <v>3</v>
      </c>
      <c r="Q5" s="24">
        <f>領収証内訳!E7</f>
        <v>0</v>
      </c>
      <c r="R5" s="24">
        <f>領収証内訳!F7</f>
        <v>0</v>
      </c>
      <c r="S5" s="24">
        <f>領収証内訳!G7</f>
        <v>0</v>
      </c>
      <c r="T5" s="24">
        <f>領収証内訳!H7</f>
        <v>0</v>
      </c>
      <c r="U5" s="24">
        <f>領収証内訳!I7</f>
        <v>0</v>
      </c>
      <c r="V5" s="24">
        <f>領収証内訳!J7</f>
        <v>0</v>
      </c>
      <c r="W5" s="24">
        <f>領収証内訳!K7</f>
        <v>0</v>
      </c>
      <c r="X5" s="24">
        <f>領収証内訳!L7</f>
        <v>0</v>
      </c>
      <c r="Y5" s="24">
        <f>領収証内訳!M7</f>
        <v>0</v>
      </c>
      <c r="Z5" s="24">
        <f>領収証内訳!N7</f>
        <v>0</v>
      </c>
      <c r="AA5" s="24">
        <f>領収証内訳!O7</f>
        <v>0</v>
      </c>
      <c r="AB5" s="24">
        <f>領収証内訳!P7</f>
        <v>0</v>
      </c>
      <c r="AC5" s="24">
        <f>領収証内訳!Q7</f>
        <v>0</v>
      </c>
      <c r="AD5" s="24">
        <f>領収証内訳!R7</f>
        <v>0</v>
      </c>
      <c r="AE5" s="24">
        <f>領収証内訳!S7</f>
        <v>0</v>
      </c>
      <c r="AF5" s="24">
        <f>領収証内訳!T7</f>
        <v>0</v>
      </c>
    </row>
    <row r="6" spans="1:32" ht="30" customHeight="1">
      <c r="A6" s="37" t="s">
        <v>88</v>
      </c>
      <c r="B6" s="38">
        <f>VLOOKUP($K$3,$P$2:$AF$52,5,FALSE)</f>
        <v>0</v>
      </c>
      <c r="C6" s="39" t="s">
        <v>89</v>
      </c>
      <c r="D6" s="37"/>
      <c r="I6" s="29"/>
      <c r="J6" s="31" t="s">
        <v>10</v>
      </c>
      <c r="K6" s="31" t="str">
        <f>"Q"&amp;FIXED(K3+2,0,TRUE)</f>
        <v>Q3</v>
      </c>
      <c r="P6" s="24">
        <v>4</v>
      </c>
      <c r="Q6" s="24">
        <f>領収証内訳!E8</f>
        <v>0</v>
      </c>
      <c r="R6" s="24">
        <f>領収証内訳!F8</f>
        <v>0</v>
      </c>
      <c r="S6" s="24">
        <f>領収証内訳!G8</f>
        <v>0</v>
      </c>
      <c r="T6" s="24">
        <f>領収証内訳!H8</f>
        <v>0</v>
      </c>
      <c r="U6" s="24">
        <f>領収証内訳!I8</f>
        <v>0</v>
      </c>
      <c r="V6" s="24">
        <f>領収証内訳!J8</f>
        <v>0</v>
      </c>
      <c r="W6" s="24">
        <f>領収証内訳!K8</f>
        <v>0</v>
      </c>
      <c r="X6" s="24">
        <f>領収証内訳!L8</f>
        <v>0</v>
      </c>
      <c r="Y6" s="24">
        <f>領収証内訳!M8</f>
        <v>0</v>
      </c>
      <c r="Z6" s="24">
        <f>領収証内訳!N8</f>
        <v>0</v>
      </c>
      <c r="AA6" s="24">
        <f>領収証内訳!O8</f>
        <v>0</v>
      </c>
      <c r="AB6" s="24">
        <f>領収証内訳!P8</f>
        <v>0</v>
      </c>
      <c r="AC6" s="24">
        <f>領収証内訳!Q8</f>
        <v>0</v>
      </c>
      <c r="AD6" s="24">
        <f>領収証内訳!R8</f>
        <v>0</v>
      </c>
      <c r="AE6" s="24">
        <f>領収証内訳!S8</f>
        <v>0</v>
      </c>
      <c r="AF6" s="24">
        <f>領収証内訳!T8</f>
        <v>0</v>
      </c>
    </row>
    <row r="7" spans="1:32" ht="30" customHeight="1">
      <c r="A7" s="37" t="s">
        <v>88</v>
      </c>
      <c r="B7" s="38">
        <f>VLOOKUP($K$3,$P$2:$AF$52,6,FALSE)</f>
        <v>0</v>
      </c>
      <c r="C7" s="40" t="s">
        <v>90</v>
      </c>
      <c r="D7" s="37"/>
      <c r="I7" s="31"/>
      <c r="J7" s="25"/>
      <c r="K7" s="25"/>
      <c r="P7" s="24">
        <v>5</v>
      </c>
      <c r="Q7" s="24">
        <f>領収証内訳!E9</f>
        <v>0</v>
      </c>
      <c r="R7" s="24">
        <f>領収証内訳!F9</f>
        <v>0</v>
      </c>
      <c r="S7" s="24">
        <f>領収証内訳!G9</f>
        <v>0</v>
      </c>
      <c r="T7" s="24">
        <f>領収証内訳!H9</f>
        <v>0</v>
      </c>
      <c r="U7" s="24">
        <f>領収証内訳!I9</f>
        <v>0</v>
      </c>
      <c r="V7" s="24">
        <f>領収証内訳!J9</f>
        <v>0</v>
      </c>
      <c r="W7" s="24">
        <f>領収証内訳!K9</f>
        <v>0</v>
      </c>
      <c r="X7" s="24">
        <f>領収証内訳!L9</f>
        <v>0</v>
      </c>
      <c r="Y7" s="24">
        <f>領収証内訳!M9</f>
        <v>0</v>
      </c>
      <c r="Z7" s="24">
        <f>領収証内訳!N9</f>
        <v>0</v>
      </c>
      <c r="AA7" s="24">
        <f>領収証内訳!O9</f>
        <v>0</v>
      </c>
      <c r="AB7" s="24">
        <f>領収証内訳!P9</f>
        <v>0</v>
      </c>
      <c r="AC7" s="24">
        <f>領収証内訳!Q9</f>
        <v>0</v>
      </c>
      <c r="AD7" s="24">
        <f>領収証内訳!R9</f>
        <v>0</v>
      </c>
      <c r="AE7" s="24">
        <f>領収証内訳!S9</f>
        <v>0</v>
      </c>
      <c r="AF7" s="24">
        <f>領収証内訳!T9</f>
        <v>0</v>
      </c>
    </row>
    <row r="8" spans="1:32" ht="30" customHeight="1">
      <c r="A8" s="37" t="s">
        <v>88</v>
      </c>
      <c r="B8" s="38">
        <f>VLOOKUP($K$3,$P$2:$AF$52,7,FALSE)</f>
        <v>0</v>
      </c>
      <c r="C8" s="40" t="s">
        <v>91</v>
      </c>
      <c r="D8" s="37"/>
      <c r="I8" s="25"/>
      <c r="J8" s="25"/>
      <c r="K8" s="25"/>
      <c r="P8" s="24">
        <v>6</v>
      </c>
      <c r="Q8" s="24">
        <f>領収証内訳!E10</f>
        <v>0</v>
      </c>
      <c r="R8" s="24">
        <f>領収証内訳!F10</f>
        <v>0</v>
      </c>
      <c r="S8" s="24">
        <f>領収証内訳!G10</f>
        <v>0</v>
      </c>
      <c r="T8" s="24">
        <f>領収証内訳!H10</f>
        <v>0</v>
      </c>
      <c r="U8" s="24">
        <f>領収証内訳!I10</f>
        <v>0</v>
      </c>
      <c r="V8" s="24">
        <f>領収証内訳!J10</f>
        <v>0</v>
      </c>
      <c r="W8" s="24">
        <f>領収証内訳!K10</f>
        <v>0</v>
      </c>
      <c r="X8" s="24">
        <f>領収証内訳!L10</f>
        <v>0</v>
      </c>
      <c r="Y8" s="24">
        <f>領収証内訳!M10</f>
        <v>0</v>
      </c>
      <c r="Z8" s="24">
        <f>領収証内訳!N10</f>
        <v>0</v>
      </c>
      <c r="AA8" s="24">
        <f>領収証内訳!O10</f>
        <v>0</v>
      </c>
      <c r="AB8" s="24">
        <f>領収証内訳!P10</f>
        <v>0</v>
      </c>
      <c r="AC8" s="24">
        <f>領収証内訳!Q10</f>
        <v>0</v>
      </c>
      <c r="AD8" s="24">
        <f>領収証内訳!R10</f>
        <v>0</v>
      </c>
      <c r="AE8" s="24">
        <f>領収証内訳!S10</f>
        <v>0</v>
      </c>
      <c r="AF8" s="24">
        <f>領収証内訳!T10</f>
        <v>0</v>
      </c>
    </row>
    <row r="9" spans="1:32" ht="30" customHeight="1">
      <c r="A9" s="37" t="s">
        <v>88</v>
      </c>
      <c r="B9" s="38">
        <f>VLOOKUP($K$3,$P$2:$AF$52,8,FALSE)</f>
        <v>0</v>
      </c>
      <c r="C9" s="40" t="s">
        <v>92</v>
      </c>
      <c r="D9" s="37"/>
      <c r="I9" s="25"/>
      <c r="J9" s="25"/>
      <c r="K9" s="25"/>
      <c r="P9" s="24">
        <v>7</v>
      </c>
      <c r="Q9" s="24">
        <f>領収証内訳!E11</f>
        <v>0</v>
      </c>
      <c r="R9" s="24">
        <f>領収証内訳!F11</f>
        <v>0</v>
      </c>
      <c r="S9" s="24">
        <f>領収証内訳!G11</f>
        <v>0</v>
      </c>
      <c r="T9" s="24">
        <f>領収証内訳!H11</f>
        <v>0</v>
      </c>
      <c r="U9" s="24">
        <f>領収証内訳!I11</f>
        <v>0</v>
      </c>
      <c r="V9" s="24">
        <f>領収証内訳!J11</f>
        <v>0</v>
      </c>
      <c r="W9" s="24">
        <f>領収証内訳!K11</f>
        <v>0</v>
      </c>
      <c r="X9" s="24">
        <f>領収証内訳!L11</f>
        <v>0</v>
      </c>
      <c r="Y9" s="24">
        <f>領収証内訳!M11</f>
        <v>0</v>
      </c>
      <c r="Z9" s="24">
        <f>領収証内訳!N11</f>
        <v>0</v>
      </c>
      <c r="AA9" s="24">
        <f>領収証内訳!O11</f>
        <v>0</v>
      </c>
      <c r="AB9" s="24">
        <f>領収証内訳!P11</f>
        <v>0</v>
      </c>
      <c r="AC9" s="24">
        <f>領収証内訳!Q11</f>
        <v>0</v>
      </c>
      <c r="AD9" s="24">
        <f>領収証内訳!R11</f>
        <v>0</v>
      </c>
      <c r="AE9" s="24">
        <f>領収証内訳!S11</f>
        <v>0</v>
      </c>
      <c r="AF9" s="24">
        <f>領収証内訳!T11</f>
        <v>0</v>
      </c>
    </row>
    <row r="10" spans="1:32" ht="30" customHeight="1">
      <c r="A10" s="37" t="s">
        <v>88</v>
      </c>
      <c r="B10" s="38">
        <f>VLOOKUP($K$3,$P$2:$AF$52,9,FALSE)</f>
        <v>0</v>
      </c>
      <c r="C10" s="40" t="s">
        <v>93</v>
      </c>
      <c r="D10" s="37"/>
      <c r="I10" s="170" t="s">
        <v>11</v>
      </c>
      <c r="J10" s="170"/>
      <c r="K10" s="116">
        <v>1</v>
      </c>
      <c r="P10" s="24">
        <v>8</v>
      </c>
      <c r="Q10" s="24">
        <f>領収証内訳!E12</f>
        <v>0</v>
      </c>
      <c r="R10" s="24">
        <f>領収証内訳!F12</f>
        <v>0</v>
      </c>
      <c r="S10" s="24">
        <f>領収証内訳!G12</f>
        <v>0</v>
      </c>
      <c r="T10" s="24">
        <f>領収証内訳!H12</f>
        <v>0</v>
      </c>
      <c r="U10" s="24">
        <f>領収証内訳!I12</f>
        <v>0</v>
      </c>
      <c r="V10" s="24">
        <f>領収証内訳!J12</f>
        <v>0</v>
      </c>
      <c r="W10" s="24">
        <f>領収証内訳!K12</f>
        <v>0</v>
      </c>
      <c r="X10" s="24">
        <f>領収証内訳!L12</f>
        <v>0</v>
      </c>
      <c r="Y10" s="24">
        <f>領収証内訳!M12</f>
        <v>0</v>
      </c>
      <c r="Z10" s="24">
        <f>領収証内訳!N12</f>
        <v>0</v>
      </c>
      <c r="AA10" s="24">
        <f>領収証内訳!O12</f>
        <v>0</v>
      </c>
      <c r="AB10" s="24">
        <f>領収証内訳!P12</f>
        <v>0</v>
      </c>
      <c r="AC10" s="24">
        <f>領収証内訳!Q12</f>
        <v>0</v>
      </c>
      <c r="AD10" s="24">
        <f>領収証内訳!R12</f>
        <v>0</v>
      </c>
      <c r="AE10" s="24">
        <f>領収証内訳!S12</f>
        <v>0</v>
      </c>
      <c r="AF10" s="24">
        <f>領収証内訳!T12</f>
        <v>0</v>
      </c>
    </row>
    <row r="11" spans="1:32" ht="30" customHeight="1">
      <c r="A11" s="37" t="s">
        <v>88</v>
      </c>
      <c r="B11" s="38">
        <f>VLOOKUP($K$3,$P$2:$AF$52,10,FALSE)</f>
        <v>0</v>
      </c>
      <c r="C11" s="40" t="s">
        <v>94</v>
      </c>
      <c r="D11" s="37"/>
      <c r="I11" s="171" t="s">
        <v>12</v>
      </c>
      <c r="J11" s="170"/>
      <c r="K11" s="116">
        <v>1</v>
      </c>
      <c r="P11" s="24">
        <v>9</v>
      </c>
      <c r="Q11" s="24">
        <f>領収証内訳!E13</f>
        <v>0</v>
      </c>
      <c r="R11" s="24">
        <f>領収証内訳!F13</f>
        <v>0</v>
      </c>
      <c r="S11" s="24">
        <f>領収証内訳!G13</f>
        <v>0</v>
      </c>
      <c r="T11" s="24">
        <f>領収証内訳!H13</f>
        <v>0</v>
      </c>
      <c r="U11" s="24">
        <f>領収証内訳!I13</f>
        <v>0</v>
      </c>
      <c r="V11" s="24">
        <f>領収証内訳!J13</f>
        <v>0</v>
      </c>
      <c r="W11" s="24">
        <f>領収証内訳!K13</f>
        <v>0</v>
      </c>
      <c r="X11" s="24">
        <f>領収証内訳!L13</f>
        <v>0</v>
      </c>
      <c r="Y11" s="24">
        <f>領収証内訳!M13</f>
        <v>0</v>
      </c>
      <c r="Z11" s="24">
        <f>領収証内訳!N13</f>
        <v>0</v>
      </c>
      <c r="AA11" s="24">
        <f>領収証内訳!O13</f>
        <v>0</v>
      </c>
      <c r="AB11" s="24">
        <f>領収証内訳!P13</f>
        <v>0</v>
      </c>
      <c r="AC11" s="24">
        <f>領収証内訳!Q13</f>
        <v>0</v>
      </c>
      <c r="AD11" s="24">
        <f>領収証内訳!R13</f>
        <v>0</v>
      </c>
      <c r="AE11" s="24">
        <f>領収証内訳!S13</f>
        <v>0</v>
      </c>
      <c r="AF11" s="24">
        <f>領収証内訳!T13</f>
        <v>0</v>
      </c>
    </row>
    <row r="12" spans="1:32" ht="30" customHeight="1">
      <c r="A12" s="37" t="s">
        <v>88</v>
      </c>
      <c r="B12" s="38">
        <f>VLOOKUP($K$3,$P$2:$AF$52,11,FALSE)</f>
        <v>0</v>
      </c>
      <c r="C12" s="40" t="s">
        <v>95</v>
      </c>
      <c r="D12" s="37"/>
      <c r="P12" s="24">
        <v>10</v>
      </c>
      <c r="Q12" s="24">
        <f>領収証内訳!E14</f>
        <v>0</v>
      </c>
      <c r="R12" s="24">
        <f>領収証内訳!F14</f>
        <v>0</v>
      </c>
      <c r="S12" s="24">
        <f>領収証内訳!G14</f>
        <v>0</v>
      </c>
      <c r="T12" s="24">
        <f>領収証内訳!H14</f>
        <v>0</v>
      </c>
      <c r="U12" s="24">
        <f>領収証内訳!I14</f>
        <v>0</v>
      </c>
      <c r="V12" s="24">
        <f>領収証内訳!J14</f>
        <v>0</v>
      </c>
      <c r="W12" s="24">
        <f>領収証内訳!K14</f>
        <v>0</v>
      </c>
      <c r="X12" s="24">
        <f>領収証内訳!L14</f>
        <v>0</v>
      </c>
      <c r="Y12" s="24">
        <f>領収証内訳!M14</f>
        <v>0</v>
      </c>
      <c r="Z12" s="24">
        <f>領収証内訳!N14</f>
        <v>0</v>
      </c>
      <c r="AA12" s="24">
        <f>領収証内訳!O14</f>
        <v>0</v>
      </c>
      <c r="AB12" s="24">
        <f>領収証内訳!P14</f>
        <v>0</v>
      </c>
      <c r="AC12" s="24">
        <f>領収証内訳!Q14</f>
        <v>0</v>
      </c>
      <c r="AD12" s="24">
        <f>領収証内訳!R14</f>
        <v>0</v>
      </c>
      <c r="AE12" s="24">
        <f>領収証内訳!S14</f>
        <v>0</v>
      </c>
      <c r="AF12" s="24">
        <f>領収証内訳!T14</f>
        <v>0</v>
      </c>
    </row>
    <row r="13" spans="1:32" ht="30" customHeight="1">
      <c r="A13" s="37" t="s">
        <v>88</v>
      </c>
      <c r="B13" s="38">
        <f>VLOOKUP($K$3,$P$2:$AF$52,12,FALSE)</f>
        <v>0</v>
      </c>
      <c r="C13" s="40" t="s">
        <v>96</v>
      </c>
      <c r="D13" s="37"/>
      <c r="P13" s="24">
        <v>11</v>
      </c>
      <c r="Q13" s="24">
        <f>領収証内訳!E15</f>
        <v>0</v>
      </c>
      <c r="R13" s="24">
        <f>領収証内訳!F15</f>
        <v>0</v>
      </c>
      <c r="S13" s="24">
        <f>領収証内訳!G15</f>
        <v>0</v>
      </c>
      <c r="T13" s="24">
        <f>領収証内訳!H15</f>
        <v>0</v>
      </c>
      <c r="U13" s="24">
        <f>領収証内訳!I15</f>
        <v>0</v>
      </c>
      <c r="V13" s="24">
        <f>領収証内訳!J15</f>
        <v>0</v>
      </c>
      <c r="W13" s="24">
        <f>領収証内訳!K15</f>
        <v>0</v>
      </c>
      <c r="X13" s="24">
        <f>領収証内訳!L15</f>
        <v>0</v>
      </c>
      <c r="Y13" s="24">
        <f>領収証内訳!M15</f>
        <v>0</v>
      </c>
      <c r="Z13" s="24">
        <f>領収証内訳!N15</f>
        <v>0</v>
      </c>
      <c r="AA13" s="24">
        <f>領収証内訳!O15</f>
        <v>0</v>
      </c>
      <c r="AB13" s="24">
        <f>領収証内訳!P15</f>
        <v>0</v>
      </c>
      <c r="AC13" s="24">
        <f>領収証内訳!Q15</f>
        <v>0</v>
      </c>
      <c r="AD13" s="24">
        <f>領収証内訳!R15</f>
        <v>0</v>
      </c>
      <c r="AE13" s="24">
        <f>領収証内訳!S15</f>
        <v>0</v>
      </c>
      <c r="AF13" s="24">
        <f>領収証内訳!T15</f>
        <v>0</v>
      </c>
    </row>
    <row r="14" spans="1:32" ht="30" customHeight="1">
      <c r="A14" s="37" t="s">
        <v>88</v>
      </c>
      <c r="B14" s="38">
        <f>VLOOKUP($K$3,$P$2:$AF$52,13,FALSE)</f>
        <v>0</v>
      </c>
      <c r="C14" s="40" t="s">
        <v>97</v>
      </c>
      <c r="D14" s="37"/>
      <c r="P14" s="24">
        <v>12</v>
      </c>
      <c r="Q14" s="24">
        <f>領収証内訳!E16</f>
        <v>0</v>
      </c>
      <c r="R14" s="24">
        <f>領収証内訳!F16</f>
        <v>0</v>
      </c>
      <c r="S14" s="24">
        <f>領収証内訳!G16</f>
        <v>0</v>
      </c>
      <c r="T14" s="24">
        <f>領収証内訳!H16</f>
        <v>0</v>
      </c>
      <c r="U14" s="24">
        <f>領収証内訳!I16</f>
        <v>0</v>
      </c>
      <c r="V14" s="24">
        <f>領収証内訳!J16</f>
        <v>0</v>
      </c>
      <c r="W14" s="24">
        <f>領収証内訳!K16</f>
        <v>0</v>
      </c>
      <c r="X14" s="24">
        <f>領収証内訳!L16</f>
        <v>0</v>
      </c>
      <c r="Y14" s="24">
        <f>領収証内訳!M16</f>
        <v>0</v>
      </c>
      <c r="Z14" s="24">
        <f>領収証内訳!N16</f>
        <v>0</v>
      </c>
      <c r="AA14" s="24">
        <f>領収証内訳!O16</f>
        <v>0</v>
      </c>
      <c r="AB14" s="24">
        <f>領収証内訳!P16</f>
        <v>0</v>
      </c>
      <c r="AC14" s="24">
        <f>領収証内訳!Q16</f>
        <v>0</v>
      </c>
      <c r="AD14" s="24">
        <f>領収証内訳!R16</f>
        <v>0</v>
      </c>
      <c r="AE14" s="24">
        <f>領収証内訳!S16</f>
        <v>0</v>
      </c>
      <c r="AF14" s="24">
        <f>領収証内訳!T16</f>
        <v>0</v>
      </c>
    </row>
    <row r="15" spans="1:32" ht="30" customHeight="1">
      <c r="A15" s="37" t="s">
        <v>88</v>
      </c>
      <c r="B15" s="38">
        <f>VLOOKUP($K$3,$P$2:$AF$52,14,FALSE)</f>
        <v>0</v>
      </c>
      <c r="C15" s="40" t="s">
        <v>98</v>
      </c>
      <c r="D15" s="37"/>
      <c r="P15" s="24">
        <v>13</v>
      </c>
      <c r="Q15" s="24">
        <f>領収証内訳!E17</f>
        <v>0</v>
      </c>
      <c r="R15" s="24">
        <f>領収証内訳!F17</f>
        <v>0</v>
      </c>
      <c r="S15" s="24">
        <f>領収証内訳!G17</f>
        <v>0</v>
      </c>
      <c r="T15" s="24">
        <f>領収証内訳!H17</f>
        <v>0</v>
      </c>
      <c r="U15" s="24">
        <f>領収証内訳!I17</f>
        <v>0</v>
      </c>
      <c r="V15" s="24">
        <f>領収証内訳!J17</f>
        <v>0</v>
      </c>
      <c r="W15" s="24">
        <f>領収証内訳!K17</f>
        <v>0</v>
      </c>
      <c r="X15" s="24">
        <f>領収証内訳!L17</f>
        <v>0</v>
      </c>
      <c r="Y15" s="24">
        <f>領収証内訳!M17</f>
        <v>0</v>
      </c>
      <c r="Z15" s="24">
        <f>領収証内訳!N17</f>
        <v>0</v>
      </c>
      <c r="AA15" s="24">
        <f>領収証内訳!O17</f>
        <v>0</v>
      </c>
      <c r="AB15" s="24">
        <f>領収証内訳!P17</f>
        <v>0</v>
      </c>
      <c r="AC15" s="24">
        <f>領収証内訳!Q17</f>
        <v>0</v>
      </c>
      <c r="AD15" s="24">
        <f>領収証内訳!R17</f>
        <v>0</v>
      </c>
      <c r="AE15" s="24">
        <f>領収証内訳!S17</f>
        <v>0</v>
      </c>
      <c r="AF15" s="24">
        <f>領収証内訳!T17</f>
        <v>0</v>
      </c>
    </row>
    <row r="16" spans="1:32" ht="30" customHeight="1">
      <c r="A16" s="37" t="s">
        <v>88</v>
      </c>
      <c r="B16" s="38">
        <f>VLOOKUP($K$3,$P$2:$AF$52,15,FALSE)</f>
        <v>0</v>
      </c>
      <c r="C16" s="40" t="s">
        <v>99</v>
      </c>
      <c r="D16" s="37"/>
      <c r="P16" s="24">
        <v>14</v>
      </c>
      <c r="Q16" s="24">
        <f>領収証内訳!E18</f>
        <v>0</v>
      </c>
      <c r="R16" s="24">
        <f>領収証内訳!F18</f>
        <v>0</v>
      </c>
      <c r="S16" s="24">
        <f>領収証内訳!G18</f>
        <v>0</v>
      </c>
      <c r="T16" s="24">
        <f>領収証内訳!H18</f>
        <v>0</v>
      </c>
      <c r="U16" s="24">
        <f>領収証内訳!I18</f>
        <v>0</v>
      </c>
      <c r="V16" s="24">
        <f>領収証内訳!J18</f>
        <v>0</v>
      </c>
      <c r="W16" s="24">
        <f>領収証内訳!K18</f>
        <v>0</v>
      </c>
      <c r="X16" s="24">
        <f>領収証内訳!L18</f>
        <v>0</v>
      </c>
      <c r="Y16" s="24">
        <f>領収証内訳!M18</f>
        <v>0</v>
      </c>
      <c r="Z16" s="24">
        <f>領収証内訳!N18</f>
        <v>0</v>
      </c>
      <c r="AA16" s="24">
        <f>領収証内訳!O18</f>
        <v>0</v>
      </c>
      <c r="AB16" s="24">
        <f>領収証内訳!P18</f>
        <v>0</v>
      </c>
      <c r="AC16" s="24">
        <f>領収証内訳!Q18</f>
        <v>0</v>
      </c>
      <c r="AD16" s="24">
        <f>領収証内訳!R18</f>
        <v>0</v>
      </c>
      <c r="AE16" s="24">
        <f>領収証内訳!S18</f>
        <v>0</v>
      </c>
      <c r="AF16" s="24">
        <f>領収証内訳!T18</f>
        <v>0</v>
      </c>
    </row>
    <row r="17" spans="1:32" ht="30" customHeight="1">
      <c r="A17" s="37" t="s">
        <v>88</v>
      </c>
      <c r="B17" s="38">
        <f>VLOOKUP($K$3,$P$2:$AF$52,16,FALSE)</f>
        <v>0</v>
      </c>
      <c r="C17" s="40" t="s">
        <v>100</v>
      </c>
      <c r="D17" s="37"/>
      <c r="P17" s="24">
        <v>15</v>
      </c>
      <c r="Q17" s="24">
        <f>領収証内訳!E19</f>
        <v>0</v>
      </c>
      <c r="R17" s="24">
        <f>領収証内訳!F19</f>
        <v>0</v>
      </c>
      <c r="S17" s="24">
        <f>領収証内訳!G19</f>
        <v>0</v>
      </c>
      <c r="T17" s="24">
        <f>領収証内訳!H19</f>
        <v>0</v>
      </c>
      <c r="U17" s="24">
        <f>領収証内訳!I19</f>
        <v>0</v>
      </c>
      <c r="V17" s="24">
        <f>領収証内訳!J19</f>
        <v>0</v>
      </c>
      <c r="W17" s="24">
        <f>領収証内訳!K19</f>
        <v>0</v>
      </c>
      <c r="X17" s="24">
        <f>領収証内訳!L19</f>
        <v>0</v>
      </c>
      <c r="Y17" s="24">
        <f>領収証内訳!M19</f>
        <v>0</v>
      </c>
      <c r="Z17" s="24">
        <f>領収証内訳!N19</f>
        <v>0</v>
      </c>
      <c r="AA17" s="24">
        <f>領収証内訳!O19</f>
        <v>0</v>
      </c>
      <c r="AB17" s="24">
        <f>領収証内訳!P19</f>
        <v>0</v>
      </c>
      <c r="AC17" s="24">
        <f>領収証内訳!Q19</f>
        <v>0</v>
      </c>
      <c r="AD17" s="24">
        <f>領収証内訳!R19</f>
        <v>0</v>
      </c>
      <c r="AE17" s="24">
        <f>領収証内訳!S19</f>
        <v>0</v>
      </c>
      <c r="AF17" s="24">
        <f>領収証内訳!T19</f>
        <v>0</v>
      </c>
    </row>
    <row r="18" spans="1:32" ht="30" customHeight="1">
      <c r="A18" s="37" t="s">
        <v>88</v>
      </c>
      <c r="B18" s="38">
        <f>VLOOKUP($K$3,$P$2:$AF$52,17,FALSE)</f>
        <v>0</v>
      </c>
      <c r="C18" s="40" t="s">
        <v>32</v>
      </c>
      <c r="D18" s="37"/>
      <c r="P18" s="24">
        <v>16</v>
      </c>
      <c r="Q18" s="24">
        <f>領収証内訳!E20</f>
        <v>0</v>
      </c>
      <c r="R18" s="24">
        <f>領収証内訳!F20</f>
        <v>0</v>
      </c>
      <c r="S18" s="24">
        <f>領収証内訳!G20</f>
        <v>0</v>
      </c>
      <c r="T18" s="24">
        <f>領収証内訳!H20</f>
        <v>0</v>
      </c>
      <c r="U18" s="24">
        <f>領収証内訳!I20</f>
        <v>0</v>
      </c>
      <c r="V18" s="24">
        <f>領収証内訳!J20</f>
        <v>0</v>
      </c>
      <c r="W18" s="24">
        <f>領収証内訳!K20</f>
        <v>0</v>
      </c>
      <c r="X18" s="24">
        <f>領収証内訳!L20</f>
        <v>0</v>
      </c>
      <c r="Y18" s="24">
        <f>領収証内訳!M20</f>
        <v>0</v>
      </c>
      <c r="Z18" s="24">
        <f>領収証内訳!N20</f>
        <v>0</v>
      </c>
      <c r="AA18" s="24">
        <f>領収証内訳!O20</f>
        <v>0</v>
      </c>
      <c r="AB18" s="24">
        <f>領収証内訳!P20</f>
        <v>0</v>
      </c>
      <c r="AC18" s="24">
        <f>領収証内訳!Q20</f>
        <v>0</v>
      </c>
      <c r="AD18" s="24">
        <f>領収証内訳!R20</f>
        <v>0</v>
      </c>
      <c r="AE18" s="24">
        <f>領収証内訳!S20</f>
        <v>0</v>
      </c>
      <c r="AF18" s="24">
        <f>領収証内訳!T20</f>
        <v>0</v>
      </c>
    </row>
    <row r="19" spans="1:32" ht="30" customHeight="1">
      <c r="A19" s="37" t="s">
        <v>3</v>
      </c>
      <c r="B19" s="41">
        <f>SUM(B4:B17)</f>
        <v>0</v>
      </c>
      <c r="C19" s="42"/>
      <c r="D19" s="37"/>
      <c r="P19" s="24">
        <v>17</v>
      </c>
      <c r="Q19" s="24">
        <f>領収証内訳!E21</f>
        <v>0</v>
      </c>
      <c r="R19" s="24">
        <f>領収証内訳!F21</f>
        <v>0</v>
      </c>
      <c r="S19" s="24">
        <f>領収証内訳!G21</f>
        <v>0</v>
      </c>
      <c r="T19" s="24">
        <f>領収証内訳!H21</f>
        <v>0</v>
      </c>
      <c r="U19" s="24">
        <f>領収証内訳!I21</f>
        <v>0</v>
      </c>
      <c r="V19" s="24">
        <f>領収証内訳!J21</f>
        <v>0</v>
      </c>
      <c r="W19" s="24">
        <f>領収証内訳!K21</f>
        <v>0</v>
      </c>
      <c r="X19" s="24">
        <f>領収証内訳!L21</f>
        <v>0</v>
      </c>
      <c r="Y19" s="24">
        <f>領収証内訳!M21</f>
        <v>0</v>
      </c>
      <c r="Z19" s="24">
        <f>領収証内訳!N21</f>
        <v>0</v>
      </c>
      <c r="AA19" s="24">
        <f>領収証内訳!O21</f>
        <v>0</v>
      </c>
      <c r="AB19" s="24">
        <f>領収証内訳!P21</f>
        <v>0</v>
      </c>
      <c r="AC19" s="24">
        <f>領収証内訳!Q21</f>
        <v>0</v>
      </c>
      <c r="AD19" s="24">
        <f>領収証内訳!R21</f>
        <v>0</v>
      </c>
      <c r="AE19" s="24">
        <f>領収証内訳!S21</f>
        <v>0</v>
      </c>
      <c r="AF19" s="24">
        <f>領収証内訳!T21</f>
        <v>0</v>
      </c>
    </row>
    <row r="20" spans="1:32">
      <c r="C20" s="32"/>
      <c r="P20" s="24">
        <v>18</v>
      </c>
      <c r="Q20" s="24">
        <f>領収証内訳!E22</f>
        <v>0</v>
      </c>
      <c r="R20" s="24">
        <f>領収証内訳!F22</f>
        <v>0</v>
      </c>
      <c r="S20" s="24">
        <f>領収証内訳!G22</f>
        <v>0</v>
      </c>
      <c r="T20" s="24">
        <f>領収証内訳!H22</f>
        <v>0</v>
      </c>
      <c r="U20" s="24">
        <f>領収証内訳!I22</f>
        <v>0</v>
      </c>
      <c r="V20" s="24">
        <f>領収証内訳!J22</f>
        <v>0</v>
      </c>
      <c r="W20" s="24">
        <f>領収証内訳!K22</f>
        <v>0</v>
      </c>
      <c r="X20" s="24">
        <f>領収証内訳!L22</f>
        <v>0</v>
      </c>
      <c r="Y20" s="24">
        <f>領収証内訳!M22</f>
        <v>0</v>
      </c>
      <c r="Z20" s="24">
        <f>領収証内訳!N22</f>
        <v>0</v>
      </c>
      <c r="AA20" s="24">
        <f>領収証内訳!O22</f>
        <v>0</v>
      </c>
      <c r="AB20" s="24">
        <f>領収証内訳!P22</f>
        <v>0</v>
      </c>
      <c r="AC20" s="24">
        <f>領収証内訳!Q22</f>
        <v>0</v>
      </c>
      <c r="AD20" s="24">
        <f>領収証内訳!R22</f>
        <v>0</v>
      </c>
      <c r="AE20" s="24">
        <f>領収証内訳!S22</f>
        <v>0</v>
      </c>
      <c r="AF20" s="24">
        <f>領収証内訳!T22</f>
        <v>0</v>
      </c>
    </row>
    <row r="21" spans="1:32">
      <c r="B21" s="32"/>
      <c r="P21" s="24">
        <v>19</v>
      </c>
      <c r="Q21" s="24">
        <f>領収証内訳!E23</f>
        <v>0</v>
      </c>
      <c r="R21" s="24">
        <f>領収証内訳!F23</f>
        <v>0</v>
      </c>
      <c r="S21" s="24">
        <f>領収証内訳!G23</f>
        <v>0</v>
      </c>
      <c r="T21" s="24">
        <f>領収証内訳!H23</f>
        <v>0</v>
      </c>
      <c r="U21" s="24">
        <f>領収証内訳!I23</f>
        <v>0</v>
      </c>
      <c r="V21" s="24">
        <f>領収証内訳!J23</f>
        <v>0</v>
      </c>
      <c r="W21" s="24">
        <f>領収証内訳!K23</f>
        <v>0</v>
      </c>
      <c r="X21" s="24">
        <f>領収証内訳!L23</f>
        <v>0</v>
      </c>
      <c r="Y21" s="24">
        <f>領収証内訳!M23</f>
        <v>0</v>
      </c>
      <c r="Z21" s="24">
        <f>領収証内訳!N23</f>
        <v>0</v>
      </c>
      <c r="AA21" s="24">
        <f>領収証内訳!O23</f>
        <v>0</v>
      </c>
      <c r="AB21" s="24">
        <f>領収証内訳!P23</f>
        <v>0</v>
      </c>
      <c r="AC21" s="24">
        <f>領収証内訳!Q23</f>
        <v>0</v>
      </c>
      <c r="AD21" s="24">
        <f>領収証内訳!R23</f>
        <v>0</v>
      </c>
      <c r="AE21" s="24">
        <f>領収証内訳!S23</f>
        <v>0</v>
      </c>
      <c r="AF21" s="24">
        <f>領収証内訳!T23</f>
        <v>0</v>
      </c>
    </row>
    <row r="22" spans="1:32">
      <c r="P22" s="24">
        <v>20</v>
      </c>
      <c r="Q22" s="24">
        <f>領収証内訳!E24</f>
        <v>0</v>
      </c>
      <c r="R22" s="24">
        <f>領収証内訳!F24</f>
        <v>0</v>
      </c>
      <c r="S22" s="24">
        <f>領収証内訳!G24</f>
        <v>0</v>
      </c>
      <c r="T22" s="24">
        <f>領収証内訳!H24</f>
        <v>0</v>
      </c>
      <c r="U22" s="24">
        <f>領収証内訳!I24</f>
        <v>0</v>
      </c>
      <c r="V22" s="24">
        <f>領収証内訳!J24</f>
        <v>0</v>
      </c>
      <c r="W22" s="24">
        <f>領収証内訳!K24</f>
        <v>0</v>
      </c>
      <c r="X22" s="24">
        <f>領収証内訳!L24</f>
        <v>0</v>
      </c>
      <c r="Y22" s="24">
        <f>領収証内訳!M24</f>
        <v>0</v>
      </c>
      <c r="Z22" s="24">
        <f>領収証内訳!N24</f>
        <v>0</v>
      </c>
      <c r="AA22" s="24">
        <f>領収証内訳!O24</f>
        <v>0</v>
      </c>
      <c r="AB22" s="24">
        <f>領収証内訳!P24</f>
        <v>0</v>
      </c>
      <c r="AC22" s="24">
        <f>領収証内訳!Q24</f>
        <v>0</v>
      </c>
      <c r="AD22" s="24">
        <f>領収証内訳!R24</f>
        <v>0</v>
      </c>
      <c r="AE22" s="24">
        <f>領収証内訳!S24</f>
        <v>0</v>
      </c>
      <c r="AF22" s="24">
        <f>領収証内訳!T24</f>
        <v>0</v>
      </c>
    </row>
    <row r="23" spans="1:32">
      <c r="P23" s="24">
        <v>21</v>
      </c>
      <c r="Q23" s="24">
        <f>領収証内訳!E25</f>
        <v>0</v>
      </c>
      <c r="R23" s="24">
        <f>領収証内訳!F25</f>
        <v>0</v>
      </c>
      <c r="S23" s="24">
        <f>領収証内訳!G25</f>
        <v>0</v>
      </c>
      <c r="T23" s="24">
        <f>領収証内訳!H25</f>
        <v>0</v>
      </c>
      <c r="U23" s="24">
        <f>領収証内訳!I25</f>
        <v>0</v>
      </c>
      <c r="V23" s="24">
        <f>領収証内訳!J25</f>
        <v>0</v>
      </c>
      <c r="W23" s="24">
        <f>領収証内訳!K25</f>
        <v>0</v>
      </c>
      <c r="X23" s="24">
        <f>領収証内訳!L25</f>
        <v>0</v>
      </c>
      <c r="Y23" s="24">
        <f>領収証内訳!M25</f>
        <v>0</v>
      </c>
      <c r="Z23" s="24">
        <f>領収証内訳!N25</f>
        <v>0</v>
      </c>
      <c r="AA23" s="24">
        <f>領収証内訳!O25</f>
        <v>0</v>
      </c>
      <c r="AB23" s="24">
        <f>領収証内訳!P25</f>
        <v>0</v>
      </c>
      <c r="AC23" s="24">
        <f>領収証内訳!Q25</f>
        <v>0</v>
      </c>
      <c r="AD23" s="24">
        <f>領収証内訳!R25</f>
        <v>0</v>
      </c>
      <c r="AE23" s="24">
        <f>領収証内訳!S25</f>
        <v>0</v>
      </c>
      <c r="AF23" s="24">
        <f>領収証内訳!T25</f>
        <v>0</v>
      </c>
    </row>
    <row r="24" spans="1:32">
      <c r="P24" s="24">
        <v>22</v>
      </c>
      <c r="Q24" s="24">
        <f>領収証内訳!E26</f>
        <v>0</v>
      </c>
      <c r="R24" s="24">
        <f>領収証内訳!F26</f>
        <v>0</v>
      </c>
      <c r="S24" s="24">
        <f>領収証内訳!G26</f>
        <v>0</v>
      </c>
      <c r="T24" s="24">
        <f>領収証内訳!H26</f>
        <v>0</v>
      </c>
      <c r="U24" s="24">
        <f>領収証内訳!I26</f>
        <v>0</v>
      </c>
      <c r="V24" s="24">
        <f>領収証内訳!J26</f>
        <v>0</v>
      </c>
      <c r="W24" s="24">
        <f>領収証内訳!K26</f>
        <v>0</v>
      </c>
      <c r="X24" s="24">
        <f>領収証内訳!L26</f>
        <v>0</v>
      </c>
      <c r="Y24" s="24">
        <f>領収証内訳!M26</f>
        <v>0</v>
      </c>
      <c r="Z24" s="24">
        <f>領収証内訳!N26</f>
        <v>0</v>
      </c>
      <c r="AA24" s="24">
        <f>領収証内訳!O26</f>
        <v>0</v>
      </c>
      <c r="AB24" s="24">
        <f>領収証内訳!P26</f>
        <v>0</v>
      </c>
      <c r="AC24" s="24">
        <f>領収証内訳!Q26</f>
        <v>0</v>
      </c>
      <c r="AD24" s="24">
        <f>領収証内訳!R26</f>
        <v>0</v>
      </c>
      <c r="AE24" s="24">
        <f>領収証内訳!S26</f>
        <v>0</v>
      </c>
      <c r="AF24" s="24">
        <f>領収証内訳!T26</f>
        <v>0</v>
      </c>
    </row>
    <row r="25" spans="1:32">
      <c r="P25" s="24">
        <v>23</v>
      </c>
      <c r="Q25" s="24">
        <f>領収証内訳!E27</f>
        <v>0</v>
      </c>
      <c r="R25" s="24">
        <f>領収証内訳!F27</f>
        <v>0</v>
      </c>
      <c r="S25" s="24">
        <f>領収証内訳!G27</f>
        <v>0</v>
      </c>
      <c r="T25" s="24">
        <f>領収証内訳!H27</f>
        <v>0</v>
      </c>
      <c r="U25" s="24">
        <f>領収証内訳!I27</f>
        <v>0</v>
      </c>
      <c r="V25" s="24">
        <f>領収証内訳!J27</f>
        <v>0</v>
      </c>
      <c r="W25" s="24">
        <f>領収証内訳!K27</f>
        <v>0</v>
      </c>
      <c r="X25" s="24">
        <f>領収証内訳!L27</f>
        <v>0</v>
      </c>
      <c r="Y25" s="24">
        <f>領収証内訳!M27</f>
        <v>0</v>
      </c>
      <c r="Z25" s="24">
        <f>領収証内訳!N27</f>
        <v>0</v>
      </c>
      <c r="AA25" s="24">
        <f>領収証内訳!O27</f>
        <v>0</v>
      </c>
      <c r="AB25" s="24">
        <f>領収証内訳!P27</f>
        <v>0</v>
      </c>
      <c r="AC25" s="24">
        <f>領収証内訳!Q27</f>
        <v>0</v>
      </c>
      <c r="AD25" s="24">
        <f>領収証内訳!R27</f>
        <v>0</v>
      </c>
      <c r="AE25" s="24">
        <f>領収証内訳!S27</f>
        <v>0</v>
      </c>
      <c r="AF25" s="24">
        <f>領収証内訳!T27</f>
        <v>0</v>
      </c>
    </row>
    <row r="26" spans="1:32" ht="14.25">
      <c r="B26" s="33"/>
      <c r="P26" s="24">
        <v>24</v>
      </c>
      <c r="Q26" s="24">
        <f>領収証内訳!E28</f>
        <v>0</v>
      </c>
      <c r="R26" s="24">
        <f>領収証内訳!F28</f>
        <v>0</v>
      </c>
      <c r="S26" s="24">
        <f>領収証内訳!G28</f>
        <v>0</v>
      </c>
      <c r="T26" s="24">
        <f>領収証内訳!H28</f>
        <v>0</v>
      </c>
      <c r="U26" s="24">
        <f>領収証内訳!I28</f>
        <v>0</v>
      </c>
      <c r="V26" s="24">
        <f>領収証内訳!J28</f>
        <v>0</v>
      </c>
      <c r="W26" s="24">
        <f>領収証内訳!K28</f>
        <v>0</v>
      </c>
      <c r="X26" s="24">
        <f>領収証内訳!L28</f>
        <v>0</v>
      </c>
      <c r="Y26" s="24">
        <f>領収証内訳!M28</f>
        <v>0</v>
      </c>
      <c r="Z26" s="24">
        <f>領収証内訳!N28</f>
        <v>0</v>
      </c>
      <c r="AA26" s="24">
        <f>領収証内訳!O28</f>
        <v>0</v>
      </c>
      <c r="AB26" s="24">
        <f>領収証内訳!P28</f>
        <v>0</v>
      </c>
      <c r="AC26" s="24">
        <f>領収証内訳!Q28</f>
        <v>0</v>
      </c>
      <c r="AD26" s="24">
        <f>領収証内訳!R28</f>
        <v>0</v>
      </c>
      <c r="AE26" s="24">
        <f>領収証内訳!S28</f>
        <v>0</v>
      </c>
      <c r="AF26" s="24">
        <f>領収証内訳!T28</f>
        <v>0</v>
      </c>
    </row>
    <row r="27" spans="1:32">
      <c r="P27" s="24">
        <v>25</v>
      </c>
      <c r="Q27" s="24">
        <f>領収証内訳!E29</f>
        <v>0</v>
      </c>
      <c r="R27" s="24">
        <f>領収証内訳!F29</f>
        <v>0</v>
      </c>
      <c r="S27" s="24">
        <f>領収証内訳!G29</f>
        <v>0</v>
      </c>
      <c r="T27" s="24">
        <f>領収証内訳!H29</f>
        <v>0</v>
      </c>
      <c r="U27" s="24">
        <f>領収証内訳!I29</f>
        <v>0</v>
      </c>
      <c r="V27" s="24">
        <f>領収証内訳!J29</f>
        <v>0</v>
      </c>
      <c r="W27" s="24">
        <f>領収証内訳!K29</f>
        <v>0</v>
      </c>
      <c r="X27" s="24">
        <f>領収証内訳!L29</f>
        <v>0</v>
      </c>
      <c r="Y27" s="24">
        <f>領収証内訳!M29</f>
        <v>0</v>
      </c>
      <c r="Z27" s="24">
        <f>領収証内訳!N29</f>
        <v>0</v>
      </c>
      <c r="AA27" s="24">
        <f>領収証内訳!O29</f>
        <v>0</v>
      </c>
      <c r="AB27" s="24">
        <f>領収証内訳!P29</f>
        <v>0</v>
      </c>
      <c r="AC27" s="24">
        <f>領収証内訳!Q29</f>
        <v>0</v>
      </c>
      <c r="AD27" s="24">
        <f>領収証内訳!R29</f>
        <v>0</v>
      </c>
      <c r="AE27" s="24">
        <f>領収証内訳!S29</f>
        <v>0</v>
      </c>
      <c r="AF27" s="24">
        <f>領収証内訳!T29</f>
        <v>0</v>
      </c>
    </row>
    <row r="28" spans="1:32" ht="7.5" customHeight="1">
      <c r="P28" s="24">
        <v>26</v>
      </c>
      <c r="Q28" s="24">
        <f>領収証内訳!E30</f>
        <v>0</v>
      </c>
      <c r="R28" s="24">
        <f>領収証内訳!F30</f>
        <v>0</v>
      </c>
      <c r="S28" s="24">
        <f>領収証内訳!G30</f>
        <v>0</v>
      </c>
      <c r="T28" s="24">
        <f>領収証内訳!H30</f>
        <v>0</v>
      </c>
      <c r="U28" s="24">
        <f>領収証内訳!I30</f>
        <v>0</v>
      </c>
      <c r="V28" s="24">
        <f>領収証内訳!J30</f>
        <v>0</v>
      </c>
      <c r="W28" s="24">
        <f>領収証内訳!K30</f>
        <v>0</v>
      </c>
      <c r="X28" s="24">
        <f>領収証内訳!L30</f>
        <v>0</v>
      </c>
      <c r="Y28" s="24">
        <f>領収証内訳!M30</f>
        <v>0</v>
      </c>
      <c r="Z28" s="24">
        <f>領収証内訳!N30</f>
        <v>0</v>
      </c>
      <c r="AA28" s="24">
        <f>領収証内訳!O30</f>
        <v>0</v>
      </c>
      <c r="AB28" s="24">
        <f>領収証内訳!P30</f>
        <v>0</v>
      </c>
      <c r="AC28" s="24">
        <f>領収証内訳!Q30</f>
        <v>0</v>
      </c>
      <c r="AD28" s="24">
        <f>領収証内訳!R30</f>
        <v>0</v>
      </c>
      <c r="AE28" s="24">
        <f>領収証内訳!S30</f>
        <v>0</v>
      </c>
      <c r="AF28" s="24">
        <f>領収証内訳!T30</f>
        <v>0</v>
      </c>
    </row>
    <row r="29" spans="1:32">
      <c r="P29" s="24">
        <v>27</v>
      </c>
      <c r="Q29" s="24">
        <f>領収証内訳!E31</f>
        <v>0</v>
      </c>
      <c r="R29" s="24">
        <f>領収証内訳!F31</f>
        <v>0</v>
      </c>
      <c r="S29" s="24">
        <f>領収証内訳!G31</f>
        <v>0</v>
      </c>
      <c r="T29" s="24">
        <f>領収証内訳!H31</f>
        <v>0</v>
      </c>
      <c r="U29" s="24">
        <f>領収証内訳!I31</f>
        <v>0</v>
      </c>
      <c r="V29" s="24">
        <f>領収証内訳!J31</f>
        <v>0</v>
      </c>
      <c r="W29" s="24">
        <f>領収証内訳!K31</f>
        <v>0</v>
      </c>
      <c r="X29" s="24">
        <f>領収証内訳!L31</f>
        <v>0</v>
      </c>
      <c r="Y29" s="24">
        <f>領収証内訳!M31</f>
        <v>0</v>
      </c>
      <c r="Z29" s="24">
        <f>領収証内訳!N31</f>
        <v>0</v>
      </c>
      <c r="AA29" s="24">
        <f>領収証内訳!O31</f>
        <v>0</v>
      </c>
      <c r="AB29" s="24">
        <f>領収証内訳!P31</f>
        <v>0</v>
      </c>
      <c r="AC29" s="24">
        <f>領収証内訳!Q31</f>
        <v>0</v>
      </c>
      <c r="AD29" s="24">
        <f>領収証内訳!R31</f>
        <v>0</v>
      </c>
      <c r="AE29" s="24">
        <f>領収証内訳!S31</f>
        <v>0</v>
      </c>
      <c r="AF29" s="24">
        <f>領収証内訳!T31</f>
        <v>0</v>
      </c>
    </row>
    <row r="30" spans="1:32">
      <c r="P30" s="24">
        <v>28</v>
      </c>
      <c r="Q30" s="24">
        <f>領収証内訳!E32</f>
        <v>0</v>
      </c>
      <c r="R30" s="24">
        <f>領収証内訳!F32</f>
        <v>0</v>
      </c>
      <c r="S30" s="24">
        <f>領収証内訳!G32</f>
        <v>0</v>
      </c>
      <c r="T30" s="24">
        <f>領収証内訳!H32</f>
        <v>0</v>
      </c>
      <c r="U30" s="24">
        <f>領収証内訳!I32</f>
        <v>0</v>
      </c>
      <c r="V30" s="24">
        <f>領収証内訳!J32</f>
        <v>0</v>
      </c>
      <c r="W30" s="24">
        <f>領収証内訳!K32</f>
        <v>0</v>
      </c>
      <c r="X30" s="24">
        <f>領収証内訳!L32</f>
        <v>0</v>
      </c>
      <c r="Y30" s="24">
        <f>領収証内訳!M32</f>
        <v>0</v>
      </c>
      <c r="Z30" s="24">
        <f>領収証内訳!N32</f>
        <v>0</v>
      </c>
      <c r="AA30" s="24">
        <f>領収証内訳!O32</f>
        <v>0</v>
      </c>
      <c r="AB30" s="24">
        <f>領収証内訳!P32</f>
        <v>0</v>
      </c>
      <c r="AC30" s="24">
        <f>領収証内訳!Q32</f>
        <v>0</v>
      </c>
      <c r="AD30" s="24">
        <f>領収証内訳!R32</f>
        <v>0</v>
      </c>
      <c r="AE30" s="24">
        <f>領収証内訳!S32</f>
        <v>0</v>
      </c>
      <c r="AF30" s="24">
        <f>領収証内訳!T32</f>
        <v>0</v>
      </c>
    </row>
    <row r="31" spans="1:32">
      <c r="P31" s="24">
        <v>29</v>
      </c>
      <c r="Q31" s="24">
        <f>領収証内訳!E33</f>
        <v>0</v>
      </c>
      <c r="R31" s="24">
        <f>領収証内訳!F33</f>
        <v>0</v>
      </c>
      <c r="S31" s="24">
        <f>領収証内訳!G33</f>
        <v>0</v>
      </c>
      <c r="T31" s="24">
        <f>領収証内訳!H33</f>
        <v>0</v>
      </c>
      <c r="U31" s="24">
        <f>領収証内訳!I33</f>
        <v>0</v>
      </c>
      <c r="V31" s="24">
        <f>領収証内訳!J33</f>
        <v>0</v>
      </c>
      <c r="W31" s="24">
        <f>領収証内訳!K33</f>
        <v>0</v>
      </c>
      <c r="X31" s="24">
        <f>領収証内訳!L33</f>
        <v>0</v>
      </c>
      <c r="Y31" s="24">
        <f>領収証内訳!M33</f>
        <v>0</v>
      </c>
      <c r="Z31" s="24">
        <f>領収証内訳!N33</f>
        <v>0</v>
      </c>
      <c r="AA31" s="24">
        <f>領収証内訳!O33</f>
        <v>0</v>
      </c>
      <c r="AB31" s="24">
        <f>領収証内訳!P33</f>
        <v>0</v>
      </c>
      <c r="AC31" s="24">
        <f>領収証内訳!Q33</f>
        <v>0</v>
      </c>
      <c r="AD31" s="24">
        <f>領収証内訳!R33</f>
        <v>0</v>
      </c>
      <c r="AE31" s="24">
        <f>領収証内訳!S33</f>
        <v>0</v>
      </c>
      <c r="AF31" s="24">
        <f>領収証内訳!T33</f>
        <v>0</v>
      </c>
    </row>
    <row r="32" spans="1:32">
      <c r="P32" s="24">
        <v>30</v>
      </c>
      <c r="Q32" s="24">
        <f>領収証内訳!E34</f>
        <v>0</v>
      </c>
      <c r="R32" s="24">
        <f>領収証内訳!F34</f>
        <v>0</v>
      </c>
      <c r="S32" s="24">
        <f>領収証内訳!G34</f>
        <v>0</v>
      </c>
      <c r="T32" s="24">
        <f>領収証内訳!H34</f>
        <v>0</v>
      </c>
      <c r="U32" s="24">
        <f>領収証内訳!I34</f>
        <v>0</v>
      </c>
      <c r="V32" s="24">
        <f>領収証内訳!J34</f>
        <v>0</v>
      </c>
      <c r="W32" s="24">
        <f>領収証内訳!K34</f>
        <v>0</v>
      </c>
      <c r="X32" s="24">
        <f>領収証内訳!L34</f>
        <v>0</v>
      </c>
      <c r="Y32" s="24">
        <f>領収証内訳!M34</f>
        <v>0</v>
      </c>
      <c r="Z32" s="24">
        <f>領収証内訳!N34</f>
        <v>0</v>
      </c>
      <c r="AA32" s="24">
        <f>領収証内訳!O34</f>
        <v>0</v>
      </c>
      <c r="AB32" s="24">
        <f>領収証内訳!P34</f>
        <v>0</v>
      </c>
      <c r="AC32" s="24">
        <f>領収証内訳!Q34</f>
        <v>0</v>
      </c>
      <c r="AD32" s="24">
        <f>領収証内訳!R34</f>
        <v>0</v>
      </c>
      <c r="AE32" s="24">
        <f>領収証内訳!S34</f>
        <v>0</v>
      </c>
      <c r="AF32" s="24">
        <f>領収証内訳!T34</f>
        <v>0</v>
      </c>
    </row>
    <row r="33" spans="16:32">
      <c r="P33" s="24">
        <v>31</v>
      </c>
      <c r="Q33" s="24">
        <f>領収証内訳!E35</f>
        <v>0</v>
      </c>
      <c r="R33" s="24">
        <f>領収証内訳!F35</f>
        <v>0</v>
      </c>
      <c r="S33" s="24">
        <f>領収証内訳!G35</f>
        <v>0</v>
      </c>
      <c r="T33" s="24">
        <f>領収証内訳!H35</f>
        <v>0</v>
      </c>
      <c r="U33" s="24">
        <f>領収証内訳!I35</f>
        <v>0</v>
      </c>
      <c r="V33" s="24">
        <f>領収証内訳!J35</f>
        <v>0</v>
      </c>
      <c r="W33" s="24">
        <f>領収証内訳!K35</f>
        <v>0</v>
      </c>
      <c r="X33" s="24">
        <f>領収証内訳!L35</f>
        <v>0</v>
      </c>
      <c r="Y33" s="24">
        <f>領収証内訳!M35</f>
        <v>0</v>
      </c>
      <c r="Z33" s="24">
        <f>領収証内訳!N35</f>
        <v>0</v>
      </c>
      <c r="AA33" s="24">
        <f>領収証内訳!O35</f>
        <v>0</v>
      </c>
      <c r="AB33" s="24">
        <f>領収証内訳!P35</f>
        <v>0</v>
      </c>
      <c r="AC33" s="24">
        <f>領収証内訳!Q35</f>
        <v>0</v>
      </c>
      <c r="AD33" s="24">
        <f>領収証内訳!R35</f>
        <v>0</v>
      </c>
      <c r="AE33" s="24">
        <f>領収証内訳!S35</f>
        <v>0</v>
      </c>
      <c r="AF33" s="24">
        <f>領収証内訳!T35</f>
        <v>0</v>
      </c>
    </row>
    <row r="34" spans="16:32">
      <c r="P34" s="24">
        <v>32</v>
      </c>
      <c r="Q34" s="24">
        <f>領収証内訳!E36</f>
        <v>0</v>
      </c>
      <c r="R34" s="24">
        <f>領収証内訳!F36</f>
        <v>0</v>
      </c>
      <c r="S34" s="24">
        <f>領収証内訳!G36</f>
        <v>0</v>
      </c>
      <c r="T34" s="24">
        <f>領収証内訳!H36</f>
        <v>0</v>
      </c>
      <c r="U34" s="24">
        <f>領収証内訳!I36</f>
        <v>0</v>
      </c>
      <c r="V34" s="24">
        <f>領収証内訳!J36</f>
        <v>0</v>
      </c>
      <c r="W34" s="24">
        <f>領収証内訳!K36</f>
        <v>0</v>
      </c>
      <c r="X34" s="24">
        <f>領収証内訳!L36</f>
        <v>0</v>
      </c>
      <c r="Y34" s="24">
        <f>領収証内訳!M36</f>
        <v>0</v>
      </c>
      <c r="Z34" s="24">
        <f>領収証内訳!N36</f>
        <v>0</v>
      </c>
      <c r="AA34" s="24">
        <f>領収証内訳!O36</f>
        <v>0</v>
      </c>
      <c r="AB34" s="24">
        <f>領収証内訳!P36</f>
        <v>0</v>
      </c>
      <c r="AC34" s="24">
        <f>領収証内訳!Q36</f>
        <v>0</v>
      </c>
      <c r="AD34" s="24">
        <f>領収証内訳!R36</f>
        <v>0</v>
      </c>
      <c r="AE34" s="24">
        <f>領収証内訳!S36</f>
        <v>0</v>
      </c>
      <c r="AF34" s="24">
        <f>領収証内訳!T36</f>
        <v>0</v>
      </c>
    </row>
    <row r="35" spans="16:32">
      <c r="P35" s="24">
        <v>33</v>
      </c>
      <c r="Q35" s="24">
        <f>領収証内訳!E37</f>
        <v>0</v>
      </c>
      <c r="R35" s="24">
        <f>領収証内訳!F37</f>
        <v>0</v>
      </c>
      <c r="S35" s="24">
        <f>領収証内訳!G37</f>
        <v>0</v>
      </c>
      <c r="T35" s="24">
        <f>領収証内訳!H37</f>
        <v>0</v>
      </c>
      <c r="U35" s="24">
        <f>領収証内訳!I37</f>
        <v>0</v>
      </c>
      <c r="V35" s="24">
        <f>領収証内訳!J37</f>
        <v>0</v>
      </c>
      <c r="W35" s="24">
        <f>領収証内訳!K37</f>
        <v>0</v>
      </c>
      <c r="X35" s="24">
        <f>領収証内訳!L37</f>
        <v>0</v>
      </c>
      <c r="Y35" s="24">
        <f>領収証内訳!M37</f>
        <v>0</v>
      </c>
      <c r="Z35" s="24">
        <f>領収証内訳!N37</f>
        <v>0</v>
      </c>
      <c r="AA35" s="24">
        <f>領収証内訳!O37</f>
        <v>0</v>
      </c>
      <c r="AB35" s="24">
        <f>領収証内訳!P37</f>
        <v>0</v>
      </c>
      <c r="AC35" s="24">
        <f>領収証内訳!Q37</f>
        <v>0</v>
      </c>
      <c r="AD35" s="24">
        <f>領収証内訳!R37</f>
        <v>0</v>
      </c>
      <c r="AE35" s="24">
        <f>領収証内訳!S37</f>
        <v>0</v>
      </c>
      <c r="AF35" s="24">
        <f>領収証内訳!T37</f>
        <v>0</v>
      </c>
    </row>
    <row r="36" spans="16:32">
      <c r="P36" s="24">
        <v>34</v>
      </c>
      <c r="Q36" s="24">
        <f>領収証内訳!E38</f>
        <v>0</v>
      </c>
      <c r="R36" s="24">
        <f>領収証内訳!F38</f>
        <v>0</v>
      </c>
      <c r="S36" s="24">
        <f>領収証内訳!G38</f>
        <v>0</v>
      </c>
      <c r="T36" s="24">
        <f>領収証内訳!H38</f>
        <v>0</v>
      </c>
      <c r="U36" s="24">
        <f>領収証内訳!I38</f>
        <v>0</v>
      </c>
      <c r="V36" s="24">
        <f>領収証内訳!J38</f>
        <v>0</v>
      </c>
      <c r="W36" s="24">
        <f>領収証内訳!K38</f>
        <v>0</v>
      </c>
      <c r="X36" s="24">
        <f>領収証内訳!L38</f>
        <v>0</v>
      </c>
      <c r="Y36" s="24">
        <f>領収証内訳!M38</f>
        <v>0</v>
      </c>
      <c r="Z36" s="24">
        <f>領収証内訳!N38</f>
        <v>0</v>
      </c>
      <c r="AA36" s="24">
        <f>領収証内訳!O38</f>
        <v>0</v>
      </c>
      <c r="AB36" s="24">
        <f>領収証内訳!P38</f>
        <v>0</v>
      </c>
      <c r="AC36" s="24">
        <f>領収証内訳!Q38</f>
        <v>0</v>
      </c>
      <c r="AD36" s="24">
        <f>領収証内訳!R38</f>
        <v>0</v>
      </c>
      <c r="AE36" s="24">
        <f>領収証内訳!S38</f>
        <v>0</v>
      </c>
      <c r="AF36" s="24">
        <f>領収証内訳!T38</f>
        <v>0</v>
      </c>
    </row>
    <row r="37" spans="16:32">
      <c r="P37" s="24">
        <v>35</v>
      </c>
      <c r="Q37" s="24">
        <f>領収証内訳!E39</f>
        <v>0</v>
      </c>
      <c r="R37" s="24">
        <f>領収証内訳!F39</f>
        <v>0</v>
      </c>
      <c r="S37" s="24">
        <f>領収証内訳!G39</f>
        <v>0</v>
      </c>
      <c r="T37" s="24">
        <f>領収証内訳!H39</f>
        <v>0</v>
      </c>
      <c r="U37" s="24">
        <f>領収証内訳!I39</f>
        <v>0</v>
      </c>
      <c r="V37" s="24">
        <f>領収証内訳!J39</f>
        <v>0</v>
      </c>
      <c r="W37" s="24">
        <f>領収証内訳!K39</f>
        <v>0</v>
      </c>
      <c r="X37" s="24">
        <f>領収証内訳!L39</f>
        <v>0</v>
      </c>
      <c r="Y37" s="24">
        <f>領収証内訳!M39</f>
        <v>0</v>
      </c>
      <c r="Z37" s="24">
        <f>領収証内訳!N39</f>
        <v>0</v>
      </c>
      <c r="AA37" s="24">
        <f>領収証内訳!O39</f>
        <v>0</v>
      </c>
      <c r="AB37" s="24">
        <f>領収証内訳!P39</f>
        <v>0</v>
      </c>
      <c r="AC37" s="24">
        <f>領収証内訳!Q39</f>
        <v>0</v>
      </c>
      <c r="AD37" s="24">
        <f>領収証内訳!R39</f>
        <v>0</v>
      </c>
      <c r="AE37" s="24">
        <f>領収証内訳!S39</f>
        <v>0</v>
      </c>
      <c r="AF37" s="24">
        <f>領収証内訳!T39</f>
        <v>0</v>
      </c>
    </row>
    <row r="38" spans="16:32">
      <c r="P38" s="24">
        <v>36</v>
      </c>
      <c r="Q38" s="24">
        <f>領収証内訳!E40</f>
        <v>0</v>
      </c>
      <c r="R38" s="24">
        <f>領収証内訳!F40</f>
        <v>0</v>
      </c>
      <c r="S38" s="24">
        <f>領収証内訳!G40</f>
        <v>0</v>
      </c>
      <c r="T38" s="24">
        <f>領収証内訳!H40</f>
        <v>0</v>
      </c>
      <c r="U38" s="24">
        <f>領収証内訳!I40</f>
        <v>0</v>
      </c>
      <c r="V38" s="24">
        <f>領収証内訳!J40</f>
        <v>0</v>
      </c>
      <c r="W38" s="24">
        <f>領収証内訳!K40</f>
        <v>0</v>
      </c>
      <c r="X38" s="24">
        <f>領収証内訳!L40</f>
        <v>0</v>
      </c>
      <c r="Y38" s="24">
        <f>領収証内訳!M40</f>
        <v>0</v>
      </c>
      <c r="Z38" s="24">
        <f>領収証内訳!N40</f>
        <v>0</v>
      </c>
      <c r="AA38" s="24">
        <f>領収証内訳!O40</f>
        <v>0</v>
      </c>
      <c r="AB38" s="24">
        <f>領収証内訳!P40</f>
        <v>0</v>
      </c>
      <c r="AC38" s="24">
        <f>領収証内訳!Q40</f>
        <v>0</v>
      </c>
      <c r="AD38" s="24">
        <f>領収証内訳!R40</f>
        <v>0</v>
      </c>
      <c r="AE38" s="24">
        <f>領収証内訳!S40</f>
        <v>0</v>
      </c>
      <c r="AF38" s="24">
        <f>領収証内訳!T40</f>
        <v>0</v>
      </c>
    </row>
    <row r="39" spans="16:32">
      <c r="P39" s="24">
        <v>37</v>
      </c>
      <c r="Q39" s="24">
        <f>領収証内訳!E41</f>
        <v>0</v>
      </c>
      <c r="R39" s="24">
        <f>領収証内訳!F41</f>
        <v>0</v>
      </c>
      <c r="S39" s="24">
        <f>領収証内訳!G41</f>
        <v>0</v>
      </c>
      <c r="T39" s="24">
        <f>領収証内訳!H41</f>
        <v>0</v>
      </c>
      <c r="U39" s="24">
        <f>領収証内訳!I41</f>
        <v>0</v>
      </c>
      <c r="V39" s="24">
        <f>領収証内訳!J41</f>
        <v>0</v>
      </c>
      <c r="W39" s="24">
        <f>領収証内訳!K41</f>
        <v>0</v>
      </c>
      <c r="X39" s="24">
        <f>領収証内訳!L41</f>
        <v>0</v>
      </c>
      <c r="Y39" s="24">
        <f>領収証内訳!M41</f>
        <v>0</v>
      </c>
      <c r="Z39" s="24">
        <f>領収証内訳!N41</f>
        <v>0</v>
      </c>
      <c r="AA39" s="24">
        <f>領収証内訳!O41</f>
        <v>0</v>
      </c>
      <c r="AB39" s="24">
        <f>領収証内訳!P41</f>
        <v>0</v>
      </c>
      <c r="AC39" s="24">
        <f>領収証内訳!Q41</f>
        <v>0</v>
      </c>
      <c r="AD39" s="24">
        <f>領収証内訳!R41</f>
        <v>0</v>
      </c>
      <c r="AE39" s="24">
        <f>領収証内訳!S41</f>
        <v>0</v>
      </c>
      <c r="AF39" s="24">
        <f>領収証内訳!T41</f>
        <v>0</v>
      </c>
    </row>
    <row r="40" spans="16:32">
      <c r="P40" s="24">
        <v>38</v>
      </c>
      <c r="Q40" s="24">
        <f>領収証内訳!E42</f>
        <v>0</v>
      </c>
      <c r="R40" s="24">
        <f>領収証内訳!F42</f>
        <v>0</v>
      </c>
      <c r="S40" s="24">
        <f>領収証内訳!G42</f>
        <v>0</v>
      </c>
      <c r="T40" s="24">
        <f>領収証内訳!H42</f>
        <v>0</v>
      </c>
      <c r="U40" s="24">
        <f>領収証内訳!I42</f>
        <v>0</v>
      </c>
      <c r="V40" s="24">
        <f>領収証内訳!J42</f>
        <v>0</v>
      </c>
      <c r="W40" s="24">
        <f>領収証内訳!K42</f>
        <v>0</v>
      </c>
      <c r="X40" s="24">
        <f>領収証内訳!L42</f>
        <v>0</v>
      </c>
      <c r="Y40" s="24">
        <f>領収証内訳!M42</f>
        <v>0</v>
      </c>
      <c r="Z40" s="24">
        <f>領収証内訳!N42</f>
        <v>0</v>
      </c>
      <c r="AA40" s="24">
        <f>領収証内訳!O42</f>
        <v>0</v>
      </c>
      <c r="AB40" s="24">
        <f>領収証内訳!P42</f>
        <v>0</v>
      </c>
      <c r="AC40" s="24">
        <f>領収証内訳!Q42</f>
        <v>0</v>
      </c>
      <c r="AD40" s="24">
        <f>領収証内訳!R42</f>
        <v>0</v>
      </c>
      <c r="AE40" s="24">
        <f>領収証内訳!S42</f>
        <v>0</v>
      </c>
      <c r="AF40" s="24">
        <f>領収証内訳!T42</f>
        <v>0</v>
      </c>
    </row>
    <row r="41" spans="16:32">
      <c r="P41" s="24">
        <v>39</v>
      </c>
      <c r="Q41" s="24">
        <f>領収証内訳!E43</f>
        <v>0</v>
      </c>
      <c r="R41" s="24">
        <f>領収証内訳!F43</f>
        <v>0</v>
      </c>
      <c r="S41" s="24">
        <f>領収証内訳!G43</f>
        <v>0</v>
      </c>
      <c r="T41" s="24">
        <f>領収証内訳!H43</f>
        <v>0</v>
      </c>
      <c r="U41" s="24">
        <f>領収証内訳!I43</f>
        <v>0</v>
      </c>
      <c r="V41" s="24">
        <f>領収証内訳!J43</f>
        <v>0</v>
      </c>
      <c r="W41" s="24">
        <f>領収証内訳!K43</f>
        <v>0</v>
      </c>
      <c r="X41" s="24">
        <f>領収証内訳!L43</f>
        <v>0</v>
      </c>
      <c r="Y41" s="24">
        <f>領収証内訳!M43</f>
        <v>0</v>
      </c>
      <c r="Z41" s="24">
        <f>領収証内訳!N43</f>
        <v>0</v>
      </c>
      <c r="AA41" s="24">
        <f>領収証内訳!O43</f>
        <v>0</v>
      </c>
      <c r="AB41" s="24">
        <f>領収証内訳!P43</f>
        <v>0</v>
      </c>
      <c r="AC41" s="24">
        <f>領収証内訳!Q43</f>
        <v>0</v>
      </c>
      <c r="AD41" s="24">
        <f>領収証内訳!R43</f>
        <v>0</v>
      </c>
      <c r="AE41" s="24">
        <f>領収証内訳!S43</f>
        <v>0</v>
      </c>
      <c r="AF41" s="24">
        <f>領収証内訳!T43</f>
        <v>0</v>
      </c>
    </row>
    <row r="42" spans="16:32">
      <c r="P42" s="24">
        <v>40</v>
      </c>
      <c r="Q42" s="24">
        <f>領収証内訳!E44</f>
        <v>0</v>
      </c>
      <c r="R42" s="24">
        <f>領収証内訳!F44</f>
        <v>0</v>
      </c>
      <c r="S42" s="24">
        <f>領収証内訳!G44</f>
        <v>0</v>
      </c>
      <c r="T42" s="24">
        <f>領収証内訳!H44</f>
        <v>0</v>
      </c>
      <c r="U42" s="24">
        <f>領収証内訳!I44</f>
        <v>0</v>
      </c>
      <c r="V42" s="24">
        <f>領収証内訳!J44</f>
        <v>0</v>
      </c>
      <c r="W42" s="24">
        <f>領収証内訳!K44</f>
        <v>0</v>
      </c>
      <c r="X42" s="24">
        <f>領収証内訳!L44</f>
        <v>0</v>
      </c>
      <c r="Y42" s="24">
        <f>領収証内訳!M44</f>
        <v>0</v>
      </c>
      <c r="Z42" s="24">
        <f>領収証内訳!N44</f>
        <v>0</v>
      </c>
      <c r="AA42" s="24">
        <f>領収証内訳!O44</f>
        <v>0</v>
      </c>
      <c r="AB42" s="24">
        <f>領収証内訳!P44</f>
        <v>0</v>
      </c>
      <c r="AC42" s="24">
        <f>領収証内訳!Q44</f>
        <v>0</v>
      </c>
      <c r="AD42" s="24">
        <f>領収証内訳!R44</f>
        <v>0</v>
      </c>
      <c r="AE42" s="24">
        <f>領収証内訳!S44</f>
        <v>0</v>
      </c>
      <c r="AF42" s="24">
        <f>領収証内訳!T44</f>
        <v>0</v>
      </c>
    </row>
    <row r="43" spans="16:32">
      <c r="P43" s="24">
        <v>41</v>
      </c>
      <c r="Q43" s="24">
        <f>領収証内訳!E45</f>
        <v>0</v>
      </c>
      <c r="R43" s="24">
        <f>領収証内訳!F45</f>
        <v>0</v>
      </c>
      <c r="S43" s="24">
        <f>領収証内訳!G45</f>
        <v>0</v>
      </c>
      <c r="T43" s="24">
        <f>領収証内訳!H45</f>
        <v>0</v>
      </c>
      <c r="U43" s="24">
        <f>領収証内訳!I45</f>
        <v>0</v>
      </c>
      <c r="V43" s="24">
        <f>領収証内訳!J45</f>
        <v>0</v>
      </c>
      <c r="W43" s="24">
        <f>領収証内訳!K45</f>
        <v>0</v>
      </c>
      <c r="X43" s="24">
        <f>領収証内訳!L45</f>
        <v>0</v>
      </c>
      <c r="Y43" s="24">
        <f>領収証内訳!M45</f>
        <v>0</v>
      </c>
      <c r="Z43" s="24">
        <f>領収証内訳!N45</f>
        <v>0</v>
      </c>
      <c r="AA43" s="24">
        <f>領収証内訳!O45</f>
        <v>0</v>
      </c>
      <c r="AB43" s="24">
        <f>領収証内訳!P45</f>
        <v>0</v>
      </c>
      <c r="AC43" s="24">
        <f>領収証内訳!Q45</f>
        <v>0</v>
      </c>
      <c r="AD43" s="24">
        <f>領収証内訳!R45</f>
        <v>0</v>
      </c>
      <c r="AE43" s="24">
        <f>領収証内訳!S45</f>
        <v>0</v>
      </c>
      <c r="AF43" s="24">
        <f>領収証内訳!T45</f>
        <v>0</v>
      </c>
    </row>
    <row r="44" spans="16:32">
      <c r="P44" s="24">
        <v>42</v>
      </c>
      <c r="Q44" s="24">
        <f>領収証内訳!E46</f>
        <v>0</v>
      </c>
      <c r="R44" s="24">
        <f>領収証内訳!F46</f>
        <v>0</v>
      </c>
      <c r="S44" s="24">
        <f>領収証内訳!G46</f>
        <v>0</v>
      </c>
      <c r="T44" s="24">
        <f>領収証内訳!H46</f>
        <v>0</v>
      </c>
      <c r="U44" s="24">
        <f>領収証内訳!I46</f>
        <v>0</v>
      </c>
      <c r="V44" s="24">
        <f>領収証内訳!J46</f>
        <v>0</v>
      </c>
      <c r="W44" s="24">
        <f>領収証内訳!K46</f>
        <v>0</v>
      </c>
      <c r="X44" s="24">
        <f>領収証内訳!L46</f>
        <v>0</v>
      </c>
      <c r="Y44" s="24">
        <f>領収証内訳!M46</f>
        <v>0</v>
      </c>
      <c r="Z44" s="24">
        <f>領収証内訳!N46</f>
        <v>0</v>
      </c>
      <c r="AA44" s="24">
        <f>領収証内訳!O46</f>
        <v>0</v>
      </c>
      <c r="AB44" s="24">
        <f>領収証内訳!P46</f>
        <v>0</v>
      </c>
      <c r="AC44" s="24">
        <f>領収証内訳!Q46</f>
        <v>0</v>
      </c>
      <c r="AD44" s="24">
        <f>領収証内訳!R46</f>
        <v>0</v>
      </c>
      <c r="AE44" s="24">
        <f>領収証内訳!S46</f>
        <v>0</v>
      </c>
      <c r="AF44" s="24">
        <f>領収証内訳!T46</f>
        <v>0</v>
      </c>
    </row>
    <row r="45" spans="16:32">
      <c r="P45" s="24">
        <v>43</v>
      </c>
      <c r="Q45" s="24">
        <f>領収証内訳!E47</f>
        <v>0</v>
      </c>
      <c r="R45" s="24">
        <f>領収証内訳!F47</f>
        <v>0</v>
      </c>
      <c r="S45" s="24">
        <f>領収証内訳!G47</f>
        <v>0</v>
      </c>
      <c r="T45" s="24">
        <f>領収証内訳!H47</f>
        <v>0</v>
      </c>
      <c r="U45" s="24">
        <f>領収証内訳!I47</f>
        <v>0</v>
      </c>
      <c r="V45" s="24">
        <f>領収証内訳!J47</f>
        <v>0</v>
      </c>
      <c r="W45" s="24">
        <f>領収証内訳!K47</f>
        <v>0</v>
      </c>
      <c r="X45" s="24">
        <f>領収証内訳!L47</f>
        <v>0</v>
      </c>
      <c r="Y45" s="24">
        <f>領収証内訳!M47</f>
        <v>0</v>
      </c>
      <c r="Z45" s="24">
        <f>領収証内訳!N47</f>
        <v>0</v>
      </c>
      <c r="AA45" s="24">
        <f>領収証内訳!O47</f>
        <v>0</v>
      </c>
      <c r="AB45" s="24">
        <f>領収証内訳!P47</f>
        <v>0</v>
      </c>
      <c r="AC45" s="24">
        <f>領収証内訳!Q47</f>
        <v>0</v>
      </c>
      <c r="AD45" s="24">
        <f>領収証内訳!R47</f>
        <v>0</v>
      </c>
      <c r="AE45" s="24">
        <f>領収証内訳!S47</f>
        <v>0</v>
      </c>
      <c r="AF45" s="24">
        <f>領収証内訳!T47</f>
        <v>0</v>
      </c>
    </row>
    <row r="46" spans="16:32">
      <c r="P46" s="24">
        <v>44</v>
      </c>
      <c r="Q46" s="24">
        <f>領収証内訳!E48</f>
        <v>0</v>
      </c>
      <c r="R46" s="24">
        <f>領収証内訳!F48</f>
        <v>0</v>
      </c>
      <c r="S46" s="24">
        <f>領収証内訳!G48</f>
        <v>0</v>
      </c>
      <c r="T46" s="24">
        <f>領収証内訳!H48</f>
        <v>0</v>
      </c>
      <c r="U46" s="24">
        <f>領収証内訳!I48</f>
        <v>0</v>
      </c>
      <c r="V46" s="24">
        <f>領収証内訳!J48</f>
        <v>0</v>
      </c>
      <c r="W46" s="24">
        <f>領収証内訳!K48</f>
        <v>0</v>
      </c>
      <c r="X46" s="24">
        <f>領収証内訳!L48</f>
        <v>0</v>
      </c>
      <c r="Y46" s="24">
        <f>領収証内訳!M48</f>
        <v>0</v>
      </c>
      <c r="Z46" s="24">
        <f>領収証内訳!N48</f>
        <v>0</v>
      </c>
      <c r="AA46" s="24">
        <f>領収証内訳!O48</f>
        <v>0</v>
      </c>
      <c r="AB46" s="24">
        <f>領収証内訳!P48</f>
        <v>0</v>
      </c>
      <c r="AC46" s="24">
        <f>領収証内訳!Q48</f>
        <v>0</v>
      </c>
      <c r="AD46" s="24">
        <f>領収証内訳!R48</f>
        <v>0</v>
      </c>
      <c r="AE46" s="24">
        <f>領収証内訳!S48</f>
        <v>0</v>
      </c>
      <c r="AF46" s="24">
        <f>領収証内訳!T48</f>
        <v>0</v>
      </c>
    </row>
    <row r="47" spans="16:32">
      <c r="P47" s="24">
        <v>45</v>
      </c>
      <c r="Q47" s="24">
        <f>領収証内訳!E49</f>
        <v>0</v>
      </c>
      <c r="R47" s="24">
        <f>領収証内訳!F49</f>
        <v>0</v>
      </c>
      <c r="S47" s="24">
        <f>領収証内訳!G49</f>
        <v>0</v>
      </c>
      <c r="T47" s="24">
        <f>領収証内訳!H49</f>
        <v>0</v>
      </c>
      <c r="U47" s="24">
        <f>領収証内訳!I49</f>
        <v>0</v>
      </c>
      <c r="V47" s="24">
        <f>領収証内訳!J49</f>
        <v>0</v>
      </c>
      <c r="W47" s="24">
        <f>領収証内訳!K49</f>
        <v>0</v>
      </c>
      <c r="X47" s="24">
        <f>領収証内訳!L49</f>
        <v>0</v>
      </c>
      <c r="Y47" s="24">
        <f>領収証内訳!M49</f>
        <v>0</v>
      </c>
      <c r="Z47" s="24">
        <f>領収証内訳!N49</f>
        <v>0</v>
      </c>
      <c r="AA47" s="24">
        <f>領収証内訳!O49</f>
        <v>0</v>
      </c>
      <c r="AB47" s="24">
        <f>領収証内訳!P49</f>
        <v>0</v>
      </c>
      <c r="AC47" s="24">
        <f>領収証内訳!Q49</f>
        <v>0</v>
      </c>
      <c r="AD47" s="24">
        <f>領収証内訳!R49</f>
        <v>0</v>
      </c>
      <c r="AE47" s="24">
        <f>領収証内訳!S49</f>
        <v>0</v>
      </c>
      <c r="AF47" s="24">
        <f>領収証内訳!T49</f>
        <v>0</v>
      </c>
    </row>
    <row r="48" spans="16:32">
      <c r="P48" s="24">
        <v>46</v>
      </c>
      <c r="Q48" s="24">
        <f>領収証内訳!E50</f>
        <v>0</v>
      </c>
      <c r="R48" s="24">
        <f>領収証内訳!F50</f>
        <v>0</v>
      </c>
      <c r="S48" s="24">
        <f>領収証内訳!G50</f>
        <v>0</v>
      </c>
      <c r="T48" s="24">
        <f>領収証内訳!H50</f>
        <v>0</v>
      </c>
      <c r="U48" s="24">
        <f>領収証内訳!I50</f>
        <v>0</v>
      </c>
      <c r="V48" s="24">
        <f>領収証内訳!J50</f>
        <v>0</v>
      </c>
      <c r="W48" s="24">
        <f>領収証内訳!K50</f>
        <v>0</v>
      </c>
      <c r="X48" s="24">
        <f>領収証内訳!L50</f>
        <v>0</v>
      </c>
      <c r="Y48" s="24">
        <f>領収証内訳!M50</f>
        <v>0</v>
      </c>
      <c r="Z48" s="24">
        <f>領収証内訳!N50</f>
        <v>0</v>
      </c>
      <c r="AA48" s="24">
        <f>領収証内訳!O50</f>
        <v>0</v>
      </c>
      <c r="AB48" s="24">
        <f>領収証内訳!P50</f>
        <v>0</v>
      </c>
      <c r="AC48" s="24">
        <f>領収証内訳!Q50</f>
        <v>0</v>
      </c>
      <c r="AD48" s="24">
        <f>領収証内訳!R50</f>
        <v>0</v>
      </c>
      <c r="AE48" s="24">
        <f>領収証内訳!S50</f>
        <v>0</v>
      </c>
      <c r="AF48" s="24">
        <f>領収証内訳!T50</f>
        <v>0</v>
      </c>
    </row>
    <row r="49" spans="16:32">
      <c r="P49" s="24">
        <v>47</v>
      </c>
      <c r="Q49" s="24">
        <f>領収証内訳!E51</f>
        <v>0</v>
      </c>
      <c r="R49" s="24">
        <f>領収証内訳!F51</f>
        <v>0</v>
      </c>
      <c r="S49" s="24">
        <f>領収証内訳!G51</f>
        <v>0</v>
      </c>
      <c r="T49" s="24">
        <f>領収証内訳!H51</f>
        <v>0</v>
      </c>
      <c r="U49" s="24">
        <f>領収証内訳!I51</f>
        <v>0</v>
      </c>
      <c r="V49" s="24">
        <f>領収証内訳!J51</f>
        <v>0</v>
      </c>
      <c r="W49" s="24">
        <f>領収証内訳!K51</f>
        <v>0</v>
      </c>
      <c r="X49" s="24">
        <f>領収証内訳!L51</f>
        <v>0</v>
      </c>
      <c r="Y49" s="24">
        <f>領収証内訳!M51</f>
        <v>0</v>
      </c>
      <c r="Z49" s="24">
        <f>領収証内訳!N51</f>
        <v>0</v>
      </c>
      <c r="AA49" s="24">
        <f>領収証内訳!O51</f>
        <v>0</v>
      </c>
      <c r="AB49" s="24">
        <f>領収証内訳!P51</f>
        <v>0</v>
      </c>
      <c r="AC49" s="24">
        <f>領収証内訳!Q51</f>
        <v>0</v>
      </c>
      <c r="AD49" s="24">
        <f>領収証内訳!R51</f>
        <v>0</v>
      </c>
      <c r="AE49" s="24">
        <f>領収証内訳!S51</f>
        <v>0</v>
      </c>
      <c r="AF49" s="24">
        <f>領収証内訳!T51</f>
        <v>0</v>
      </c>
    </row>
    <row r="50" spans="16:32">
      <c r="P50" s="24">
        <v>48</v>
      </c>
      <c r="Q50" s="24">
        <f>領収証内訳!E52</f>
        <v>0</v>
      </c>
      <c r="R50" s="24">
        <f>領収証内訳!F52</f>
        <v>0</v>
      </c>
      <c r="S50" s="24">
        <f>領収証内訳!G52</f>
        <v>0</v>
      </c>
      <c r="T50" s="24">
        <f>領収証内訳!H52</f>
        <v>0</v>
      </c>
      <c r="U50" s="24">
        <f>領収証内訳!I52</f>
        <v>0</v>
      </c>
      <c r="V50" s="24">
        <f>領収証内訳!J52</f>
        <v>0</v>
      </c>
      <c r="W50" s="24">
        <f>領収証内訳!K52</f>
        <v>0</v>
      </c>
      <c r="X50" s="24">
        <f>領収証内訳!L52</f>
        <v>0</v>
      </c>
      <c r="Y50" s="24">
        <f>領収証内訳!M52</f>
        <v>0</v>
      </c>
      <c r="Z50" s="24">
        <f>領収証内訳!N52</f>
        <v>0</v>
      </c>
      <c r="AA50" s="24">
        <f>領収証内訳!O52</f>
        <v>0</v>
      </c>
      <c r="AB50" s="24">
        <f>領収証内訳!P52</f>
        <v>0</v>
      </c>
      <c r="AC50" s="24">
        <f>領収証内訳!Q52</f>
        <v>0</v>
      </c>
      <c r="AD50" s="24">
        <f>領収証内訳!R52</f>
        <v>0</v>
      </c>
      <c r="AE50" s="24">
        <f>領収証内訳!S52</f>
        <v>0</v>
      </c>
      <c r="AF50" s="24">
        <f>領収証内訳!T52</f>
        <v>0</v>
      </c>
    </row>
    <row r="51" spans="16:32">
      <c r="P51" s="24">
        <v>49</v>
      </c>
      <c r="Q51" s="24">
        <f>領収証内訳!E53</f>
        <v>0</v>
      </c>
      <c r="R51" s="24">
        <f>領収証内訳!F53</f>
        <v>0</v>
      </c>
      <c r="S51" s="24">
        <f>領収証内訳!G53</f>
        <v>0</v>
      </c>
      <c r="T51" s="24">
        <f>領収証内訳!H53</f>
        <v>0</v>
      </c>
      <c r="U51" s="24">
        <f>領収証内訳!I53</f>
        <v>0</v>
      </c>
      <c r="V51" s="24">
        <f>領収証内訳!J53</f>
        <v>0</v>
      </c>
      <c r="W51" s="24">
        <f>領収証内訳!K53</f>
        <v>0</v>
      </c>
      <c r="X51" s="24">
        <f>領収証内訳!L53</f>
        <v>0</v>
      </c>
      <c r="Y51" s="24">
        <f>領収証内訳!M53</f>
        <v>0</v>
      </c>
      <c r="Z51" s="24">
        <f>領収証内訳!N53</f>
        <v>0</v>
      </c>
      <c r="AA51" s="24">
        <f>領収証内訳!O53</f>
        <v>0</v>
      </c>
      <c r="AB51" s="24">
        <f>領収証内訳!P53</f>
        <v>0</v>
      </c>
      <c r="AC51" s="24">
        <f>領収証内訳!Q53</f>
        <v>0</v>
      </c>
      <c r="AD51" s="24">
        <f>領収証内訳!R53</f>
        <v>0</v>
      </c>
      <c r="AE51" s="24">
        <f>領収証内訳!S53</f>
        <v>0</v>
      </c>
      <c r="AF51" s="24">
        <f>領収証内訳!T53</f>
        <v>0</v>
      </c>
    </row>
    <row r="52" spans="16:32">
      <c r="P52" s="24">
        <v>50</v>
      </c>
      <c r="Q52" s="24">
        <f>領収証内訳!E54</f>
        <v>0</v>
      </c>
      <c r="R52" s="24">
        <f>領収証内訳!F54</f>
        <v>0</v>
      </c>
      <c r="S52" s="24">
        <f>領収証内訳!G54</f>
        <v>0</v>
      </c>
      <c r="T52" s="24">
        <f>領収証内訳!H54</f>
        <v>0</v>
      </c>
      <c r="U52" s="24">
        <f>領収証内訳!I54</f>
        <v>0</v>
      </c>
      <c r="V52" s="24">
        <f>領収証内訳!J54</f>
        <v>0</v>
      </c>
      <c r="W52" s="24">
        <f>領収証内訳!K54</f>
        <v>0</v>
      </c>
      <c r="X52" s="24">
        <f>領収証内訳!L54</f>
        <v>0</v>
      </c>
      <c r="Y52" s="24">
        <f>領収証内訳!M54</f>
        <v>0</v>
      </c>
      <c r="Z52" s="24">
        <f>領収証内訳!N54</f>
        <v>0</v>
      </c>
      <c r="AA52" s="24">
        <f>領収証内訳!O54</f>
        <v>0</v>
      </c>
      <c r="AB52" s="24">
        <f>領収証内訳!P54</f>
        <v>0</v>
      </c>
      <c r="AC52" s="24">
        <f>領収証内訳!Q54</f>
        <v>0</v>
      </c>
      <c r="AD52" s="24">
        <f>領収証内訳!R54</f>
        <v>0</v>
      </c>
      <c r="AE52" s="24">
        <f>領収証内訳!S54</f>
        <v>0</v>
      </c>
      <c r="AF52" s="24">
        <f>領収証内訳!T54</f>
        <v>0</v>
      </c>
    </row>
  </sheetData>
  <sheetProtection sheet="1" objects="1" scenarios="1"/>
  <mergeCells count="7">
    <mergeCell ref="C1:D1"/>
    <mergeCell ref="A1:B1"/>
    <mergeCell ref="C2:D2"/>
    <mergeCell ref="I10:J10"/>
    <mergeCell ref="I11:J11"/>
    <mergeCell ref="A2:B2"/>
    <mergeCell ref="I3:J3"/>
  </mergeCells>
  <phoneticPr fontId="1"/>
  <dataValidations disablePrompts="1" count="1">
    <dataValidation type="list" allowBlank="1" showInputMessage="1" showErrorMessage="1" sqref="WVK983041 IY1 SU1 ACQ1 AMM1 AWI1 BGE1 BQA1 BZW1 CJS1 CTO1 DDK1 DNG1 DXC1 EGY1 EQU1 FAQ1 FKM1 FUI1 GEE1 GOA1 GXW1 HHS1 HRO1 IBK1 ILG1 IVC1 JEY1 JOU1 JYQ1 KIM1 KSI1 LCE1 LMA1 LVW1 MFS1 MPO1 MZK1 NJG1 NTC1 OCY1 OMU1 OWQ1 PGM1 PQI1 QAE1 QKA1 QTW1 RDS1 RNO1 RXK1 SHG1 SRC1 TAY1 TKU1 TUQ1 UEM1 UOI1 UYE1 VIA1 VRW1 WBS1 WLO1 WVK1 C65537 IY65537 SU65537 ACQ65537 AMM65537 AWI65537 BGE65537 BQA65537 BZW65537 CJS65537 CTO65537 DDK65537 DNG65537 DXC65537 EGY65537 EQU65537 FAQ65537 FKM65537 FUI65537 GEE65537 GOA65537 GXW65537 HHS65537 HRO65537 IBK65537 ILG65537 IVC65537 JEY65537 JOU65537 JYQ65537 KIM65537 KSI65537 LCE65537 LMA65537 LVW65537 MFS65537 MPO65537 MZK65537 NJG65537 NTC65537 OCY65537 OMU65537 OWQ65537 PGM65537 PQI65537 QAE65537 QKA65537 QTW65537 RDS65537 RNO65537 RXK65537 SHG65537 SRC65537 TAY65537 TKU65537 TUQ65537 UEM65537 UOI65537 UYE65537 VIA65537 VRW65537 WBS65537 WLO65537 WVK65537 C131073 IY131073 SU131073 ACQ131073 AMM131073 AWI131073 BGE131073 BQA131073 BZW131073 CJS131073 CTO131073 DDK131073 DNG131073 DXC131073 EGY131073 EQU131073 FAQ131073 FKM131073 FUI131073 GEE131073 GOA131073 GXW131073 HHS131073 HRO131073 IBK131073 ILG131073 IVC131073 JEY131073 JOU131073 JYQ131073 KIM131073 KSI131073 LCE131073 LMA131073 LVW131073 MFS131073 MPO131073 MZK131073 NJG131073 NTC131073 OCY131073 OMU131073 OWQ131073 PGM131073 PQI131073 QAE131073 QKA131073 QTW131073 RDS131073 RNO131073 RXK131073 SHG131073 SRC131073 TAY131073 TKU131073 TUQ131073 UEM131073 UOI131073 UYE131073 VIA131073 VRW131073 WBS131073 WLO131073 WVK131073 C196609 IY196609 SU196609 ACQ196609 AMM196609 AWI196609 BGE196609 BQA196609 BZW196609 CJS196609 CTO196609 DDK196609 DNG196609 DXC196609 EGY196609 EQU196609 FAQ196609 FKM196609 FUI196609 GEE196609 GOA196609 GXW196609 HHS196609 HRO196609 IBK196609 ILG196609 IVC196609 JEY196609 JOU196609 JYQ196609 KIM196609 KSI196609 LCE196609 LMA196609 LVW196609 MFS196609 MPO196609 MZK196609 NJG196609 NTC196609 OCY196609 OMU196609 OWQ196609 PGM196609 PQI196609 QAE196609 QKA196609 QTW196609 RDS196609 RNO196609 RXK196609 SHG196609 SRC196609 TAY196609 TKU196609 TUQ196609 UEM196609 UOI196609 UYE196609 VIA196609 VRW196609 WBS196609 WLO196609 WVK196609 C262145 IY262145 SU262145 ACQ262145 AMM262145 AWI262145 BGE262145 BQA262145 BZW262145 CJS262145 CTO262145 DDK262145 DNG262145 DXC262145 EGY262145 EQU262145 FAQ262145 FKM262145 FUI262145 GEE262145 GOA262145 GXW262145 HHS262145 HRO262145 IBK262145 ILG262145 IVC262145 JEY262145 JOU262145 JYQ262145 KIM262145 KSI262145 LCE262145 LMA262145 LVW262145 MFS262145 MPO262145 MZK262145 NJG262145 NTC262145 OCY262145 OMU262145 OWQ262145 PGM262145 PQI262145 QAE262145 QKA262145 QTW262145 RDS262145 RNO262145 RXK262145 SHG262145 SRC262145 TAY262145 TKU262145 TUQ262145 UEM262145 UOI262145 UYE262145 VIA262145 VRW262145 WBS262145 WLO262145 WVK262145 C327681 IY327681 SU327681 ACQ327681 AMM327681 AWI327681 BGE327681 BQA327681 BZW327681 CJS327681 CTO327681 DDK327681 DNG327681 DXC327681 EGY327681 EQU327681 FAQ327681 FKM327681 FUI327681 GEE327681 GOA327681 GXW327681 HHS327681 HRO327681 IBK327681 ILG327681 IVC327681 JEY327681 JOU327681 JYQ327681 KIM327681 KSI327681 LCE327681 LMA327681 LVW327681 MFS327681 MPO327681 MZK327681 NJG327681 NTC327681 OCY327681 OMU327681 OWQ327681 PGM327681 PQI327681 QAE327681 QKA327681 QTW327681 RDS327681 RNO327681 RXK327681 SHG327681 SRC327681 TAY327681 TKU327681 TUQ327681 UEM327681 UOI327681 UYE327681 VIA327681 VRW327681 WBS327681 WLO327681 WVK327681 C393217 IY393217 SU393217 ACQ393217 AMM393217 AWI393217 BGE393217 BQA393217 BZW393217 CJS393217 CTO393217 DDK393217 DNG393217 DXC393217 EGY393217 EQU393217 FAQ393217 FKM393217 FUI393217 GEE393217 GOA393217 GXW393217 HHS393217 HRO393217 IBK393217 ILG393217 IVC393217 JEY393217 JOU393217 JYQ393217 KIM393217 KSI393217 LCE393217 LMA393217 LVW393217 MFS393217 MPO393217 MZK393217 NJG393217 NTC393217 OCY393217 OMU393217 OWQ393217 PGM393217 PQI393217 QAE393217 QKA393217 QTW393217 RDS393217 RNO393217 RXK393217 SHG393217 SRC393217 TAY393217 TKU393217 TUQ393217 UEM393217 UOI393217 UYE393217 VIA393217 VRW393217 WBS393217 WLO393217 WVK393217 C458753 IY458753 SU458753 ACQ458753 AMM458753 AWI458753 BGE458753 BQA458753 BZW458753 CJS458753 CTO458753 DDK458753 DNG458753 DXC458753 EGY458753 EQU458753 FAQ458753 FKM458753 FUI458753 GEE458753 GOA458753 GXW458753 HHS458753 HRO458753 IBK458753 ILG458753 IVC458753 JEY458753 JOU458753 JYQ458753 KIM458753 KSI458753 LCE458753 LMA458753 LVW458753 MFS458753 MPO458753 MZK458753 NJG458753 NTC458753 OCY458753 OMU458753 OWQ458753 PGM458753 PQI458753 QAE458753 QKA458753 QTW458753 RDS458753 RNO458753 RXK458753 SHG458753 SRC458753 TAY458753 TKU458753 TUQ458753 UEM458753 UOI458753 UYE458753 VIA458753 VRW458753 WBS458753 WLO458753 WVK458753 C524289 IY524289 SU524289 ACQ524289 AMM524289 AWI524289 BGE524289 BQA524289 BZW524289 CJS524289 CTO524289 DDK524289 DNG524289 DXC524289 EGY524289 EQU524289 FAQ524289 FKM524289 FUI524289 GEE524289 GOA524289 GXW524289 HHS524289 HRO524289 IBK524289 ILG524289 IVC524289 JEY524289 JOU524289 JYQ524289 KIM524289 KSI524289 LCE524289 LMA524289 LVW524289 MFS524289 MPO524289 MZK524289 NJG524289 NTC524289 OCY524289 OMU524289 OWQ524289 PGM524289 PQI524289 QAE524289 QKA524289 QTW524289 RDS524289 RNO524289 RXK524289 SHG524289 SRC524289 TAY524289 TKU524289 TUQ524289 UEM524289 UOI524289 UYE524289 VIA524289 VRW524289 WBS524289 WLO524289 WVK524289 C589825 IY589825 SU589825 ACQ589825 AMM589825 AWI589825 BGE589825 BQA589825 BZW589825 CJS589825 CTO589825 DDK589825 DNG589825 DXC589825 EGY589825 EQU589825 FAQ589825 FKM589825 FUI589825 GEE589825 GOA589825 GXW589825 HHS589825 HRO589825 IBK589825 ILG589825 IVC589825 JEY589825 JOU589825 JYQ589825 KIM589825 KSI589825 LCE589825 LMA589825 LVW589825 MFS589825 MPO589825 MZK589825 NJG589825 NTC589825 OCY589825 OMU589825 OWQ589825 PGM589825 PQI589825 QAE589825 QKA589825 QTW589825 RDS589825 RNO589825 RXK589825 SHG589825 SRC589825 TAY589825 TKU589825 TUQ589825 UEM589825 UOI589825 UYE589825 VIA589825 VRW589825 WBS589825 WLO589825 WVK589825 C655361 IY655361 SU655361 ACQ655361 AMM655361 AWI655361 BGE655361 BQA655361 BZW655361 CJS655361 CTO655361 DDK655361 DNG655361 DXC655361 EGY655361 EQU655361 FAQ655361 FKM655361 FUI655361 GEE655361 GOA655361 GXW655361 HHS655361 HRO655361 IBK655361 ILG655361 IVC655361 JEY655361 JOU655361 JYQ655361 KIM655361 KSI655361 LCE655361 LMA655361 LVW655361 MFS655361 MPO655361 MZK655361 NJG655361 NTC655361 OCY655361 OMU655361 OWQ655361 PGM655361 PQI655361 QAE655361 QKA655361 QTW655361 RDS655361 RNO655361 RXK655361 SHG655361 SRC655361 TAY655361 TKU655361 TUQ655361 UEM655361 UOI655361 UYE655361 VIA655361 VRW655361 WBS655361 WLO655361 WVK655361 C720897 IY720897 SU720897 ACQ720897 AMM720897 AWI720897 BGE720897 BQA720897 BZW720897 CJS720897 CTO720897 DDK720897 DNG720897 DXC720897 EGY720897 EQU720897 FAQ720897 FKM720897 FUI720897 GEE720897 GOA720897 GXW720897 HHS720897 HRO720897 IBK720897 ILG720897 IVC720897 JEY720897 JOU720897 JYQ720897 KIM720897 KSI720897 LCE720897 LMA720897 LVW720897 MFS720897 MPO720897 MZK720897 NJG720897 NTC720897 OCY720897 OMU720897 OWQ720897 PGM720897 PQI720897 QAE720897 QKA720897 QTW720897 RDS720897 RNO720897 RXK720897 SHG720897 SRC720897 TAY720897 TKU720897 TUQ720897 UEM720897 UOI720897 UYE720897 VIA720897 VRW720897 WBS720897 WLO720897 WVK720897 C786433 IY786433 SU786433 ACQ786433 AMM786433 AWI786433 BGE786433 BQA786433 BZW786433 CJS786433 CTO786433 DDK786433 DNG786433 DXC786433 EGY786433 EQU786433 FAQ786433 FKM786433 FUI786433 GEE786433 GOA786433 GXW786433 HHS786433 HRO786433 IBK786433 ILG786433 IVC786433 JEY786433 JOU786433 JYQ786433 KIM786433 KSI786433 LCE786433 LMA786433 LVW786433 MFS786433 MPO786433 MZK786433 NJG786433 NTC786433 OCY786433 OMU786433 OWQ786433 PGM786433 PQI786433 QAE786433 QKA786433 QTW786433 RDS786433 RNO786433 RXK786433 SHG786433 SRC786433 TAY786433 TKU786433 TUQ786433 UEM786433 UOI786433 UYE786433 VIA786433 VRW786433 WBS786433 WLO786433 WVK786433 C851969 IY851969 SU851969 ACQ851969 AMM851969 AWI851969 BGE851969 BQA851969 BZW851969 CJS851969 CTO851969 DDK851969 DNG851969 DXC851969 EGY851969 EQU851969 FAQ851969 FKM851969 FUI851969 GEE851969 GOA851969 GXW851969 HHS851969 HRO851969 IBK851969 ILG851969 IVC851969 JEY851969 JOU851969 JYQ851969 KIM851969 KSI851969 LCE851969 LMA851969 LVW851969 MFS851969 MPO851969 MZK851969 NJG851969 NTC851969 OCY851969 OMU851969 OWQ851969 PGM851969 PQI851969 QAE851969 QKA851969 QTW851969 RDS851969 RNO851969 RXK851969 SHG851969 SRC851969 TAY851969 TKU851969 TUQ851969 UEM851969 UOI851969 UYE851969 VIA851969 VRW851969 WBS851969 WLO851969 WVK851969 C917505 IY917505 SU917505 ACQ917505 AMM917505 AWI917505 BGE917505 BQA917505 BZW917505 CJS917505 CTO917505 DDK917505 DNG917505 DXC917505 EGY917505 EQU917505 FAQ917505 FKM917505 FUI917505 GEE917505 GOA917505 GXW917505 HHS917505 HRO917505 IBK917505 ILG917505 IVC917505 JEY917505 JOU917505 JYQ917505 KIM917505 KSI917505 LCE917505 LMA917505 LVW917505 MFS917505 MPO917505 MZK917505 NJG917505 NTC917505 OCY917505 OMU917505 OWQ917505 PGM917505 PQI917505 QAE917505 QKA917505 QTW917505 RDS917505 RNO917505 RXK917505 SHG917505 SRC917505 TAY917505 TKU917505 TUQ917505 UEM917505 UOI917505 UYE917505 VIA917505 VRW917505 WBS917505 WLO917505 WVK917505 C983041 IY983041 SU983041 ACQ983041 AMM983041 AWI983041 BGE983041 BQA983041 BZW983041 CJS983041 CTO983041 DDK983041 DNG983041 DXC983041 EGY983041 EQU983041 FAQ983041 FKM983041 FUI983041 GEE983041 GOA983041 GXW983041 HHS983041 HRO983041 IBK983041 ILG983041 IVC983041 JEY983041 JOU983041 JYQ983041 KIM983041 KSI983041 LCE983041 LMA983041 LVW983041 MFS983041 MPO983041 MZK983041 NJG983041 NTC983041 OCY983041 OMU983041 OWQ983041 PGM983041 PQI983041 QAE983041 QKA983041 QTW983041 RDS983041 RNO983041 RXK983041 SHG983041 SRC983041 TAY983041 TKU983041 TUQ983041 UEM983041 UOI983041 UYE983041 VIA983041 VRW983041 WBS983041 WLO983041">
      <formula1>$Q$3:$Q$42</formula1>
    </dataValidation>
  </dataValidations>
  <pageMargins left="0.43307086614173229" right="0" top="1.1023622047244095" bottom="0.11811023622047245" header="0.23622047244094491" footer="0.19685039370078741"/>
  <pageSetup paperSize="73" scale="97"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7169" r:id="rId4" name="Button 1">
              <controlPr defaultSize="0" print="0" autoFill="0" autoPict="0" macro="[0]!指定集金袋印刷">
                <anchor moveWithCells="1" sizeWithCells="1">
                  <from>
                    <xdr:col>6</xdr:col>
                    <xdr:colOff>57150</xdr:colOff>
                    <xdr:row>0</xdr:row>
                    <xdr:rowOff>142875</xdr:rowOff>
                  </from>
                  <to>
                    <xdr:col>9</xdr:col>
                    <xdr:colOff>76200</xdr:colOff>
                    <xdr:row>1</xdr:row>
                    <xdr:rowOff>190500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theme="5" tint="0.79998168889431442"/>
  </sheetPr>
  <dimension ref="A1:AX52"/>
  <sheetViews>
    <sheetView topLeftCell="C1" zoomScaleNormal="100" workbookViewId="0">
      <selection activeCell="U11" sqref="U11"/>
    </sheetView>
  </sheetViews>
  <sheetFormatPr defaultRowHeight="13.5"/>
  <cols>
    <col min="1" max="1" width="4.125" style="43" customWidth="1"/>
    <col min="2" max="2" width="4.25" style="43" customWidth="1"/>
    <col min="3" max="3" width="15.25" style="43" customWidth="1"/>
    <col min="4" max="4" width="13.375" style="43" customWidth="1"/>
    <col min="5" max="5" width="8.625" style="43" customWidth="1"/>
    <col min="6" max="6" width="2.25" style="43" customWidth="1"/>
    <col min="7" max="7" width="2.75" style="43" customWidth="1"/>
    <col min="8" max="8" width="3.125" style="43" customWidth="1"/>
    <col min="9" max="9" width="1.625" style="43" customWidth="1"/>
    <col min="10" max="10" width="3.625" style="43" customWidth="1"/>
    <col min="11" max="12" width="15.25" style="43" customWidth="1"/>
    <col min="13" max="13" width="7.625" style="43" customWidth="1"/>
    <col min="14" max="14" width="2.875" style="43" customWidth="1"/>
    <col min="15" max="15" width="2.375" style="43" customWidth="1"/>
    <col min="16" max="16" width="3.25" style="43" customWidth="1"/>
    <col min="17" max="17" width="1.75" style="43" customWidth="1"/>
    <col min="18" max="18" width="2.625" style="43" customWidth="1"/>
    <col min="19" max="20" width="15.25" style="43" customWidth="1"/>
    <col min="21" max="21" width="7.625" style="43" customWidth="1"/>
    <col min="22" max="22" width="0.875" style="43" customWidth="1"/>
    <col min="23" max="23" width="0.75" style="43" customWidth="1"/>
    <col min="24" max="24" width="3.875" style="43" customWidth="1"/>
    <col min="25" max="26" width="9" style="43"/>
    <col min="27" max="27" width="6.125" style="43" customWidth="1"/>
    <col min="28" max="28" width="5.5" style="43" customWidth="1"/>
    <col min="29" max="29" width="4.75" style="43" customWidth="1"/>
    <col min="30" max="256" width="9" style="43"/>
    <col min="257" max="257" width="4.125" style="43" customWidth="1"/>
    <col min="258" max="258" width="2.5" style="43" customWidth="1"/>
    <col min="259" max="259" width="15.25" style="43" customWidth="1"/>
    <col min="260" max="260" width="13.375" style="43" customWidth="1"/>
    <col min="261" max="261" width="8.875" style="43" customWidth="1"/>
    <col min="262" max="262" width="2.875" style="43" customWidth="1"/>
    <col min="263" max="263" width="2.375" style="43" customWidth="1"/>
    <col min="264" max="264" width="3.125" style="43" customWidth="1"/>
    <col min="265" max="265" width="1.625" style="43" customWidth="1"/>
    <col min="266" max="266" width="2.5" style="43" customWidth="1"/>
    <col min="267" max="268" width="15.25" style="43" customWidth="1"/>
    <col min="269" max="269" width="6" style="43" customWidth="1"/>
    <col min="270" max="270" width="2.875" style="43" customWidth="1"/>
    <col min="271" max="271" width="2.375" style="43" customWidth="1"/>
    <col min="272" max="272" width="3.25" style="43" customWidth="1"/>
    <col min="273" max="273" width="1.75" style="43" customWidth="1"/>
    <col min="274" max="274" width="2.5" style="43" customWidth="1"/>
    <col min="275" max="276" width="15.25" style="43" customWidth="1"/>
    <col min="277" max="277" width="6.625" style="43" customWidth="1"/>
    <col min="278" max="278" width="2.25" style="43" customWidth="1"/>
    <col min="279" max="279" width="2.375" style="43" customWidth="1"/>
    <col min="280" max="280" width="3.875" style="43" customWidth="1"/>
    <col min="281" max="512" width="9" style="43"/>
    <col min="513" max="513" width="4.125" style="43" customWidth="1"/>
    <col min="514" max="514" width="2.5" style="43" customWidth="1"/>
    <col min="515" max="515" width="15.25" style="43" customWidth="1"/>
    <col min="516" max="516" width="13.375" style="43" customWidth="1"/>
    <col min="517" max="517" width="8.875" style="43" customWidth="1"/>
    <col min="518" max="518" width="2.875" style="43" customWidth="1"/>
    <col min="519" max="519" width="2.375" style="43" customWidth="1"/>
    <col min="520" max="520" width="3.125" style="43" customWidth="1"/>
    <col min="521" max="521" width="1.625" style="43" customWidth="1"/>
    <col min="522" max="522" width="2.5" style="43" customWidth="1"/>
    <col min="523" max="524" width="15.25" style="43" customWidth="1"/>
    <col min="525" max="525" width="6" style="43" customWidth="1"/>
    <col min="526" max="526" width="2.875" style="43" customWidth="1"/>
    <col min="527" max="527" width="2.375" style="43" customWidth="1"/>
    <col min="528" max="528" width="3.25" style="43" customWidth="1"/>
    <col min="529" max="529" width="1.75" style="43" customWidth="1"/>
    <col min="530" max="530" width="2.5" style="43" customWidth="1"/>
    <col min="531" max="532" width="15.25" style="43" customWidth="1"/>
    <col min="533" max="533" width="6.625" style="43" customWidth="1"/>
    <col min="534" max="534" width="2.25" style="43" customWidth="1"/>
    <col min="535" max="535" width="2.375" style="43" customWidth="1"/>
    <col min="536" max="536" width="3.875" style="43" customWidth="1"/>
    <col min="537" max="768" width="9" style="43"/>
    <col min="769" max="769" width="4.125" style="43" customWidth="1"/>
    <col min="770" max="770" width="2.5" style="43" customWidth="1"/>
    <col min="771" max="771" width="15.25" style="43" customWidth="1"/>
    <col min="772" max="772" width="13.375" style="43" customWidth="1"/>
    <col min="773" max="773" width="8.875" style="43" customWidth="1"/>
    <col min="774" max="774" width="2.875" style="43" customWidth="1"/>
    <col min="775" max="775" width="2.375" style="43" customWidth="1"/>
    <col min="776" max="776" width="3.125" style="43" customWidth="1"/>
    <col min="777" max="777" width="1.625" style="43" customWidth="1"/>
    <col min="778" max="778" width="2.5" style="43" customWidth="1"/>
    <col min="779" max="780" width="15.25" style="43" customWidth="1"/>
    <col min="781" max="781" width="6" style="43" customWidth="1"/>
    <col min="782" max="782" width="2.875" style="43" customWidth="1"/>
    <col min="783" max="783" width="2.375" style="43" customWidth="1"/>
    <col min="784" max="784" width="3.25" style="43" customWidth="1"/>
    <col min="785" max="785" width="1.75" style="43" customWidth="1"/>
    <col min="786" max="786" width="2.5" style="43" customWidth="1"/>
    <col min="787" max="788" width="15.25" style="43" customWidth="1"/>
    <col min="789" max="789" width="6.625" style="43" customWidth="1"/>
    <col min="790" max="790" width="2.25" style="43" customWidth="1"/>
    <col min="791" max="791" width="2.375" style="43" customWidth="1"/>
    <col min="792" max="792" width="3.875" style="43" customWidth="1"/>
    <col min="793" max="1024" width="9" style="43"/>
    <col min="1025" max="1025" width="4.125" style="43" customWidth="1"/>
    <col min="1026" max="1026" width="2.5" style="43" customWidth="1"/>
    <col min="1027" max="1027" width="15.25" style="43" customWidth="1"/>
    <col min="1028" max="1028" width="13.375" style="43" customWidth="1"/>
    <col min="1029" max="1029" width="8.875" style="43" customWidth="1"/>
    <col min="1030" max="1030" width="2.875" style="43" customWidth="1"/>
    <col min="1031" max="1031" width="2.375" style="43" customWidth="1"/>
    <col min="1032" max="1032" width="3.125" style="43" customWidth="1"/>
    <col min="1033" max="1033" width="1.625" style="43" customWidth="1"/>
    <col min="1034" max="1034" width="2.5" style="43" customWidth="1"/>
    <col min="1035" max="1036" width="15.25" style="43" customWidth="1"/>
    <col min="1037" max="1037" width="6" style="43" customWidth="1"/>
    <col min="1038" max="1038" width="2.875" style="43" customWidth="1"/>
    <col min="1039" max="1039" width="2.375" style="43" customWidth="1"/>
    <col min="1040" max="1040" width="3.25" style="43" customWidth="1"/>
    <col min="1041" max="1041" width="1.75" style="43" customWidth="1"/>
    <col min="1042" max="1042" width="2.5" style="43" customWidth="1"/>
    <col min="1043" max="1044" width="15.25" style="43" customWidth="1"/>
    <col min="1045" max="1045" width="6.625" style="43" customWidth="1"/>
    <col min="1046" max="1046" width="2.25" style="43" customWidth="1"/>
    <col min="1047" max="1047" width="2.375" style="43" customWidth="1"/>
    <col min="1048" max="1048" width="3.875" style="43" customWidth="1"/>
    <col min="1049" max="1280" width="9" style="43"/>
    <col min="1281" max="1281" width="4.125" style="43" customWidth="1"/>
    <col min="1282" max="1282" width="2.5" style="43" customWidth="1"/>
    <col min="1283" max="1283" width="15.25" style="43" customWidth="1"/>
    <col min="1284" max="1284" width="13.375" style="43" customWidth="1"/>
    <col min="1285" max="1285" width="8.875" style="43" customWidth="1"/>
    <col min="1286" max="1286" width="2.875" style="43" customWidth="1"/>
    <col min="1287" max="1287" width="2.375" style="43" customWidth="1"/>
    <col min="1288" max="1288" width="3.125" style="43" customWidth="1"/>
    <col min="1289" max="1289" width="1.625" style="43" customWidth="1"/>
    <col min="1290" max="1290" width="2.5" style="43" customWidth="1"/>
    <col min="1291" max="1292" width="15.25" style="43" customWidth="1"/>
    <col min="1293" max="1293" width="6" style="43" customWidth="1"/>
    <col min="1294" max="1294" width="2.875" style="43" customWidth="1"/>
    <col min="1295" max="1295" width="2.375" style="43" customWidth="1"/>
    <col min="1296" max="1296" width="3.25" style="43" customWidth="1"/>
    <col min="1297" max="1297" width="1.75" style="43" customWidth="1"/>
    <col min="1298" max="1298" width="2.5" style="43" customWidth="1"/>
    <col min="1299" max="1300" width="15.25" style="43" customWidth="1"/>
    <col min="1301" max="1301" width="6.625" style="43" customWidth="1"/>
    <col min="1302" max="1302" width="2.25" style="43" customWidth="1"/>
    <col min="1303" max="1303" width="2.375" style="43" customWidth="1"/>
    <col min="1304" max="1304" width="3.875" style="43" customWidth="1"/>
    <col min="1305" max="1536" width="9" style="43"/>
    <col min="1537" max="1537" width="4.125" style="43" customWidth="1"/>
    <col min="1538" max="1538" width="2.5" style="43" customWidth="1"/>
    <col min="1539" max="1539" width="15.25" style="43" customWidth="1"/>
    <col min="1540" max="1540" width="13.375" style="43" customWidth="1"/>
    <col min="1541" max="1541" width="8.875" style="43" customWidth="1"/>
    <col min="1542" max="1542" width="2.875" style="43" customWidth="1"/>
    <col min="1543" max="1543" width="2.375" style="43" customWidth="1"/>
    <col min="1544" max="1544" width="3.125" style="43" customWidth="1"/>
    <col min="1545" max="1545" width="1.625" style="43" customWidth="1"/>
    <col min="1546" max="1546" width="2.5" style="43" customWidth="1"/>
    <col min="1547" max="1548" width="15.25" style="43" customWidth="1"/>
    <col min="1549" max="1549" width="6" style="43" customWidth="1"/>
    <col min="1550" max="1550" width="2.875" style="43" customWidth="1"/>
    <col min="1551" max="1551" width="2.375" style="43" customWidth="1"/>
    <col min="1552" max="1552" width="3.25" style="43" customWidth="1"/>
    <col min="1553" max="1553" width="1.75" style="43" customWidth="1"/>
    <col min="1554" max="1554" width="2.5" style="43" customWidth="1"/>
    <col min="1555" max="1556" width="15.25" style="43" customWidth="1"/>
    <col min="1557" max="1557" width="6.625" style="43" customWidth="1"/>
    <col min="1558" max="1558" width="2.25" style="43" customWidth="1"/>
    <col min="1559" max="1559" width="2.375" style="43" customWidth="1"/>
    <col min="1560" max="1560" width="3.875" style="43" customWidth="1"/>
    <col min="1561" max="1792" width="9" style="43"/>
    <col min="1793" max="1793" width="4.125" style="43" customWidth="1"/>
    <col min="1794" max="1794" width="2.5" style="43" customWidth="1"/>
    <col min="1795" max="1795" width="15.25" style="43" customWidth="1"/>
    <col min="1796" max="1796" width="13.375" style="43" customWidth="1"/>
    <col min="1797" max="1797" width="8.875" style="43" customWidth="1"/>
    <col min="1798" max="1798" width="2.875" style="43" customWidth="1"/>
    <col min="1799" max="1799" width="2.375" style="43" customWidth="1"/>
    <col min="1800" max="1800" width="3.125" style="43" customWidth="1"/>
    <col min="1801" max="1801" width="1.625" style="43" customWidth="1"/>
    <col min="1802" max="1802" width="2.5" style="43" customWidth="1"/>
    <col min="1803" max="1804" width="15.25" style="43" customWidth="1"/>
    <col min="1805" max="1805" width="6" style="43" customWidth="1"/>
    <col min="1806" max="1806" width="2.875" style="43" customWidth="1"/>
    <col min="1807" max="1807" width="2.375" style="43" customWidth="1"/>
    <col min="1808" max="1808" width="3.25" style="43" customWidth="1"/>
    <col min="1809" max="1809" width="1.75" style="43" customWidth="1"/>
    <col min="1810" max="1810" width="2.5" style="43" customWidth="1"/>
    <col min="1811" max="1812" width="15.25" style="43" customWidth="1"/>
    <col min="1813" max="1813" width="6.625" style="43" customWidth="1"/>
    <col min="1814" max="1814" width="2.25" style="43" customWidth="1"/>
    <col min="1815" max="1815" width="2.375" style="43" customWidth="1"/>
    <col min="1816" max="1816" width="3.875" style="43" customWidth="1"/>
    <col min="1817" max="2048" width="9" style="43"/>
    <col min="2049" max="2049" width="4.125" style="43" customWidth="1"/>
    <col min="2050" max="2050" width="2.5" style="43" customWidth="1"/>
    <col min="2051" max="2051" width="15.25" style="43" customWidth="1"/>
    <col min="2052" max="2052" width="13.375" style="43" customWidth="1"/>
    <col min="2053" max="2053" width="8.875" style="43" customWidth="1"/>
    <col min="2054" max="2054" width="2.875" style="43" customWidth="1"/>
    <col min="2055" max="2055" width="2.375" style="43" customWidth="1"/>
    <col min="2056" max="2056" width="3.125" style="43" customWidth="1"/>
    <col min="2057" max="2057" width="1.625" style="43" customWidth="1"/>
    <col min="2058" max="2058" width="2.5" style="43" customWidth="1"/>
    <col min="2059" max="2060" width="15.25" style="43" customWidth="1"/>
    <col min="2061" max="2061" width="6" style="43" customWidth="1"/>
    <col min="2062" max="2062" width="2.875" style="43" customWidth="1"/>
    <col min="2063" max="2063" width="2.375" style="43" customWidth="1"/>
    <col min="2064" max="2064" width="3.25" style="43" customWidth="1"/>
    <col min="2065" max="2065" width="1.75" style="43" customWidth="1"/>
    <col min="2066" max="2066" width="2.5" style="43" customWidth="1"/>
    <col min="2067" max="2068" width="15.25" style="43" customWidth="1"/>
    <col min="2069" max="2069" width="6.625" style="43" customWidth="1"/>
    <col min="2070" max="2070" width="2.25" style="43" customWidth="1"/>
    <col min="2071" max="2071" width="2.375" style="43" customWidth="1"/>
    <col min="2072" max="2072" width="3.875" style="43" customWidth="1"/>
    <col min="2073" max="2304" width="9" style="43"/>
    <col min="2305" max="2305" width="4.125" style="43" customWidth="1"/>
    <col min="2306" max="2306" width="2.5" style="43" customWidth="1"/>
    <col min="2307" max="2307" width="15.25" style="43" customWidth="1"/>
    <col min="2308" max="2308" width="13.375" style="43" customWidth="1"/>
    <col min="2309" max="2309" width="8.875" style="43" customWidth="1"/>
    <col min="2310" max="2310" width="2.875" style="43" customWidth="1"/>
    <col min="2311" max="2311" width="2.375" style="43" customWidth="1"/>
    <col min="2312" max="2312" width="3.125" style="43" customWidth="1"/>
    <col min="2313" max="2313" width="1.625" style="43" customWidth="1"/>
    <col min="2314" max="2314" width="2.5" style="43" customWidth="1"/>
    <col min="2315" max="2316" width="15.25" style="43" customWidth="1"/>
    <col min="2317" max="2317" width="6" style="43" customWidth="1"/>
    <col min="2318" max="2318" width="2.875" style="43" customWidth="1"/>
    <col min="2319" max="2319" width="2.375" style="43" customWidth="1"/>
    <col min="2320" max="2320" width="3.25" style="43" customWidth="1"/>
    <col min="2321" max="2321" width="1.75" style="43" customWidth="1"/>
    <col min="2322" max="2322" width="2.5" style="43" customWidth="1"/>
    <col min="2323" max="2324" width="15.25" style="43" customWidth="1"/>
    <col min="2325" max="2325" width="6.625" style="43" customWidth="1"/>
    <col min="2326" max="2326" width="2.25" style="43" customWidth="1"/>
    <col min="2327" max="2327" width="2.375" style="43" customWidth="1"/>
    <col min="2328" max="2328" width="3.875" style="43" customWidth="1"/>
    <col min="2329" max="2560" width="9" style="43"/>
    <col min="2561" max="2561" width="4.125" style="43" customWidth="1"/>
    <col min="2562" max="2562" width="2.5" style="43" customWidth="1"/>
    <col min="2563" max="2563" width="15.25" style="43" customWidth="1"/>
    <col min="2564" max="2564" width="13.375" style="43" customWidth="1"/>
    <col min="2565" max="2565" width="8.875" style="43" customWidth="1"/>
    <col min="2566" max="2566" width="2.875" style="43" customWidth="1"/>
    <col min="2567" max="2567" width="2.375" style="43" customWidth="1"/>
    <col min="2568" max="2568" width="3.125" style="43" customWidth="1"/>
    <col min="2569" max="2569" width="1.625" style="43" customWidth="1"/>
    <col min="2570" max="2570" width="2.5" style="43" customWidth="1"/>
    <col min="2571" max="2572" width="15.25" style="43" customWidth="1"/>
    <col min="2573" max="2573" width="6" style="43" customWidth="1"/>
    <col min="2574" max="2574" width="2.875" style="43" customWidth="1"/>
    <col min="2575" max="2575" width="2.375" style="43" customWidth="1"/>
    <col min="2576" max="2576" width="3.25" style="43" customWidth="1"/>
    <col min="2577" max="2577" width="1.75" style="43" customWidth="1"/>
    <col min="2578" max="2578" width="2.5" style="43" customWidth="1"/>
    <col min="2579" max="2580" width="15.25" style="43" customWidth="1"/>
    <col min="2581" max="2581" width="6.625" style="43" customWidth="1"/>
    <col min="2582" max="2582" width="2.25" style="43" customWidth="1"/>
    <col min="2583" max="2583" width="2.375" style="43" customWidth="1"/>
    <col min="2584" max="2584" width="3.875" style="43" customWidth="1"/>
    <col min="2585" max="2816" width="9" style="43"/>
    <col min="2817" max="2817" width="4.125" style="43" customWidth="1"/>
    <col min="2818" max="2818" width="2.5" style="43" customWidth="1"/>
    <col min="2819" max="2819" width="15.25" style="43" customWidth="1"/>
    <col min="2820" max="2820" width="13.375" style="43" customWidth="1"/>
    <col min="2821" max="2821" width="8.875" style="43" customWidth="1"/>
    <col min="2822" max="2822" width="2.875" style="43" customWidth="1"/>
    <col min="2823" max="2823" width="2.375" style="43" customWidth="1"/>
    <col min="2824" max="2824" width="3.125" style="43" customWidth="1"/>
    <col min="2825" max="2825" width="1.625" style="43" customWidth="1"/>
    <col min="2826" max="2826" width="2.5" style="43" customWidth="1"/>
    <col min="2827" max="2828" width="15.25" style="43" customWidth="1"/>
    <col min="2829" max="2829" width="6" style="43" customWidth="1"/>
    <col min="2830" max="2830" width="2.875" style="43" customWidth="1"/>
    <col min="2831" max="2831" width="2.375" style="43" customWidth="1"/>
    <col min="2832" max="2832" width="3.25" style="43" customWidth="1"/>
    <col min="2833" max="2833" width="1.75" style="43" customWidth="1"/>
    <col min="2834" max="2834" width="2.5" style="43" customWidth="1"/>
    <col min="2835" max="2836" width="15.25" style="43" customWidth="1"/>
    <col min="2837" max="2837" width="6.625" style="43" customWidth="1"/>
    <col min="2838" max="2838" width="2.25" style="43" customWidth="1"/>
    <col min="2839" max="2839" width="2.375" style="43" customWidth="1"/>
    <col min="2840" max="2840" width="3.875" style="43" customWidth="1"/>
    <col min="2841" max="3072" width="9" style="43"/>
    <col min="3073" max="3073" width="4.125" style="43" customWidth="1"/>
    <col min="3074" max="3074" width="2.5" style="43" customWidth="1"/>
    <col min="3075" max="3075" width="15.25" style="43" customWidth="1"/>
    <col min="3076" max="3076" width="13.375" style="43" customWidth="1"/>
    <col min="3077" max="3077" width="8.875" style="43" customWidth="1"/>
    <col min="3078" max="3078" width="2.875" style="43" customWidth="1"/>
    <col min="3079" max="3079" width="2.375" style="43" customWidth="1"/>
    <col min="3080" max="3080" width="3.125" style="43" customWidth="1"/>
    <col min="3081" max="3081" width="1.625" style="43" customWidth="1"/>
    <col min="3082" max="3082" width="2.5" style="43" customWidth="1"/>
    <col min="3083" max="3084" width="15.25" style="43" customWidth="1"/>
    <col min="3085" max="3085" width="6" style="43" customWidth="1"/>
    <col min="3086" max="3086" width="2.875" style="43" customWidth="1"/>
    <col min="3087" max="3087" width="2.375" style="43" customWidth="1"/>
    <col min="3088" max="3088" width="3.25" style="43" customWidth="1"/>
    <col min="3089" max="3089" width="1.75" style="43" customWidth="1"/>
    <col min="3090" max="3090" width="2.5" style="43" customWidth="1"/>
    <col min="3091" max="3092" width="15.25" style="43" customWidth="1"/>
    <col min="3093" max="3093" width="6.625" style="43" customWidth="1"/>
    <col min="3094" max="3094" width="2.25" style="43" customWidth="1"/>
    <col min="3095" max="3095" width="2.375" style="43" customWidth="1"/>
    <col min="3096" max="3096" width="3.875" style="43" customWidth="1"/>
    <col min="3097" max="3328" width="9" style="43"/>
    <col min="3329" max="3329" width="4.125" style="43" customWidth="1"/>
    <col min="3330" max="3330" width="2.5" style="43" customWidth="1"/>
    <col min="3331" max="3331" width="15.25" style="43" customWidth="1"/>
    <col min="3332" max="3332" width="13.375" style="43" customWidth="1"/>
    <col min="3333" max="3333" width="8.875" style="43" customWidth="1"/>
    <col min="3334" max="3334" width="2.875" style="43" customWidth="1"/>
    <col min="3335" max="3335" width="2.375" style="43" customWidth="1"/>
    <col min="3336" max="3336" width="3.125" style="43" customWidth="1"/>
    <col min="3337" max="3337" width="1.625" style="43" customWidth="1"/>
    <col min="3338" max="3338" width="2.5" style="43" customWidth="1"/>
    <col min="3339" max="3340" width="15.25" style="43" customWidth="1"/>
    <col min="3341" max="3341" width="6" style="43" customWidth="1"/>
    <col min="3342" max="3342" width="2.875" style="43" customWidth="1"/>
    <col min="3343" max="3343" width="2.375" style="43" customWidth="1"/>
    <col min="3344" max="3344" width="3.25" style="43" customWidth="1"/>
    <col min="3345" max="3345" width="1.75" style="43" customWidth="1"/>
    <col min="3346" max="3346" width="2.5" style="43" customWidth="1"/>
    <col min="3347" max="3348" width="15.25" style="43" customWidth="1"/>
    <col min="3349" max="3349" width="6.625" style="43" customWidth="1"/>
    <col min="3350" max="3350" width="2.25" style="43" customWidth="1"/>
    <col min="3351" max="3351" width="2.375" style="43" customWidth="1"/>
    <col min="3352" max="3352" width="3.875" style="43" customWidth="1"/>
    <col min="3353" max="3584" width="9" style="43"/>
    <col min="3585" max="3585" width="4.125" style="43" customWidth="1"/>
    <col min="3586" max="3586" width="2.5" style="43" customWidth="1"/>
    <col min="3587" max="3587" width="15.25" style="43" customWidth="1"/>
    <col min="3588" max="3588" width="13.375" style="43" customWidth="1"/>
    <col min="3589" max="3589" width="8.875" style="43" customWidth="1"/>
    <col min="3590" max="3590" width="2.875" style="43" customWidth="1"/>
    <col min="3591" max="3591" width="2.375" style="43" customWidth="1"/>
    <col min="3592" max="3592" width="3.125" style="43" customWidth="1"/>
    <col min="3593" max="3593" width="1.625" style="43" customWidth="1"/>
    <col min="3594" max="3594" width="2.5" style="43" customWidth="1"/>
    <col min="3595" max="3596" width="15.25" style="43" customWidth="1"/>
    <col min="3597" max="3597" width="6" style="43" customWidth="1"/>
    <col min="3598" max="3598" width="2.875" style="43" customWidth="1"/>
    <col min="3599" max="3599" width="2.375" style="43" customWidth="1"/>
    <col min="3600" max="3600" width="3.25" style="43" customWidth="1"/>
    <col min="3601" max="3601" width="1.75" style="43" customWidth="1"/>
    <col min="3602" max="3602" width="2.5" style="43" customWidth="1"/>
    <col min="3603" max="3604" width="15.25" style="43" customWidth="1"/>
    <col min="3605" max="3605" width="6.625" style="43" customWidth="1"/>
    <col min="3606" max="3606" width="2.25" style="43" customWidth="1"/>
    <col min="3607" max="3607" width="2.375" style="43" customWidth="1"/>
    <col min="3608" max="3608" width="3.875" style="43" customWidth="1"/>
    <col min="3609" max="3840" width="9" style="43"/>
    <col min="3841" max="3841" width="4.125" style="43" customWidth="1"/>
    <col min="3842" max="3842" width="2.5" style="43" customWidth="1"/>
    <col min="3843" max="3843" width="15.25" style="43" customWidth="1"/>
    <col min="3844" max="3844" width="13.375" style="43" customWidth="1"/>
    <col min="3845" max="3845" width="8.875" style="43" customWidth="1"/>
    <col min="3846" max="3846" width="2.875" style="43" customWidth="1"/>
    <col min="3847" max="3847" width="2.375" style="43" customWidth="1"/>
    <col min="3848" max="3848" width="3.125" style="43" customWidth="1"/>
    <col min="3849" max="3849" width="1.625" style="43" customWidth="1"/>
    <col min="3850" max="3850" width="2.5" style="43" customWidth="1"/>
    <col min="3851" max="3852" width="15.25" style="43" customWidth="1"/>
    <col min="3853" max="3853" width="6" style="43" customWidth="1"/>
    <col min="3854" max="3854" width="2.875" style="43" customWidth="1"/>
    <col min="3855" max="3855" width="2.375" style="43" customWidth="1"/>
    <col min="3856" max="3856" width="3.25" style="43" customWidth="1"/>
    <col min="3857" max="3857" width="1.75" style="43" customWidth="1"/>
    <col min="3858" max="3858" width="2.5" style="43" customWidth="1"/>
    <col min="3859" max="3860" width="15.25" style="43" customWidth="1"/>
    <col min="3861" max="3861" width="6.625" style="43" customWidth="1"/>
    <col min="3862" max="3862" width="2.25" style="43" customWidth="1"/>
    <col min="3863" max="3863" width="2.375" style="43" customWidth="1"/>
    <col min="3864" max="3864" width="3.875" style="43" customWidth="1"/>
    <col min="3865" max="4096" width="9" style="43"/>
    <col min="4097" max="4097" width="4.125" style="43" customWidth="1"/>
    <col min="4098" max="4098" width="2.5" style="43" customWidth="1"/>
    <col min="4099" max="4099" width="15.25" style="43" customWidth="1"/>
    <col min="4100" max="4100" width="13.375" style="43" customWidth="1"/>
    <col min="4101" max="4101" width="8.875" style="43" customWidth="1"/>
    <col min="4102" max="4102" width="2.875" style="43" customWidth="1"/>
    <col min="4103" max="4103" width="2.375" style="43" customWidth="1"/>
    <col min="4104" max="4104" width="3.125" style="43" customWidth="1"/>
    <col min="4105" max="4105" width="1.625" style="43" customWidth="1"/>
    <col min="4106" max="4106" width="2.5" style="43" customWidth="1"/>
    <col min="4107" max="4108" width="15.25" style="43" customWidth="1"/>
    <col min="4109" max="4109" width="6" style="43" customWidth="1"/>
    <col min="4110" max="4110" width="2.875" style="43" customWidth="1"/>
    <col min="4111" max="4111" width="2.375" style="43" customWidth="1"/>
    <col min="4112" max="4112" width="3.25" style="43" customWidth="1"/>
    <col min="4113" max="4113" width="1.75" style="43" customWidth="1"/>
    <col min="4114" max="4114" width="2.5" style="43" customWidth="1"/>
    <col min="4115" max="4116" width="15.25" style="43" customWidth="1"/>
    <col min="4117" max="4117" width="6.625" style="43" customWidth="1"/>
    <col min="4118" max="4118" width="2.25" style="43" customWidth="1"/>
    <col min="4119" max="4119" width="2.375" style="43" customWidth="1"/>
    <col min="4120" max="4120" width="3.875" style="43" customWidth="1"/>
    <col min="4121" max="4352" width="9" style="43"/>
    <col min="4353" max="4353" width="4.125" style="43" customWidth="1"/>
    <col min="4354" max="4354" width="2.5" style="43" customWidth="1"/>
    <col min="4355" max="4355" width="15.25" style="43" customWidth="1"/>
    <col min="4356" max="4356" width="13.375" style="43" customWidth="1"/>
    <col min="4357" max="4357" width="8.875" style="43" customWidth="1"/>
    <col min="4358" max="4358" width="2.875" style="43" customWidth="1"/>
    <col min="4359" max="4359" width="2.375" style="43" customWidth="1"/>
    <col min="4360" max="4360" width="3.125" style="43" customWidth="1"/>
    <col min="4361" max="4361" width="1.625" style="43" customWidth="1"/>
    <col min="4362" max="4362" width="2.5" style="43" customWidth="1"/>
    <col min="4363" max="4364" width="15.25" style="43" customWidth="1"/>
    <col min="4365" max="4365" width="6" style="43" customWidth="1"/>
    <col min="4366" max="4366" width="2.875" style="43" customWidth="1"/>
    <col min="4367" max="4367" width="2.375" style="43" customWidth="1"/>
    <col min="4368" max="4368" width="3.25" style="43" customWidth="1"/>
    <col min="4369" max="4369" width="1.75" style="43" customWidth="1"/>
    <col min="4370" max="4370" width="2.5" style="43" customWidth="1"/>
    <col min="4371" max="4372" width="15.25" style="43" customWidth="1"/>
    <col min="4373" max="4373" width="6.625" style="43" customWidth="1"/>
    <col min="4374" max="4374" width="2.25" style="43" customWidth="1"/>
    <col min="4375" max="4375" width="2.375" style="43" customWidth="1"/>
    <col min="4376" max="4376" width="3.875" style="43" customWidth="1"/>
    <col min="4377" max="4608" width="9" style="43"/>
    <col min="4609" max="4609" width="4.125" style="43" customWidth="1"/>
    <col min="4610" max="4610" width="2.5" style="43" customWidth="1"/>
    <col min="4611" max="4611" width="15.25" style="43" customWidth="1"/>
    <col min="4612" max="4612" width="13.375" style="43" customWidth="1"/>
    <col min="4613" max="4613" width="8.875" style="43" customWidth="1"/>
    <col min="4614" max="4614" width="2.875" style="43" customWidth="1"/>
    <col min="4615" max="4615" width="2.375" style="43" customWidth="1"/>
    <col min="4616" max="4616" width="3.125" style="43" customWidth="1"/>
    <col min="4617" max="4617" width="1.625" style="43" customWidth="1"/>
    <col min="4618" max="4618" width="2.5" style="43" customWidth="1"/>
    <col min="4619" max="4620" width="15.25" style="43" customWidth="1"/>
    <col min="4621" max="4621" width="6" style="43" customWidth="1"/>
    <col min="4622" max="4622" width="2.875" style="43" customWidth="1"/>
    <col min="4623" max="4623" width="2.375" style="43" customWidth="1"/>
    <col min="4624" max="4624" width="3.25" style="43" customWidth="1"/>
    <col min="4625" max="4625" width="1.75" style="43" customWidth="1"/>
    <col min="4626" max="4626" width="2.5" style="43" customWidth="1"/>
    <col min="4627" max="4628" width="15.25" style="43" customWidth="1"/>
    <col min="4629" max="4629" width="6.625" style="43" customWidth="1"/>
    <col min="4630" max="4630" width="2.25" style="43" customWidth="1"/>
    <col min="4631" max="4631" width="2.375" style="43" customWidth="1"/>
    <col min="4632" max="4632" width="3.875" style="43" customWidth="1"/>
    <col min="4633" max="4864" width="9" style="43"/>
    <col min="4865" max="4865" width="4.125" style="43" customWidth="1"/>
    <col min="4866" max="4866" width="2.5" style="43" customWidth="1"/>
    <col min="4867" max="4867" width="15.25" style="43" customWidth="1"/>
    <col min="4868" max="4868" width="13.375" style="43" customWidth="1"/>
    <col min="4869" max="4869" width="8.875" style="43" customWidth="1"/>
    <col min="4870" max="4870" width="2.875" style="43" customWidth="1"/>
    <col min="4871" max="4871" width="2.375" style="43" customWidth="1"/>
    <col min="4872" max="4872" width="3.125" style="43" customWidth="1"/>
    <col min="4873" max="4873" width="1.625" style="43" customWidth="1"/>
    <col min="4874" max="4874" width="2.5" style="43" customWidth="1"/>
    <col min="4875" max="4876" width="15.25" style="43" customWidth="1"/>
    <col min="4877" max="4877" width="6" style="43" customWidth="1"/>
    <col min="4878" max="4878" width="2.875" style="43" customWidth="1"/>
    <col min="4879" max="4879" width="2.375" style="43" customWidth="1"/>
    <col min="4880" max="4880" width="3.25" style="43" customWidth="1"/>
    <col min="4881" max="4881" width="1.75" style="43" customWidth="1"/>
    <col min="4882" max="4882" width="2.5" style="43" customWidth="1"/>
    <col min="4883" max="4884" width="15.25" style="43" customWidth="1"/>
    <col min="4885" max="4885" width="6.625" style="43" customWidth="1"/>
    <col min="4886" max="4886" width="2.25" style="43" customWidth="1"/>
    <col min="4887" max="4887" width="2.375" style="43" customWidth="1"/>
    <col min="4888" max="4888" width="3.875" style="43" customWidth="1"/>
    <col min="4889" max="5120" width="9" style="43"/>
    <col min="5121" max="5121" width="4.125" style="43" customWidth="1"/>
    <col min="5122" max="5122" width="2.5" style="43" customWidth="1"/>
    <col min="5123" max="5123" width="15.25" style="43" customWidth="1"/>
    <col min="5124" max="5124" width="13.375" style="43" customWidth="1"/>
    <col min="5125" max="5125" width="8.875" style="43" customWidth="1"/>
    <col min="5126" max="5126" width="2.875" style="43" customWidth="1"/>
    <col min="5127" max="5127" width="2.375" style="43" customWidth="1"/>
    <col min="5128" max="5128" width="3.125" style="43" customWidth="1"/>
    <col min="5129" max="5129" width="1.625" style="43" customWidth="1"/>
    <col min="5130" max="5130" width="2.5" style="43" customWidth="1"/>
    <col min="5131" max="5132" width="15.25" style="43" customWidth="1"/>
    <col min="5133" max="5133" width="6" style="43" customWidth="1"/>
    <col min="5134" max="5134" width="2.875" style="43" customWidth="1"/>
    <col min="5135" max="5135" width="2.375" style="43" customWidth="1"/>
    <col min="5136" max="5136" width="3.25" style="43" customWidth="1"/>
    <col min="5137" max="5137" width="1.75" style="43" customWidth="1"/>
    <col min="5138" max="5138" width="2.5" style="43" customWidth="1"/>
    <col min="5139" max="5140" width="15.25" style="43" customWidth="1"/>
    <col min="5141" max="5141" width="6.625" style="43" customWidth="1"/>
    <col min="5142" max="5142" width="2.25" style="43" customWidth="1"/>
    <col min="5143" max="5143" width="2.375" style="43" customWidth="1"/>
    <col min="5144" max="5144" width="3.875" style="43" customWidth="1"/>
    <col min="5145" max="5376" width="9" style="43"/>
    <col min="5377" max="5377" width="4.125" style="43" customWidth="1"/>
    <col min="5378" max="5378" width="2.5" style="43" customWidth="1"/>
    <col min="5379" max="5379" width="15.25" style="43" customWidth="1"/>
    <col min="5380" max="5380" width="13.375" style="43" customWidth="1"/>
    <col min="5381" max="5381" width="8.875" style="43" customWidth="1"/>
    <col min="5382" max="5382" width="2.875" style="43" customWidth="1"/>
    <col min="5383" max="5383" width="2.375" style="43" customWidth="1"/>
    <col min="5384" max="5384" width="3.125" style="43" customWidth="1"/>
    <col min="5385" max="5385" width="1.625" style="43" customWidth="1"/>
    <col min="5386" max="5386" width="2.5" style="43" customWidth="1"/>
    <col min="5387" max="5388" width="15.25" style="43" customWidth="1"/>
    <col min="5389" max="5389" width="6" style="43" customWidth="1"/>
    <col min="5390" max="5390" width="2.875" style="43" customWidth="1"/>
    <col min="5391" max="5391" width="2.375" style="43" customWidth="1"/>
    <col min="5392" max="5392" width="3.25" style="43" customWidth="1"/>
    <col min="5393" max="5393" width="1.75" style="43" customWidth="1"/>
    <col min="5394" max="5394" width="2.5" style="43" customWidth="1"/>
    <col min="5395" max="5396" width="15.25" style="43" customWidth="1"/>
    <col min="5397" max="5397" width="6.625" style="43" customWidth="1"/>
    <col min="5398" max="5398" width="2.25" style="43" customWidth="1"/>
    <col min="5399" max="5399" width="2.375" style="43" customWidth="1"/>
    <col min="5400" max="5400" width="3.875" style="43" customWidth="1"/>
    <col min="5401" max="5632" width="9" style="43"/>
    <col min="5633" max="5633" width="4.125" style="43" customWidth="1"/>
    <col min="5634" max="5634" width="2.5" style="43" customWidth="1"/>
    <col min="5635" max="5635" width="15.25" style="43" customWidth="1"/>
    <col min="5636" max="5636" width="13.375" style="43" customWidth="1"/>
    <col min="5637" max="5637" width="8.875" style="43" customWidth="1"/>
    <col min="5638" max="5638" width="2.875" style="43" customWidth="1"/>
    <col min="5639" max="5639" width="2.375" style="43" customWidth="1"/>
    <col min="5640" max="5640" width="3.125" style="43" customWidth="1"/>
    <col min="5641" max="5641" width="1.625" style="43" customWidth="1"/>
    <col min="5642" max="5642" width="2.5" style="43" customWidth="1"/>
    <col min="5643" max="5644" width="15.25" style="43" customWidth="1"/>
    <col min="5645" max="5645" width="6" style="43" customWidth="1"/>
    <col min="5646" max="5646" width="2.875" style="43" customWidth="1"/>
    <col min="5647" max="5647" width="2.375" style="43" customWidth="1"/>
    <col min="5648" max="5648" width="3.25" style="43" customWidth="1"/>
    <col min="5649" max="5649" width="1.75" style="43" customWidth="1"/>
    <col min="5650" max="5650" width="2.5" style="43" customWidth="1"/>
    <col min="5651" max="5652" width="15.25" style="43" customWidth="1"/>
    <col min="5653" max="5653" width="6.625" style="43" customWidth="1"/>
    <col min="5654" max="5654" width="2.25" style="43" customWidth="1"/>
    <col min="5655" max="5655" width="2.375" style="43" customWidth="1"/>
    <col min="5656" max="5656" width="3.875" style="43" customWidth="1"/>
    <col min="5657" max="5888" width="9" style="43"/>
    <col min="5889" max="5889" width="4.125" style="43" customWidth="1"/>
    <col min="5890" max="5890" width="2.5" style="43" customWidth="1"/>
    <col min="5891" max="5891" width="15.25" style="43" customWidth="1"/>
    <col min="5892" max="5892" width="13.375" style="43" customWidth="1"/>
    <col min="5893" max="5893" width="8.875" style="43" customWidth="1"/>
    <col min="5894" max="5894" width="2.875" style="43" customWidth="1"/>
    <col min="5895" max="5895" width="2.375" style="43" customWidth="1"/>
    <col min="5896" max="5896" width="3.125" style="43" customWidth="1"/>
    <col min="5897" max="5897" width="1.625" style="43" customWidth="1"/>
    <col min="5898" max="5898" width="2.5" style="43" customWidth="1"/>
    <col min="5899" max="5900" width="15.25" style="43" customWidth="1"/>
    <col min="5901" max="5901" width="6" style="43" customWidth="1"/>
    <col min="5902" max="5902" width="2.875" style="43" customWidth="1"/>
    <col min="5903" max="5903" width="2.375" style="43" customWidth="1"/>
    <col min="5904" max="5904" width="3.25" style="43" customWidth="1"/>
    <col min="5905" max="5905" width="1.75" style="43" customWidth="1"/>
    <col min="5906" max="5906" width="2.5" style="43" customWidth="1"/>
    <col min="5907" max="5908" width="15.25" style="43" customWidth="1"/>
    <col min="5909" max="5909" width="6.625" style="43" customWidth="1"/>
    <col min="5910" max="5910" width="2.25" style="43" customWidth="1"/>
    <col min="5911" max="5911" width="2.375" style="43" customWidth="1"/>
    <col min="5912" max="5912" width="3.875" style="43" customWidth="1"/>
    <col min="5913" max="6144" width="9" style="43"/>
    <col min="6145" max="6145" width="4.125" style="43" customWidth="1"/>
    <col min="6146" max="6146" width="2.5" style="43" customWidth="1"/>
    <col min="6147" max="6147" width="15.25" style="43" customWidth="1"/>
    <col min="6148" max="6148" width="13.375" style="43" customWidth="1"/>
    <col min="6149" max="6149" width="8.875" style="43" customWidth="1"/>
    <col min="6150" max="6150" width="2.875" style="43" customWidth="1"/>
    <col min="6151" max="6151" width="2.375" style="43" customWidth="1"/>
    <col min="6152" max="6152" width="3.125" style="43" customWidth="1"/>
    <col min="6153" max="6153" width="1.625" style="43" customWidth="1"/>
    <col min="6154" max="6154" width="2.5" style="43" customWidth="1"/>
    <col min="6155" max="6156" width="15.25" style="43" customWidth="1"/>
    <col min="6157" max="6157" width="6" style="43" customWidth="1"/>
    <col min="6158" max="6158" width="2.875" style="43" customWidth="1"/>
    <col min="6159" max="6159" width="2.375" style="43" customWidth="1"/>
    <col min="6160" max="6160" width="3.25" style="43" customWidth="1"/>
    <col min="6161" max="6161" width="1.75" style="43" customWidth="1"/>
    <col min="6162" max="6162" width="2.5" style="43" customWidth="1"/>
    <col min="6163" max="6164" width="15.25" style="43" customWidth="1"/>
    <col min="6165" max="6165" width="6.625" style="43" customWidth="1"/>
    <col min="6166" max="6166" width="2.25" style="43" customWidth="1"/>
    <col min="6167" max="6167" width="2.375" style="43" customWidth="1"/>
    <col min="6168" max="6168" width="3.875" style="43" customWidth="1"/>
    <col min="6169" max="6400" width="9" style="43"/>
    <col min="6401" max="6401" width="4.125" style="43" customWidth="1"/>
    <col min="6402" max="6402" width="2.5" style="43" customWidth="1"/>
    <col min="6403" max="6403" width="15.25" style="43" customWidth="1"/>
    <col min="6404" max="6404" width="13.375" style="43" customWidth="1"/>
    <col min="6405" max="6405" width="8.875" style="43" customWidth="1"/>
    <col min="6406" max="6406" width="2.875" style="43" customWidth="1"/>
    <col min="6407" max="6407" width="2.375" style="43" customWidth="1"/>
    <col min="6408" max="6408" width="3.125" style="43" customWidth="1"/>
    <col min="6409" max="6409" width="1.625" style="43" customWidth="1"/>
    <col min="6410" max="6410" width="2.5" style="43" customWidth="1"/>
    <col min="6411" max="6412" width="15.25" style="43" customWidth="1"/>
    <col min="6413" max="6413" width="6" style="43" customWidth="1"/>
    <col min="6414" max="6414" width="2.875" style="43" customWidth="1"/>
    <col min="6415" max="6415" width="2.375" style="43" customWidth="1"/>
    <col min="6416" max="6416" width="3.25" style="43" customWidth="1"/>
    <col min="6417" max="6417" width="1.75" style="43" customWidth="1"/>
    <col min="6418" max="6418" width="2.5" style="43" customWidth="1"/>
    <col min="6419" max="6420" width="15.25" style="43" customWidth="1"/>
    <col min="6421" max="6421" width="6.625" style="43" customWidth="1"/>
    <col min="6422" max="6422" width="2.25" style="43" customWidth="1"/>
    <col min="6423" max="6423" width="2.375" style="43" customWidth="1"/>
    <col min="6424" max="6424" width="3.875" style="43" customWidth="1"/>
    <col min="6425" max="6656" width="9" style="43"/>
    <col min="6657" max="6657" width="4.125" style="43" customWidth="1"/>
    <col min="6658" max="6658" width="2.5" style="43" customWidth="1"/>
    <col min="6659" max="6659" width="15.25" style="43" customWidth="1"/>
    <col min="6660" max="6660" width="13.375" style="43" customWidth="1"/>
    <col min="6661" max="6661" width="8.875" style="43" customWidth="1"/>
    <col min="6662" max="6662" width="2.875" style="43" customWidth="1"/>
    <col min="6663" max="6663" width="2.375" style="43" customWidth="1"/>
    <col min="6664" max="6664" width="3.125" style="43" customWidth="1"/>
    <col min="6665" max="6665" width="1.625" style="43" customWidth="1"/>
    <col min="6666" max="6666" width="2.5" style="43" customWidth="1"/>
    <col min="6667" max="6668" width="15.25" style="43" customWidth="1"/>
    <col min="6669" max="6669" width="6" style="43" customWidth="1"/>
    <col min="6670" max="6670" width="2.875" style="43" customWidth="1"/>
    <col min="6671" max="6671" width="2.375" style="43" customWidth="1"/>
    <col min="6672" max="6672" width="3.25" style="43" customWidth="1"/>
    <col min="6673" max="6673" width="1.75" style="43" customWidth="1"/>
    <col min="6674" max="6674" width="2.5" style="43" customWidth="1"/>
    <col min="6675" max="6676" width="15.25" style="43" customWidth="1"/>
    <col min="6677" max="6677" width="6.625" style="43" customWidth="1"/>
    <col min="6678" max="6678" width="2.25" style="43" customWidth="1"/>
    <col min="6679" max="6679" width="2.375" style="43" customWidth="1"/>
    <col min="6680" max="6680" width="3.875" style="43" customWidth="1"/>
    <col min="6681" max="6912" width="9" style="43"/>
    <col min="6913" max="6913" width="4.125" style="43" customWidth="1"/>
    <col min="6914" max="6914" width="2.5" style="43" customWidth="1"/>
    <col min="6915" max="6915" width="15.25" style="43" customWidth="1"/>
    <col min="6916" max="6916" width="13.375" style="43" customWidth="1"/>
    <col min="6917" max="6917" width="8.875" style="43" customWidth="1"/>
    <col min="6918" max="6918" width="2.875" style="43" customWidth="1"/>
    <col min="6919" max="6919" width="2.375" style="43" customWidth="1"/>
    <col min="6920" max="6920" width="3.125" style="43" customWidth="1"/>
    <col min="6921" max="6921" width="1.625" style="43" customWidth="1"/>
    <col min="6922" max="6922" width="2.5" style="43" customWidth="1"/>
    <col min="6923" max="6924" width="15.25" style="43" customWidth="1"/>
    <col min="6925" max="6925" width="6" style="43" customWidth="1"/>
    <col min="6926" max="6926" width="2.875" style="43" customWidth="1"/>
    <col min="6927" max="6927" width="2.375" style="43" customWidth="1"/>
    <col min="6928" max="6928" width="3.25" style="43" customWidth="1"/>
    <col min="6929" max="6929" width="1.75" style="43" customWidth="1"/>
    <col min="6930" max="6930" width="2.5" style="43" customWidth="1"/>
    <col min="6931" max="6932" width="15.25" style="43" customWidth="1"/>
    <col min="6933" max="6933" width="6.625" style="43" customWidth="1"/>
    <col min="6934" max="6934" width="2.25" style="43" customWidth="1"/>
    <col min="6935" max="6935" width="2.375" style="43" customWidth="1"/>
    <col min="6936" max="6936" width="3.875" style="43" customWidth="1"/>
    <col min="6937" max="7168" width="9" style="43"/>
    <col min="7169" max="7169" width="4.125" style="43" customWidth="1"/>
    <col min="7170" max="7170" width="2.5" style="43" customWidth="1"/>
    <col min="7171" max="7171" width="15.25" style="43" customWidth="1"/>
    <col min="7172" max="7172" width="13.375" style="43" customWidth="1"/>
    <col min="7173" max="7173" width="8.875" style="43" customWidth="1"/>
    <col min="7174" max="7174" width="2.875" style="43" customWidth="1"/>
    <col min="7175" max="7175" width="2.375" style="43" customWidth="1"/>
    <col min="7176" max="7176" width="3.125" style="43" customWidth="1"/>
    <col min="7177" max="7177" width="1.625" style="43" customWidth="1"/>
    <col min="7178" max="7178" width="2.5" style="43" customWidth="1"/>
    <col min="7179" max="7180" width="15.25" style="43" customWidth="1"/>
    <col min="7181" max="7181" width="6" style="43" customWidth="1"/>
    <col min="7182" max="7182" width="2.875" style="43" customWidth="1"/>
    <col min="7183" max="7183" width="2.375" style="43" customWidth="1"/>
    <col min="7184" max="7184" width="3.25" style="43" customWidth="1"/>
    <col min="7185" max="7185" width="1.75" style="43" customWidth="1"/>
    <col min="7186" max="7186" width="2.5" style="43" customWidth="1"/>
    <col min="7187" max="7188" width="15.25" style="43" customWidth="1"/>
    <col min="7189" max="7189" width="6.625" style="43" customWidth="1"/>
    <col min="7190" max="7190" width="2.25" style="43" customWidth="1"/>
    <col min="7191" max="7191" width="2.375" style="43" customWidth="1"/>
    <col min="7192" max="7192" width="3.875" style="43" customWidth="1"/>
    <col min="7193" max="7424" width="9" style="43"/>
    <col min="7425" max="7425" width="4.125" style="43" customWidth="1"/>
    <col min="7426" max="7426" width="2.5" style="43" customWidth="1"/>
    <col min="7427" max="7427" width="15.25" style="43" customWidth="1"/>
    <col min="7428" max="7428" width="13.375" style="43" customWidth="1"/>
    <col min="7429" max="7429" width="8.875" style="43" customWidth="1"/>
    <col min="7430" max="7430" width="2.875" style="43" customWidth="1"/>
    <col min="7431" max="7431" width="2.375" style="43" customWidth="1"/>
    <col min="7432" max="7432" width="3.125" style="43" customWidth="1"/>
    <col min="7433" max="7433" width="1.625" style="43" customWidth="1"/>
    <col min="7434" max="7434" width="2.5" style="43" customWidth="1"/>
    <col min="7435" max="7436" width="15.25" style="43" customWidth="1"/>
    <col min="7437" max="7437" width="6" style="43" customWidth="1"/>
    <col min="7438" max="7438" width="2.875" style="43" customWidth="1"/>
    <col min="7439" max="7439" width="2.375" style="43" customWidth="1"/>
    <col min="7440" max="7440" width="3.25" style="43" customWidth="1"/>
    <col min="7441" max="7441" width="1.75" style="43" customWidth="1"/>
    <col min="7442" max="7442" width="2.5" style="43" customWidth="1"/>
    <col min="7443" max="7444" width="15.25" style="43" customWidth="1"/>
    <col min="7445" max="7445" width="6.625" style="43" customWidth="1"/>
    <col min="7446" max="7446" width="2.25" style="43" customWidth="1"/>
    <col min="7447" max="7447" width="2.375" style="43" customWidth="1"/>
    <col min="7448" max="7448" width="3.875" style="43" customWidth="1"/>
    <col min="7449" max="7680" width="9" style="43"/>
    <col min="7681" max="7681" width="4.125" style="43" customWidth="1"/>
    <col min="7682" max="7682" width="2.5" style="43" customWidth="1"/>
    <col min="7683" max="7683" width="15.25" style="43" customWidth="1"/>
    <col min="7684" max="7684" width="13.375" style="43" customWidth="1"/>
    <col min="7685" max="7685" width="8.875" style="43" customWidth="1"/>
    <col min="7686" max="7686" width="2.875" style="43" customWidth="1"/>
    <col min="7687" max="7687" width="2.375" style="43" customWidth="1"/>
    <col min="7688" max="7688" width="3.125" style="43" customWidth="1"/>
    <col min="7689" max="7689" width="1.625" style="43" customWidth="1"/>
    <col min="7690" max="7690" width="2.5" style="43" customWidth="1"/>
    <col min="7691" max="7692" width="15.25" style="43" customWidth="1"/>
    <col min="7693" max="7693" width="6" style="43" customWidth="1"/>
    <col min="7694" max="7694" width="2.875" style="43" customWidth="1"/>
    <col min="7695" max="7695" width="2.375" style="43" customWidth="1"/>
    <col min="7696" max="7696" width="3.25" style="43" customWidth="1"/>
    <col min="7697" max="7697" width="1.75" style="43" customWidth="1"/>
    <col min="7698" max="7698" width="2.5" style="43" customWidth="1"/>
    <col min="7699" max="7700" width="15.25" style="43" customWidth="1"/>
    <col min="7701" max="7701" width="6.625" style="43" customWidth="1"/>
    <col min="7702" max="7702" width="2.25" style="43" customWidth="1"/>
    <col min="7703" max="7703" width="2.375" style="43" customWidth="1"/>
    <col min="7704" max="7704" width="3.875" style="43" customWidth="1"/>
    <col min="7705" max="7936" width="9" style="43"/>
    <col min="7937" max="7937" width="4.125" style="43" customWidth="1"/>
    <col min="7938" max="7938" width="2.5" style="43" customWidth="1"/>
    <col min="7939" max="7939" width="15.25" style="43" customWidth="1"/>
    <col min="7940" max="7940" width="13.375" style="43" customWidth="1"/>
    <col min="7941" max="7941" width="8.875" style="43" customWidth="1"/>
    <col min="7942" max="7942" width="2.875" style="43" customWidth="1"/>
    <col min="7943" max="7943" width="2.375" style="43" customWidth="1"/>
    <col min="7944" max="7944" width="3.125" style="43" customWidth="1"/>
    <col min="7945" max="7945" width="1.625" style="43" customWidth="1"/>
    <col min="7946" max="7946" width="2.5" style="43" customWidth="1"/>
    <col min="7947" max="7948" width="15.25" style="43" customWidth="1"/>
    <col min="7949" max="7949" width="6" style="43" customWidth="1"/>
    <col min="7950" max="7950" width="2.875" style="43" customWidth="1"/>
    <col min="7951" max="7951" width="2.375" style="43" customWidth="1"/>
    <col min="7952" max="7952" width="3.25" style="43" customWidth="1"/>
    <col min="7953" max="7953" width="1.75" style="43" customWidth="1"/>
    <col min="7954" max="7954" width="2.5" style="43" customWidth="1"/>
    <col min="7955" max="7956" width="15.25" style="43" customWidth="1"/>
    <col min="7957" max="7957" width="6.625" style="43" customWidth="1"/>
    <col min="7958" max="7958" width="2.25" style="43" customWidth="1"/>
    <col min="7959" max="7959" width="2.375" style="43" customWidth="1"/>
    <col min="7960" max="7960" width="3.875" style="43" customWidth="1"/>
    <col min="7961" max="8192" width="9" style="43"/>
    <col min="8193" max="8193" width="4.125" style="43" customWidth="1"/>
    <col min="8194" max="8194" width="2.5" style="43" customWidth="1"/>
    <col min="8195" max="8195" width="15.25" style="43" customWidth="1"/>
    <col min="8196" max="8196" width="13.375" style="43" customWidth="1"/>
    <col min="8197" max="8197" width="8.875" style="43" customWidth="1"/>
    <col min="8198" max="8198" width="2.875" style="43" customWidth="1"/>
    <col min="8199" max="8199" width="2.375" style="43" customWidth="1"/>
    <col min="8200" max="8200" width="3.125" style="43" customWidth="1"/>
    <col min="8201" max="8201" width="1.625" style="43" customWidth="1"/>
    <col min="8202" max="8202" width="2.5" style="43" customWidth="1"/>
    <col min="8203" max="8204" width="15.25" style="43" customWidth="1"/>
    <col min="8205" max="8205" width="6" style="43" customWidth="1"/>
    <col min="8206" max="8206" width="2.875" style="43" customWidth="1"/>
    <col min="8207" max="8207" width="2.375" style="43" customWidth="1"/>
    <col min="8208" max="8208" width="3.25" style="43" customWidth="1"/>
    <col min="8209" max="8209" width="1.75" style="43" customWidth="1"/>
    <col min="8210" max="8210" width="2.5" style="43" customWidth="1"/>
    <col min="8211" max="8212" width="15.25" style="43" customWidth="1"/>
    <col min="8213" max="8213" width="6.625" style="43" customWidth="1"/>
    <col min="8214" max="8214" width="2.25" style="43" customWidth="1"/>
    <col min="8215" max="8215" width="2.375" style="43" customWidth="1"/>
    <col min="8216" max="8216" width="3.875" style="43" customWidth="1"/>
    <col min="8217" max="8448" width="9" style="43"/>
    <col min="8449" max="8449" width="4.125" style="43" customWidth="1"/>
    <col min="8450" max="8450" width="2.5" style="43" customWidth="1"/>
    <col min="8451" max="8451" width="15.25" style="43" customWidth="1"/>
    <col min="8452" max="8452" width="13.375" style="43" customWidth="1"/>
    <col min="8453" max="8453" width="8.875" style="43" customWidth="1"/>
    <col min="8454" max="8454" width="2.875" style="43" customWidth="1"/>
    <col min="8455" max="8455" width="2.375" style="43" customWidth="1"/>
    <col min="8456" max="8456" width="3.125" style="43" customWidth="1"/>
    <col min="8457" max="8457" width="1.625" style="43" customWidth="1"/>
    <col min="8458" max="8458" width="2.5" style="43" customWidth="1"/>
    <col min="8459" max="8460" width="15.25" style="43" customWidth="1"/>
    <col min="8461" max="8461" width="6" style="43" customWidth="1"/>
    <col min="8462" max="8462" width="2.875" style="43" customWidth="1"/>
    <col min="8463" max="8463" width="2.375" style="43" customWidth="1"/>
    <col min="8464" max="8464" width="3.25" style="43" customWidth="1"/>
    <col min="8465" max="8465" width="1.75" style="43" customWidth="1"/>
    <col min="8466" max="8466" width="2.5" style="43" customWidth="1"/>
    <col min="8467" max="8468" width="15.25" style="43" customWidth="1"/>
    <col min="8469" max="8469" width="6.625" style="43" customWidth="1"/>
    <col min="8470" max="8470" width="2.25" style="43" customWidth="1"/>
    <col min="8471" max="8471" width="2.375" style="43" customWidth="1"/>
    <col min="8472" max="8472" width="3.875" style="43" customWidth="1"/>
    <col min="8473" max="8704" width="9" style="43"/>
    <col min="8705" max="8705" width="4.125" style="43" customWidth="1"/>
    <col min="8706" max="8706" width="2.5" style="43" customWidth="1"/>
    <col min="8707" max="8707" width="15.25" style="43" customWidth="1"/>
    <col min="8708" max="8708" width="13.375" style="43" customWidth="1"/>
    <col min="8709" max="8709" width="8.875" style="43" customWidth="1"/>
    <col min="8710" max="8710" width="2.875" style="43" customWidth="1"/>
    <col min="8711" max="8711" width="2.375" style="43" customWidth="1"/>
    <col min="8712" max="8712" width="3.125" style="43" customWidth="1"/>
    <col min="8713" max="8713" width="1.625" style="43" customWidth="1"/>
    <col min="8714" max="8714" width="2.5" style="43" customWidth="1"/>
    <col min="8715" max="8716" width="15.25" style="43" customWidth="1"/>
    <col min="8717" max="8717" width="6" style="43" customWidth="1"/>
    <col min="8718" max="8718" width="2.875" style="43" customWidth="1"/>
    <col min="8719" max="8719" width="2.375" style="43" customWidth="1"/>
    <col min="8720" max="8720" width="3.25" style="43" customWidth="1"/>
    <col min="8721" max="8721" width="1.75" style="43" customWidth="1"/>
    <col min="8722" max="8722" width="2.5" style="43" customWidth="1"/>
    <col min="8723" max="8724" width="15.25" style="43" customWidth="1"/>
    <col min="8725" max="8725" width="6.625" style="43" customWidth="1"/>
    <col min="8726" max="8726" width="2.25" style="43" customWidth="1"/>
    <col min="8727" max="8727" width="2.375" style="43" customWidth="1"/>
    <col min="8728" max="8728" width="3.875" style="43" customWidth="1"/>
    <col min="8729" max="8960" width="9" style="43"/>
    <col min="8961" max="8961" width="4.125" style="43" customWidth="1"/>
    <col min="8962" max="8962" width="2.5" style="43" customWidth="1"/>
    <col min="8963" max="8963" width="15.25" style="43" customWidth="1"/>
    <col min="8964" max="8964" width="13.375" style="43" customWidth="1"/>
    <col min="8965" max="8965" width="8.875" style="43" customWidth="1"/>
    <col min="8966" max="8966" width="2.875" style="43" customWidth="1"/>
    <col min="8967" max="8967" width="2.375" style="43" customWidth="1"/>
    <col min="8968" max="8968" width="3.125" style="43" customWidth="1"/>
    <col min="8969" max="8969" width="1.625" style="43" customWidth="1"/>
    <col min="8970" max="8970" width="2.5" style="43" customWidth="1"/>
    <col min="8971" max="8972" width="15.25" style="43" customWidth="1"/>
    <col min="8973" max="8973" width="6" style="43" customWidth="1"/>
    <col min="8974" max="8974" width="2.875" style="43" customWidth="1"/>
    <col min="8975" max="8975" width="2.375" style="43" customWidth="1"/>
    <col min="8976" max="8976" width="3.25" style="43" customWidth="1"/>
    <col min="8977" max="8977" width="1.75" style="43" customWidth="1"/>
    <col min="8978" max="8978" width="2.5" style="43" customWidth="1"/>
    <col min="8979" max="8980" width="15.25" style="43" customWidth="1"/>
    <col min="8981" max="8981" width="6.625" style="43" customWidth="1"/>
    <col min="8982" max="8982" width="2.25" style="43" customWidth="1"/>
    <col min="8983" max="8983" width="2.375" style="43" customWidth="1"/>
    <col min="8984" max="8984" width="3.875" style="43" customWidth="1"/>
    <col min="8985" max="9216" width="9" style="43"/>
    <col min="9217" max="9217" width="4.125" style="43" customWidth="1"/>
    <col min="9218" max="9218" width="2.5" style="43" customWidth="1"/>
    <col min="9219" max="9219" width="15.25" style="43" customWidth="1"/>
    <col min="9220" max="9220" width="13.375" style="43" customWidth="1"/>
    <col min="9221" max="9221" width="8.875" style="43" customWidth="1"/>
    <col min="9222" max="9222" width="2.875" style="43" customWidth="1"/>
    <col min="9223" max="9223" width="2.375" style="43" customWidth="1"/>
    <col min="9224" max="9224" width="3.125" style="43" customWidth="1"/>
    <col min="9225" max="9225" width="1.625" style="43" customWidth="1"/>
    <col min="9226" max="9226" width="2.5" style="43" customWidth="1"/>
    <col min="9227" max="9228" width="15.25" style="43" customWidth="1"/>
    <col min="9229" max="9229" width="6" style="43" customWidth="1"/>
    <col min="9230" max="9230" width="2.875" style="43" customWidth="1"/>
    <col min="9231" max="9231" width="2.375" style="43" customWidth="1"/>
    <col min="9232" max="9232" width="3.25" style="43" customWidth="1"/>
    <col min="9233" max="9233" width="1.75" style="43" customWidth="1"/>
    <col min="9234" max="9234" width="2.5" style="43" customWidth="1"/>
    <col min="9235" max="9236" width="15.25" style="43" customWidth="1"/>
    <col min="9237" max="9237" width="6.625" style="43" customWidth="1"/>
    <col min="9238" max="9238" width="2.25" style="43" customWidth="1"/>
    <col min="9239" max="9239" width="2.375" style="43" customWidth="1"/>
    <col min="9240" max="9240" width="3.875" style="43" customWidth="1"/>
    <col min="9241" max="9472" width="9" style="43"/>
    <col min="9473" max="9473" width="4.125" style="43" customWidth="1"/>
    <col min="9474" max="9474" width="2.5" style="43" customWidth="1"/>
    <col min="9475" max="9475" width="15.25" style="43" customWidth="1"/>
    <col min="9476" max="9476" width="13.375" style="43" customWidth="1"/>
    <col min="9477" max="9477" width="8.875" style="43" customWidth="1"/>
    <col min="9478" max="9478" width="2.875" style="43" customWidth="1"/>
    <col min="9479" max="9479" width="2.375" style="43" customWidth="1"/>
    <col min="9480" max="9480" width="3.125" style="43" customWidth="1"/>
    <col min="9481" max="9481" width="1.625" style="43" customWidth="1"/>
    <col min="9482" max="9482" width="2.5" style="43" customWidth="1"/>
    <col min="9483" max="9484" width="15.25" style="43" customWidth="1"/>
    <col min="9485" max="9485" width="6" style="43" customWidth="1"/>
    <col min="9486" max="9486" width="2.875" style="43" customWidth="1"/>
    <col min="9487" max="9487" width="2.375" style="43" customWidth="1"/>
    <col min="9488" max="9488" width="3.25" style="43" customWidth="1"/>
    <col min="9489" max="9489" width="1.75" style="43" customWidth="1"/>
    <col min="9490" max="9490" width="2.5" style="43" customWidth="1"/>
    <col min="9491" max="9492" width="15.25" style="43" customWidth="1"/>
    <col min="9493" max="9493" width="6.625" style="43" customWidth="1"/>
    <col min="9494" max="9494" width="2.25" style="43" customWidth="1"/>
    <col min="9495" max="9495" width="2.375" style="43" customWidth="1"/>
    <col min="9496" max="9496" width="3.875" style="43" customWidth="1"/>
    <col min="9497" max="9728" width="9" style="43"/>
    <col min="9729" max="9729" width="4.125" style="43" customWidth="1"/>
    <col min="9730" max="9730" width="2.5" style="43" customWidth="1"/>
    <col min="9731" max="9731" width="15.25" style="43" customWidth="1"/>
    <col min="9732" max="9732" width="13.375" style="43" customWidth="1"/>
    <col min="9733" max="9733" width="8.875" style="43" customWidth="1"/>
    <col min="9734" max="9734" width="2.875" style="43" customWidth="1"/>
    <col min="9735" max="9735" width="2.375" style="43" customWidth="1"/>
    <col min="9736" max="9736" width="3.125" style="43" customWidth="1"/>
    <col min="9737" max="9737" width="1.625" style="43" customWidth="1"/>
    <col min="9738" max="9738" width="2.5" style="43" customWidth="1"/>
    <col min="9739" max="9740" width="15.25" style="43" customWidth="1"/>
    <col min="9741" max="9741" width="6" style="43" customWidth="1"/>
    <col min="9742" max="9742" width="2.875" style="43" customWidth="1"/>
    <col min="9743" max="9743" width="2.375" style="43" customWidth="1"/>
    <col min="9744" max="9744" width="3.25" style="43" customWidth="1"/>
    <col min="9745" max="9745" width="1.75" style="43" customWidth="1"/>
    <col min="9746" max="9746" width="2.5" style="43" customWidth="1"/>
    <col min="9747" max="9748" width="15.25" style="43" customWidth="1"/>
    <col min="9749" max="9749" width="6.625" style="43" customWidth="1"/>
    <col min="9750" max="9750" width="2.25" style="43" customWidth="1"/>
    <col min="9751" max="9751" width="2.375" style="43" customWidth="1"/>
    <col min="9752" max="9752" width="3.875" style="43" customWidth="1"/>
    <col min="9753" max="9984" width="9" style="43"/>
    <col min="9985" max="9985" width="4.125" style="43" customWidth="1"/>
    <col min="9986" max="9986" width="2.5" style="43" customWidth="1"/>
    <col min="9987" max="9987" width="15.25" style="43" customWidth="1"/>
    <col min="9988" max="9988" width="13.375" style="43" customWidth="1"/>
    <col min="9989" max="9989" width="8.875" style="43" customWidth="1"/>
    <col min="9990" max="9990" width="2.875" style="43" customWidth="1"/>
    <col min="9991" max="9991" width="2.375" style="43" customWidth="1"/>
    <col min="9992" max="9992" width="3.125" style="43" customWidth="1"/>
    <col min="9993" max="9993" width="1.625" style="43" customWidth="1"/>
    <col min="9994" max="9994" width="2.5" style="43" customWidth="1"/>
    <col min="9995" max="9996" width="15.25" style="43" customWidth="1"/>
    <col min="9997" max="9997" width="6" style="43" customWidth="1"/>
    <col min="9998" max="9998" width="2.875" style="43" customWidth="1"/>
    <col min="9999" max="9999" width="2.375" style="43" customWidth="1"/>
    <col min="10000" max="10000" width="3.25" style="43" customWidth="1"/>
    <col min="10001" max="10001" width="1.75" style="43" customWidth="1"/>
    <col min="10002" max="10002" width="2.5" style="43" customWidth="1"/>
    <col min="10003" max="10004" width="15.25" style="43" customWidth="1"/>
    <col min="10005" max="10005" width="6.625" style="43" customWidth="1"/>
    <col min="10006" max="10006" width="2.25" style="43" customWidth="1"/>
    <col min="10007" max="10007" width="2.375" style="43" customWidth="1"/>
    <col min="10008" max="10008" width="3.875" style="43" customWidth="1"/>
    <col min="10009" max="10240" width="9" style="43"/>
    <col min="10241" max="10241" width="4.125" style="43" customWidth="1"/>
    <col min="10242" max="10242" width="2.5" style="43" customWidth="1"/>
    <col min="10243" max="10243" width="15.25" style="43" customWidth="1"/>
    <col min="10244" max="10244" width="13.375" style="43" customWidth="1"/>
    <col min="10245" max="10245" width="8.875" style="43" customWidth="1"/>
    <col min="10246" max="10246" width="2.875" style="43" customWidth="1"/>
    <col min="10247" max="10247" width="2.375" style="43" customWidth="1"/>
    <col min="10248" max="10248" width="3.125" style="43" customWidth="1"/>
    <col min="10249" max="10249" width="1.625" style="43" customWidth="1"/>
    <col min="10250" max="10250" width="2.5" style="43" customWidth="1"/>
    <col min="10251" max="10252" width="15.25" style="43" customWidth="1"/>
    <col min="10253" max="10253" width="6" style="43" customWidth="1"/>
    <col min="10254" max="10254" width="2.875" style="43" customWidth="1"/>
    <col min="10255" max="10255" width="2.375" style="43" customWidth="1"/>
    <col min="10256" max="10256" width="3.25" style="43" customWidth="1"/>
    <col min="10257" max="10257" width="1.75" style="43" customWidth="1"/>
    <col min="10258" max="10258" width="2.5" style="43" customWidth="1"/>
    <col min="10259" max="10260" width="15.25" style="43" customWidth="1"/>
    <col min="10261" max="10261" width="6.625" style="43" customWidth="1"/>
    <col min="10262" max="10262" width="2.25" style="43" customWidth="1"/>
    <col min="10263" max="10263" width="2.375" style="43" customWidth="1"/>
    <col min="10264" max="10264" width="3.875" style="43" customWidth="1"/>
    <col min="10265" max="10496" width="9" style="43"/>
    <col min="10497" max="10497" width="4.125" style="43" customWidth="1"/>
    <col min="10498" max="10498" width="2.5" style="43" customWidth="1"/>
    <col min="10499" max="10499" width="15.25" style="43" customWidth="1"/>
    <col min="10500" max="10500" width="13.375" style="43" customWidth="1"/>
    <col min="10501" max="10501" width="8.875" style="43" customWidth="1"/>
    <col min="10502" max="10502" width="2.875" style="43" customWidth="1"/>
    <col min="10503" max="10503" width="2.375" style="43" customWidth="1"/>
    <col min="10504" max="10504" width="3.125" style="43" customWidth="1"/>
    <col min="10505" max="10505" width="1.625" style="43" customWidth="1"/>
    <col min="10506" max="10506" width="2.5" style="43" customWidth="1"/>
    <col min="10507" max="10508" width="15.25" style="43" customWidth="1"/>
    <col min="10509" max="10509" width="6" style="43" customWidth="1"/>
    <col min="10510" max="10510" width="2.875" style="43" customWidth="1"/>
    <col min="10511" max="10511" width="2.375" style="43" customWidth="1"/>
    <col min="10512" max="10512" width="3.25" style="43" customWidth="1"/>
    <col min="10513" max="10513" width="1.75" style="43" customWidth="1"/>
    <col min="10514" max="10514" width="2.5" style="43" customWidth="1"/>
    <col min="10515" max="10516" width="15.25" style="43" customWidth="1"/>
    <col min="10517" max="10517" width="6.625" style="43" customWidth="1"/>
    <col min="10518" max="10518" width="2.25" style="43" customWidth="1"/>
    <col min="10519" max="10519" width="2.375" style="43" customWidth="1"/>
    <col min="10520" max="10520" width="3.875" style="43" customWidth="1"/>
    <col min="10521" max="10752" width="9" style="43"/>
    <col min="10753" max="10753" width="4.125" style="43" customWidth="1"/>
    <col min="10754" max="10754" width="2.5" style="43" customWidth="1"/>
    <col min="10755" max="10755" width="15.25" style="43" customWidth="1"/>
    <col min="10756" max="10756" width="13.375" style="43" customWidth="1"/>
    <col min="10757" max="10757" width="8.875" style="43" customWidth="1"/>
    <col min="10758" max="10758" width="2.875" style="43" customWidth="1"/>
    <col min="10759" max="10759" width="2.375" style="43" customWidth="1"/>
    <col min="10760" max="10760" width="3.125" style="43" customWidth="1"/>
    <col min="10761" max="10761" width="1.625" style="43" customWidth="1"/>
    <col min="10762" max="10762" width="2.5" style="43" customWidth="1"/>
    <col min="10763" max="10764" width="15.25" style="43" customWidth="1"/>
    <col min="10765" max="10765" width="6" style="43" customWidth="1"/>
    <col min="10766" max="10766" width="2.875" style="43" customWidth="1"/>
    <col min="10767" max="10767" width="2.375" style="43" customWidth="1"/>
    <col min="10768" max="10768" width="3.25" style="43" customWidth="1"/>
    <col min="10769" max="10769" width="1.75" style="43" customWidth="1"/>
    <col min="10770" max="10770" width="2.5" style="43" customWidth="1"/>
    <col min="10771" max="10772" width="15.25" style="43" customWidth="1"/>
    <col min="10773" max="10773" width="6.625" style="43" customWidth="1"/>
    <col min="10774" max="10774" width="2.25" style="43" customWidth="1"/>
    <col min="10775" max="10775" width="2.375" style="43" customWidth="1"/>
    <col min="10776" max="10776" width="3.875" style="43" customWidth="1"/>
    <col min="10777" max="11008" width="9" style="43"/>
    <col min="11009" max="11009" width="4.125" style="43" customWidth="1"/>
    <col min="11010" max="11010" width="2.5" style="43" customWidth="1"/>
    <col min="11011" max="11011" width="15.25" style="43" customWidth="1"/>
    <col min="11012" max="11012" width="13.375" style="43" customWidth="1"/>
    <col min="11013" max="11013" width="8.875" style="43" customWidth="1"/>
    <col min="11014" max="11014" width="2.875" style="43" customWidth="1"/>
    <col min="11015" max="11015" width="2.375" style="43" customWidth="1"/>
    <col min="11016" max="11016" width="3.125" style="43" customWidth="1"/>
    <col min="11017" max="11017" width="1.625" style="43" customWidth="1"/>
    <col min="11018" max="11018" width="2.5" style="43" customWidth="1"/>
    <col min="11019" max="11020" width="15.25" style="43" customWidth="1"/>
    <col min="11021" max="11021" width="6" style="43" customWidth="1"/>
    <col min="11022" max="11022" width="2.875" style="43" customWidth="1"/>
    <col min="11023" max="11023" width="2.375" style="43" customWidth="1"/>
    <col min="11024" max="11024" width="3.25" style="43" customWidth="1"/>
    <col min="11025" max="11025" width="1.75" style="43" customWidth="1"/>
    <col min="11026" max="11026" width="2.5" style="43" customWidth="1"/>
    <col min="11027" max="11028" width="15.25" style="43" customWidth="1"/>
    <col min="11029" max="11029" width="6.625" style="43" customWidth="1"/>
    <col min="11030" max="11030" width="2.25" style="43" customWidth="1"/>
    <col min="11031" max="11031" width="2.375" style="43" customWidth="1"/>
    <col min="11032" max="11032" width="3.875" style="43" customWidth="1"/>
    <col min="11033" max="11264" width="9" style="43"/>
    <col min="11265" max="11265" width="4.125" style="43" customWidth="1"/>
    <col min="11266" max="11266" width="2.5" style="43" customWidth="1"/>
    <col min="11267" max="11267" width="15.25" style="43" customWidth="1"/>
    <col min="11268" max="11268" width="13.375" style="43" customWidth="1"/>
    <col min="11269" max="11269" width="8.875" style="43" customWidth="1"/>
    <col min="11270" max="11270" width="2.875" style="43" customWidth="1"/>
    <col min="11271" max="11271" width="2.375" style="43" customWidth="1"/>
    <col min="11272" max="11272" width="3.125" style="43" customWidth="1"/>
    <col min="11273" max="11273" width="1.625" style="43" customWidth="1"/>
    <col min="11274" max="11274" width="2.5" style="43" customWidth="1"/>
    <col min="11275" max="11276" width="15.25" style="43" customWidth="1"/>
    <col min="11277" max="11277" width="6" style="43" customWidth="1"/>
    <col min="11278" max="11278" width="2.875" style="43" customWidth="1"/>
    <col min="11279" max="11279" width="2.375" style="43" customWidth="1"/>
    <col min="11280" max="11280" width="3.25" style="43" customWidth="1"/>
    <col min="11281" max="11281" width="1.75" style="43" customWidth="1"/>
    <col min="11282" max="11282" width="2.5" style="43" customWidth="1"/>
    <col min="11283" max="11284" width="15.25" style="43" customWidth="1"/>
    <col min="11285" max="11285" width="6.625" style="43" customWidth="1"/>
    <col min="11286" max="11286" width="2.25" style="43" customWidth="1"/>
    <col min="11287" max="11287" width="2.375" style="43" customWidth="1"/>
    <col min="11288" max="11288" width="3.875" style="43" customWidth="1"/>
    <col min="11289" max="11520" width="9" style="43"/>
    <col min="11521" max="11521" width="4.125" style="43" customWidth="1"/>
    <col min="11522" max="11522" width="2.5" style="43" customWidth="1"/>
    <col min="11523" max="11523" width="15.25" style="43" customWidth="1"/>
    <col min="11524" max="11524" width="13.375" style="43" customWidth="1"/>
    <col min="11525" max="11525" width="8.875" style="43" customWidth="1"/>
    <col min="11526" max="11526" width="2.875" style="43" customWidth="1"/>
    <col min="11527" max="11527" width="2.375" style="43" customWidth="1"/>
    <col min="11528" max="11528" width="3.125" style="43" customWidth="1"/>
    <col min="11529" max="11529" width="1.625" style="43" customWidth="1"/>
    <col min="11530" max="11530" width="2.5" style="43" customWidth="1"/>
    <col min="11531" max="11532" width="15.25" style="43" customWidth="1"/>
    <col min="11533" max="11533" width="6" style="43" customWidth="1"/>
    <col min="11534" max="11534" width="2.875" style="43" customWidth="1"/>
    <col min="11535" max="11535" width="2.375" style="43" customWidth="1"/>
    <col min="11536" max="11536" width="3.25" style="43" customWidth="1"/>
    <col min="11537" max="11537" width="1.75" style="43" customWidth="1"/>
    <col min="11538" max="11538" width="2.5" style="43" customWidth="1"/>
    <col min="11539" max="11540" width="15.25" style="43" customWidth="1"/>
    <col min="11541" max="11541" width="6.625" style="43" customWidth="1"/>
    <col min="11542" max="11542" width="2.25" style="43" customWidth="1"/>
    <col min="11543" max="11543" width="2.375" style="43" customWidth="1"/>
    <col min="11544" max="11544" width="3.875" style="43" customWidth="1"/>
    <col min="11545" max="11776" width="9" style="43"/>
    <col min="11777" max="11777" width="4.125" style="43" customWidth="1"/>
    <col min="11778" max="11778" width="2.5" style="43" customWidth="1"/>
    <col min="11779" max="11779" width="15.25" style="43" customWidth="1"/>
    <col min="11780" max="11780" width="13.375" style="43" customWidth="1"/>
    <col min="11781" max="11781" width="8.875" style="43" customWidth="1"/>
    <col min="11782" max="11782" width="2.875" style="43" customWidth="1"/>
    <col min="11783" max="11783" width="2.375" style="43" customWidth="1"/>
    <col min="11784" max="11784" width="3.125" style="43" customWidth="1"/>
    <col min="11785" max="11785" width="1.625" style="43" customWidth="1"/>
    <col min="11786" max="11786" width="2.5" style="43" customWidth="1"/>
    <col min="11787" max="11788" width="15.25" style="43" customWidth="1"/>
    <col min="11789" max="11789" width="6" style="43" customWidth="1"/>
    <col min="11790" max="11790" width="2.875" style="43" customWidth="1"/>
    <col min="11791" max="11791" width="2.375" style="43" customWidth="1"/>
    <col min="11792" max="11792" width="3.25" style="43" customWidth="1"/>
    <col min="11793" max="11793" width="1.75" style="43" customWidth="1"/>
    <col min="11794" max="11794" width="2.5" style="43" customWidth="1"/>
    <col min="11795" max="11796" width="15.25" style="43" customWidth="1"/>
    <col min="11797" max="11797" width="6.625" style="43" customWidth="1"/>
    <col min="11798" max="11798" width="2.25" style="43" customWidth="1"/>
    <col min="11799" max="11799" width="2.375" style="43" customWidth="1"/>
    <col min="11800" max="11800" width="3.875" style="43" customWidth="1"/>
    <col min="11801" max="12032" width="9" style="43"/>
    <col min="12033" max="12033" width="4.125" style="43" customWidth="1"/>
    <col min="12034" max="12034" width="2.5" style="43" customWidth="1"/>
    <col min="12035" max="12035" width="15.25" style="43" customWidth="1"/>
    <col min="12036" max="12036" width="13.375" style="43" customWidth="1"/>
    <col min="12037" max="12037" width="8.875" style="43" customWidth="1"/>
    <col min="12038" max="12038" width="2.875" style="43" customWidth="1"/>
    <col min="12039" max="12039" width="2.375" style="43" customWidth="1"/>
    <col min="12040" max="12040" width="3.125" style="43" customWidth="1"/>
    <col min="12041" max="12041" width="1.625" style="43" customWidth="1"/>
    <col min="12042" max="12042" width="2.5" style="43" customWidth="1"/>
    <col min="12043" max="12044" width="15.25" style="43" customWidth="1"/>
    <col min="12045" max="12045" width="6" style="43" customWidth="1"/>
    <col min="12046" max="12046" width="2.875" style="43" customWidth="1"/>
    <col min="12047" max="12047" width="2.375" style="43" customWidth="1"/>
    <col min="12048" max="12048" width="3.25" style="43" customWidth="1"/>
    <col min="12049" max="12049" width="1.75" style="43" customWidth="1"/>
    <col min="12050" max="12050" width="2.5" style="43" customWidth="1"/>
    <col min="12051" max="12052" width="15.25" style="43" customWidth="1"/>
    <col min="12053" max="12053" width="6.625" style="43" customWidth="1"/>
    <col min="12054" max="12054" width="2.25" style="43" customWidth="1"/>
    <col min="12055" max="12055" width="2.375" style="43" customWidth="1"/>
    <col min="12056" max="12056" width="3.875" style="43" customWidth="1"/>
    <col min="12057" max="12288" width="9" style="43"/>
    <col min="12289" max="12289" width="4.125" style="43" customWidth="1"/>
    <col min="12290" max="12290" width="2.5" style="43" customWidth="1"/>
    <col min="12291" max="12291" width="15.25" style="43" customWidth="1"/>
    <col min="12292" max="12292" width="13.375" style="43" customWidth="1"/>
    <col min="12293" max="12293" width="8.875" style="43" customWidth="1"/>
    <col min="12294" max="12294" width="2.875" style="43" customWidth="1"/>
    <col min="12295" max="12295" width="2.375" style="43" customWidth="1"/>
    <col min="12296" max="12296" width="3.125" style="43" customWidth="1"/>
    <col min="12297" max="12297" width="1.625" style="43" customWidth="1"/>
    <col min="12298" max="12298" width="2.5" style="43" customWidth="1"/>
    <col min="12299" max="12300" width="15.25" style="43" customWidth="1"/>
    <col min="12301" max="12301" width="6" style="43" customWidth="1"/>
    <col min="12302" max="12302" width="2.875" style="43" customWidth="1"/>
    <col min="12303" max="12303" width="2.375" style="43" customWidth="1"/>
    <col min="12304" max="12304" width="3.25" style="43" customWidth="1"/>
    <col min="12305" max="12305" width="1.75" style="43" customWidth="1"/>
    <col min="12306" max="12306" width="2.5" style="43" customWidth="1"/>
    <col min="12307" max="12308" width="15.25" style="43" customWidth="1"/>
    <col min="12309" max="12309" width="6.625" style="43" customWidth="1"/>
    <col min="12310" max="12310" width="2.25" style="43" customWidth="1"/>
    <col min="12311" max="12311" width="2.375" style="43" customWidth="1"/>
    <col min="12312" max="12312" width="3.875" style="43" customWidth="1"/>
    <col min="12313" max="12544" width="9" style="43"/>
    <col min="12545" max="12545" width="4.125" style="43" customWidth="1"/>
    <col min="12546" max="12546" width="2.5" style="43" customWidth="1"/>
    <col min="12547" max="12547" width="15.25" style="43" customWidth="1"/>
    <col min="12548" max="12548" width="13.375" style="43" customWidth="1"/>
    <col min="12549" max="12549" width="8.875" style="43" customWidth="1"/>
    <col min="12550" max="12550" width="2.875" style="43" customWidth="1"/>
    <col min="12551" max="12551" width="2.375" style="43" customWidth="1"/>
    <col min="12552" max="12552" width="3.125" style="43" customWidth="1"/>
    <col min="12553" max="12553" width="1.625" style="43" customWidth="1"/>
    <col min="12554" max="12554" width="2.5" style="43" customWidth="1"/>
    <col min="12555" max="12556" width="15.25" style="43" customWidth="1"/>
    <col min="12557" max="12557" width="6" style="43" customWidth="1"/>
    <col min="12558" max="12558" width="2.875" style="43" customWidth="1"/>
    <col min="12559" max="12559" width="2.375" style="43" customWidth="1"/>
    <col min="12560" max="12560" width="3.25" style="43" customWidth="1"/>
    <col min="12561" max="12561" width="1.75" style="43" customWidth="1"/>
    <col min="12562" max="12562" width="2.5" style="43" customWidth="1"/>
    <col min="12563" max="12564" width="15.25" style="43" customWidth="1"/>
    <col min="12565" max="12565" width="6.625" style="43" customWidth="1"/>
    <col min="12566" max="12566" width="2.25" style="43" customWidth="1"/>
    <col min="12567" max="12567" width="2.375" style="43" customWidth="1"/>
    <col min="12568" max="12568" width="3.875" style="43" customWidth="1"/>
    <col min="12569" max="12800" width="9" style="43"/>
    <col min="12801" max="12801" width="4.125" style="43" customWidth="1"/>
    <col min="12802" max="12802" width="2.5" style="43" customWidth="1"/>
    <col min="12803" max="12803" width="15.25" style="43" customWidth="1"/>
    <col min="12804" max="12804" width="13.375" style="43" customWidth="1"/>
    <col min="12805" max="12805" width="8.875" style="43" customWidth="1"/>
    <col min="12806" max="12806" width="2.875" style="43" customWidth="1"/>
    <col min="12807" max="12807" width="2.375" style="43" customWidth="1"/>
    <col min="12808" max="12808" width="3.125" style="43" customWidth="1"/>
    <col min="12809" max="12809" width="1.625" style="43" customWidth="1"/>
    <col min="12810" max="12810" width="2.5" style="43" customWidth="1"/>
    <col min="12811" max="12812" width="15.25" style="43" customWidth="1"/>
    <col min="12813" max="12813" width="6" style="43" customWidth="1"/>
    <col min="12814" max="12814" width="2.875" style="43" customWidth="1"/>
    <col min="12815" max="12815" width="2.375" style="43" customWidth="1"/>
    <col min="12816" max="12816" width="3.25" style="43" customWidth="1"/>
    <col min="12817" max="12817" width="1.75" style="43" customWidth="1"/>
    <col min="12818" max="12818" width="2.5" style="43" customWidth="1"/>
    <col min="12819" max="12820" width="15.25" style="43" customWidth="1"/>
    <col min="12821" max="12821" width="6.625" style="43" customWidth="1"/>
    <col min="12822" max="12822" width="2.25" style="43" customWidth="1"/>
    <col min="12823" max="12823" width="2.375" style="43" customWidth="1"/>
    <col min="12824" max="12824" width="3.875" style="43" customWidth="1"/>
    <col min="12825" max="13056" width="9" style="43"/>
    <col min="13057" max="13057" width="4.125" style="43" customWidth="1"/>
    <col min="13058" max="13058" width="2.5" style="43" customWidth="1"/>
    <col min="13059" max="13059" width="15.25" style="43" customWidth="1"/>
    <col min="13060" max="13060" width="13.375" style="43" customWidth="1"/>
    <col min="13061" max="13061" width="8.875" style="43" customWidth="1"/>
    <col min="13062" max="13062" width="2.875" style="43" customWidth="1"/>
    <col min="13063" max="13063" width="2.375" style="43" customWidth="1"/>
    <col min="13064" max="13064" width="3.125" style="43" customWidth="1"/>
    <col min="13065" max="13065" width="1.625" style="43" customWidth="1"/>
    <col min="13066" max="13066" width="2.5" style="43" customWidth="1"/>
    <col min="13067" max="13068" width="15.25" style="43" customWidth="1"/>
    <col min="13069" max="13069" width="6" style="43" customWidth="1"/>
    <col min="13070" max="13070" width="2.875" style="43" customWidth="1"/>
    <col min="13071" max="13071" width="2.375" style="43" customWidth="1"/>
    <col min="13072" max="13072" width="3.25" style="43" customWidth="1"/>
    <col min="13073" max="13073" width="1.75" style="43" customWidth="1"/>
    <col min="13074" max="13074" width="2.5" style="43" customWidth="1"/>
    <col min="13075" max="13076" width="15.25" style="43" customWidth="1"/>
    <col min="13077" max="13077" width="6.625" style="43" customWidth="1"/>
    <col min="13078" max="13078" width="2.25" style="43" customWidth="1"/>
    <col min="13079" max="13079" width="2.375" style="43" customWidth="1"/>
    <col min="13080" max="13080" width="3.875" style="43" customWidth="1"/>
    <col min="13081" max="13312" width="9" style="43"/>
    <col min="13313" max="13313" width="4.125" style="43" customWidth="1"/>
    <col min="13314" max="13314" width="2.5" style="43" customWidth="1"/>
    <col min="13315" max="13315" width="15.25" style="43" customWidth="1"/>
    <col min="13316" max="13316" width="13.375" style="43" customWidth="1"/>
    <col min="13317" max="13317" width="8.875" style="43" customWidth="1"/>
    <col min="13318" max="13318" width="2.875" style="43" customWidth="1"/>
    <col min="13319" max="13319" width="2.375" style="43" customWidth="1"/>
    <col min="13320" max="13320" width="3.125" style="43" customWidth="1"/>
    <col min="13321" max="13321" width="1.625" style="43" customWidth="1"/>
    <col min="13322" max="13322" width="2.5" style="43" customWidth="1"/>
    <col min="13323" max="13324" width="15.25" style="43" customWidth="1"/>
    <col min="13325" max="13325" width="6" style="43" customWidth="1"/>
    <col min="13326" max="13326" width="2.875" style="43" customWidth="1"/>
    <col min="13327" max="13327" width="2.375" style="43" customWidth="1"/>
    <col min="13328" max="13328" width="3.25" style="43" customWidth="1"/>
    <col min="13329" max="13329" width="1.75" style="43" customWidth="1"/>
    <col min="13330" max="13330" width="2.5" style="43" customWidth="1"/>
    <col min="13331" max="13332" width="15.25" style="43" customWidth="1"/>
    <col min="13333" max="13333" width="6.625" style="43" customWidth="1"/>
    <col min="13334" max="13334" width="2.25" style="43" customWidth="1"/>
    <col min="13335" max="13335" width="2.375" style="43" customWidth="1"/>
    <col min="13336" max="13336" width="3.875" style="43" customWidth="1"/>
    <col min="13337" max="13568" width="9" style="43"/>
    <col min="13569" max="13569" width="4.125" style="43" customWidth="1"/>
    <col min="13570" max="13570" width="2.5" style="43" customWidth="1"/>
    <col min="13571" max="13571" width="15.25" style="43" customWidth="1"/>
    <col min="13572" max="13572" width="13.375" style="43" customWidth="1"/>
    <col min="13573" max="13573" width="8.875" style="43" customWidth="1"/>
    <col min="13574" max="13574" width="2.875" style="43" customWidth="1"/>
    <col min="13575" max="13575" width="2.375" style="43" customWidth="1"/>
    <col min="13576" max="13576" width="3.125" style="43" customWidth="1"/>
    <col min="13577" max="13577" width="1.625" style="43" customWidth="1"/>
    <col min="13578" max="13578" width="2.5" style="43" customWidth="1"/>
    <col min="13579" max="13580" width="15.25" style="43" customWidth="1"/>
    <col min="13581" max="13581" width="6" style="43" customWidth="1"/>
    <col min="13582" max="13582" width="2.875" style="43" customWidth="1"/>
    <col min="13583" max="13583" width="2.375" style="43" customWidth="1"/>
    <col min="13584" max="13584" width="3.25" style="43" customWidth="1"/>
    <col min="13585" max="13585" width="1.75" style="43" customWidth="1"/>
    <col min="13586" max="13586" width="2.5" style="43" customWidth="1"/>
    <col min="13587" max="13588" width="15.25" style="43" customWidth="1"/>
    <col min="13589" max="13589" width="6.625" style="43" customWidth="1"/>
    <col min="13590" max="13590" width="2.25" style="43" customWidth="1"/>
    <col min="13591" max="13591" width="2.375" style="43" customWidth="1"/>
    <col min="13592" max="13592" width="3.875" style="43" customWidth="1"/>
    <col min="13593" max="13824" width="9" style="43"/>
    <col min="13825" max="13825" width="4.125" style="43" customWidth="1"/>
    <col min="13826" max="13826" width="2.5" style="43" customWidth="1"/>
    <col min="13827" max="13827" width="15.25" style="43" customWidth="1"/>
    <col min="13828" max="13828" width="13.375" style="43" customWidth="1"/>
    <col min="13829" max="13829" width="8.875" style="43" customWidth="1"/>
    <col min="13830" max="13830" width="2.875" style="43" customWidth="1"/>
    <col min="13831" max="13831" width="2.375" style="43" customWidth="1"/>
    <col min="13832" max="13832" width="3.125" style="43" customWidth="1"/>
    <col min="13833" max="13833" width="1.625" style="43" customWidth="1"/>
    <col min="13834" max="13834" width="2.5" style="43" customWidth="1"/>
    <col min="13835" max="13836" width="15.25" style="43" customWidth="1"/>
    <col min="13837" max="13837" width="6" style="43" customWidth="1"/>
    <col min="13838" max="13838" width="2.875" style="43" customWidth="1"/>
    <col min="13839" max="13839" width="2.375" style="43" customWidth="1"/>
    <col min="13840" max="13840" width="3.25" style="43" customWidth="1"/>
    <col min="13841" max="13841" width="1.75" style="43" customWidth="1"/>
    <col min="13842" max="13842" width="2.5" style="43" customWidth="1"/>
    <col min="13843" max="13844" width="15.25" style="43" customWidth="1"/>
    <col min="13845" max="13845" width="6.625" style="43" customWidth="1"/>
    <col min="13846" max="13846" width="2.25" style="43" customWidth="1"/>
    <col min="13847" max="13847" width="2.375" style="43" customWidth="1"/>
    <col min="13848" max="13848" width="3.875" style="43" customWidth="1"/>
    <col min="13849" max="14080" width="9" style="43"/>
    <col min="14081" max="14081" width="4.125" style="43" customWidth="1"/>
    <col min="14082" max="14082" width="2.5" style="43" customWidth="1"/>
    <col min="14083" max="14083" width="15.25" style="43" customWidth="1"/>
    <col min="14084" max="14084" width="13.375" style="43" customWidth="1"/>
    <col min="14085" max="14085" width="8.875" style="43" customWidth="1"/>
    <col min="14086" max="14086" width="2.875" style="43" customWidth="1"/>
    <col min="14087" max="14087" width="2.375" style="43" customWidth="1"/>
    <col min="14088" max="14088" width="3.125" style="43" customWidth="1"/>
    <col min="14089" max="14089" width="1.625" style="43" customWidth="1"/>
    <col min="14090" max="14090" width="2.5" style="43" customWidth="1"/>
    <col min="14091" max="14092" width="15.25" style="43" customWidth="1"/>
    <col min="14093" max="14093" width="6" style="43" customWidth="1"/>
    <col min="14094" max="14094" width="2.875" style="43" customWidth="1"/>
    <col min="14095" max="14095" width="2.375" style="43" customWidth="1"/>
    <col min="14096" max="14096" width="3.25" style="43" customWidth="1"/>
    <col min="14097" max="14097" width="1.75" style="43" customWidth="1"/>
    <col min="14098" max="14098" width="2.5" style="43" customWidth="1"/>
    <col min="14099" max="14100" width="15.25" style="43" customWidth="1"/>
    <col min="14101" max="14101" width="6.625" style="43" customWidth="1"/>
    <col min="14102" max="14102" width="2.25" style="43" customWidth="1"/>
    <col min="14103" max="14103" width="2.375" style="43" customWidth="1"/>
    <col min="14104" max="14104" width="3.875" style="43" customWidth="1"/>
    <col min="14105" max="14336" width="9" style="43"/>
    <col min="14337" max="14337" width="4.125" style="43" customWidth="1"/>
    <col min="14338" max="14338" width="2.5" style="43" customWidth="1"/>
    <col min="14339" max="14339" width="15.25" style="43" customWidth="1"/>
    <col min="14340" max="14340" width="13.375" style="43" customWidth="1"/>
    <col min="14341" max="14341" width="8.875" style="43" customWidth="1"/>
    <col min="14342" max="14342" width="2.875" style="43" customWidth="1"/>
    <col min="14343" max="14343" width="2.375" style="43" customWidth="1"/>
    <col min="14344" max="14344" width="3.125" style="43" customWidth="1"/>
    <col min="14345" max="14345" width="1.625" style="43" customWidth="1"/>
    <col min="14346" max="14346" width="2.5" style="43" customWidth="1"/>
    <col min="14347" max="14348" width="15.25" style="43" customWidth="1"/>
    <col min="14349" max="14349" width="6" style="43" customWidth="1"/>
    <col min="14350" max="14350" width="2.875" style="43" customWidth="1"/>
    <col min="14351" max="14351" width="2.375" style="43" customWidth="1"/>
    <col min="14352" max="14352" width="3.25" style="43" customWidth="1"/>
    <col min="14353" max="14353" width="1.75" style="43" customWidth="1"/>
    <col min="14354" max="14354" width="2.5" style="43" customWidth="1"/>
    <col min="14355" max="14356" width="15.25" style="43" customWidth="1"/>
    <col min="14357" max="14357" width="6.625" style="43" customWidth="1"/>
    <col min="14358" max="14358" width="2.25" style="43" customWidth="1"/>
    <col min="14359" max="14359" width="2.375" style="43" customWidth="1"/>
    <col min="14360" max="14360" width="3.875" style="43" customWidth="1"/>
    <col min="14361" max="14592" width="9" style="43"/>
    <col min="14593" max="14593" width="4.125" style="43" customWidth="1"/>
    <col min="14594" max="14594" width="2.5" style="43" customWidth="1"/>
    <col min="14595" max="14595" width="15.25" style="43" customWidth="1"/>
    <col min="14596" max="14596" width="13.375" style="43" customWidth="1"/>
    <col min="14597" max="14597" width="8.875" style="43" customWidth="1"/>
    <col min="14598" max="14598" width="2.875" style="43" customWidth="1"/>
    <col min="14599" max="14599" width="2.375" style="43" customWidth="1"/>
    <col min="14600" max="14600" width="3.125" style="43" customWidth="1"/>
    <col min="14601" max="14601" width="1.625" style="43" customWidth="1"/>
    <col min="14602" max="14602" width="2.5" style="43" customWidth="1"/>
    <col min="14603" max="14604" width="15.25" style="43" customWidth="1"/>
    <col min="14605" max="14605" width="6" style="43" customWidth="1"/>
    <col min="14606" max="14606" width="2.875" style="43" customWidth="1"/>
    <col min="14607" max="14607" width="2.375" style="43" customWidth="1"/>
    <col min="14608" max="14608" width="3.25" style="43" customWidth="1"/>
    <col min="14609" max="14609" width="1.75" style="43" customWidth="1"/>
    <col min="14610" max="14610" width="2.5" style="43" customWidth="1"/>
    <col min="14611" max="14612" width="15.25" style="43" customWidth="1"/>
    <col min="14613" max="14613" width="6.625" style="43" customWidth="1"/>
    <col min="14614" max="14614" width="2.25" style="43" customWidth="1"/>
    <col min="14615" max="14615" width="2.375" style="43" customWidth="1"/>
    <col min="14616" max="14616" width="3.875" style="43" customWidth="1"/>
    <col min="14617" max="14848" width="9" style="43"/>
    <col min="14849" max="14849" width="4.125" style="43" customWidth="1"/>
    <col min="14850" max="14850" width="2.5" style="43" customWidth="1"/>
    <col min="14851" max="14851" width="15.25" style="43" customWidth="1"/>
    <col min="14852" max="14852" width="13.375" style="43" customWidth="1"/>
    <col min="14853" max="14853" width="8.875" style="43" customWidth="1"/>
    <col min="14854" max="14854" width="2.875" style="43" customWidth="1"/>
    <col min="14855" max="14855" width="2.375" style="43" customWidth="1"/>
    <col min="14856" max="14856" width="3.125" style="43" customWidth="1"/>
    <col min="14857" max="14857" width="1.625" style="43" customWidth="1"/>
    <col min="14858" max="14858" width="2.5" style="43" customWidth="1"/>
    <col min="14859" max="14860" width="15.25" style="43" customWidth="1"/>
    <col min="14861" max="14861" width="6" style="43" customWidth="1"/>
    <col min="14862" max="14862" width="2.875" style="43" customWidth="1"/>
    <col min="14863" max="14863" width="2.375" style="43" customWidth="1"/>
    <col min="14864" max="14864" width="3.25" style="43" customWidth="1"/>
    <col min="14865" max="14865" width="1.75" style="43" customWidth="1"/>
    <col min="14866" max="14866" width="2.5" style="43" customWidth="1"/>
    <col min="14867" max="14868" width="15.25" style="43" customWidth="1"/>
    <col min="14869" max="14869" width="6.625" style="43" customWidth="1"/>
    <col min="14870" max="14870" width="2.25" style="43" customWidth="1"/>
    <col min="14871" max="14871" width="2.375" style="43" customWidth="1"/>
    <col min="14872" max="14872" width="3.875" style="43" customWidth="1"/>
    <col min="14873" max="15104" width="9" style="43"/>
    <col min="15105" max="15105" width="4.125" style="43" customWidth="1"/>
    <col min="15106" max="15106" width="2.5" style="43" customWidth="1"/>
    <col min="15107" max="15107" width="15.25" style="43" customWidth="1"/>
    <col min="15108" max="15108" width="13.375" style="43" customWidth="1"/>
    <col min="15109" max="15109" width="8.875" style="43" customWidth="1"/>
    <col min="15110" max="15110" width="2.875" style="43" customWidth="1"/>
    <col min="15111" max="15111" width="2.375" style="43" customWidth="1"/>
    <col min="15112" max="15112" width="3.125" style="43" customWidth="1"/>
    <col min="15113" max="15113" width="1.625" style="43" customWidth="1"/>
    <col min="15114" max="15114" width="2.5" style="43" customWidth="1"/>
    <col min="15115" max="15116" width="15.25" style="43" customWidth="1"/>
    <col min="15117" max="15117" width="6" style="43" customWidth="1"/>
    <col min="15118" max="15118" width="2.875" style="43" customWidth="1"/>
    <col min="15119" max="15119" width="2.375" style="43" customWidth="1"/>
    <col min="15120" max="15120" width="3.25" style="43" customWidth="1"/>
    <col min="15121" max="15121" width="1.75" style="43" customWidth="1"/>
    <col min="15122" max="15122" width="2.5" style="43" customWidth="1"/>
    <col min="15123" max="15124" width="15.25" style="43" customWidth="1"/>
    <col min="15125" max="15125" width="6.625" style="43" customWidth="1"/>
    <col min="15126" max="15126" width="2.25" style="43" customWidth="1"/>
    <col min="15127" max="15127" width="2.375" style="43" customWidth="1"/>
    <col min="15128" max="15128" width="3.875" style="43" customWidth="1"/>
    <col min="15129" max="15360" width="9" style="43"/>
    <col min="15361" max="15361" width="4.125" style="43" customWidth="1"/>
    <col min="15362" max="15362" width="2.5" style="43" customWidth="1"/>
    <col min="15363" max="15363" width="15.25" style="43" customWidth="1"/>
    <col min="15364" max="15364" width="13.375" style="43" customWidth="1"/>
    <col min="15365" max="15365" width="8.875" style="43" customWidth="1"/>
    <col min="15366" max="15366" width="2.875" style="43" customWidth="1"/>
    <col min="15367" max="15367" width="2.375" style="43" customWidth="1"/>
    <col min="15368" max="15368" width="3.125" style="43" customWidth="1"/>
    <col min="15369" max="15369" width="1.625" style="43" customWidth="1"/>
    <col min="15370" max="15370" width="2.5" style="43" customWidth="1"/>
    <col min="15371" max="15372" width="15.25" style="43" customWidth="1"/>
    <col min="15373" max="15373" width="6" style="43" customWidth="1"/>
    <col min="15374" max="15374" width="2.875" style="43" customWidth="1"/>
    <col min="15375" max="15375" width="2.375" style="43" customWidth="1"/>
    <col min="15376" max="15376" width="3.25" style="43" customWidth="1"/>
    <col min="15377" max="15377" width="1.75" style="43" customWidth="1"/>
    <col min="15378" max="15378" width="2.5" style="43" customWidth="1"/>
    <col min="15379" max="15380" width="15.25" style="43" customWidth="1"/>
    <col min="15381" max="15381" width="6.625" style="43" customWidth="1"/>
    <col min="15382" max="15382" width="2.25" style="43" customWidth="1"/>
    <col min="15383" max="15383" width="2.375" style="43" customWidth="1"/>
    <col min="15384" max="15384" width="3.875" style="43" customWidth="1"/>
    <col min="15385" max="15616" width="9" style="43"/>
    <col min="15617" max="15617" width="4.125" style="43" customWidth="1"/>
    <col min="15618" max="15618" width="2.5" style="43" customWidth="1"/>
    <col min="15619" max="15619" width="15.25" style="43" customWidth="1"/>
    <col min="15620" max="15620" width="13.375" style="43" customWidth="1"/>
    <col min="15621" max="15621" width="8.875" style="43" customWidth="1"/>
    <col min="15622" max="15622" width="2.875" style="43" customWidth="1"/>
    <col min="15623" max="15623" width="2.375" style="43" customWidth="1"/>
    <col min="15624" max="15624" width="3.125" style="43" customWidth="1"/>
    <col min="15625" max="15625" width="1.625" style="43" customWidth="1"/>
    <col min="15626" max="15626" width="2.5" style="43" customWidth="1"/>
    <col min="15627" max="15628" width="15.25" style="43" customWidth="1"/>
    <col min="15629" max="15629" width="6" style="43" customWidth="1"/>
    <col min="15630" max="15630" width="2.875" style="43" customWidth="1"/>
    <col min="15631" max="15631" width="2.375" style="43" customWidth="1"/>
    <col min="15632" max="15632" width="3.25" style="43" customWidth="1"/>
    <col min="15633" max="15633" width="1.75" style="43" customWidth="1"/>
    <col min="15634" max="15634" width="2.5" style="43" customWidth="1"/>
    <col min="15635" max="15636" width="15.25" style="43" customWidth="1"/>
    <col min="15637" max="15637" width="6.625" style="43" customWidth="1"/>
    <col min="15638" max="15638" width="2.25" style="43" customWidth="1"/>
    <col min="15639" max="15639" width="2.375" style="43" customWidth="1"/>
    <col min="15640" max="15640" width="3.875" style="43" customWidth="1"/>
    <col min="15641" max="15872" width="9" style="43"/>
    <col min="15873" max="15873" width="4.125" style="43" customWidth="1"/>
    <col min="15874" max="15874" width="2.5" style="43" customWidth="1"/>
    <col min="15875" max="15875" width="15.25" style="43" customWidth="1"/>
    <col min="15876" max="15876" width="13.375" style="43" customWidth="1"/>
    <col min="15877" max="15877" width="8.875" style="43" customWidth="1"/>
    <col min="15878" max="15878" width="2.875" style="43" customWidth="1"/>
    <col min="15879" max="15879" width="2.375" style="43" customWidth="1"/>
    <col min="15880" max="15880" width="3.125" style="43" customWidth="1"/>
    <col min="15881" max="15881" width="1.625" style="43" customWidth="1"/>
    <col min="15882" max="15882" width="2.5" style="43" customWidth="1"/>
    <col min="15883" max="15884" width="15.25" style="43" customWidth="1"/>
    <col min="15885" max="15885" width="6" style="43" customWidth="1"/>
    <col min="15886" max="15886" width="2.875" style="43" customWidth="1"/>
    <col min="15887" max="15887" width="2.375" style="43" customWidth="1"/>
    <col min="15888" max="15888" width="3.25" style="43" customWidth="1"/>
    <col min="15889" max="15889" width="1.75" style="43" customWidth="1"/>
    <col min="15890" max="15890" width="2.5" style="43" customWidth="1"/>
    <col min="15891" max="15892" width="15.25" style="43" customWidth="1"/>
    <col min="15893" max="15893" width="6.625" style="43" customWidth="1"/>
    <col min="15894" max="15894" width="2.25" style="43" customWidth="1"/>
    <col min="15895" max="15895" width="2.375" style="43" customWidth="1"/>
    <col min="15896" max="15896" width="3.875" style="43" customWidth="1"/>
    <col min="15897" max="16128" width="9" style="43"/>
    <col min="16129" max="16129" width="4.125" style="43" customWidth="1"/>
    <col min="16130" max="16130" width="2.5" style="43" customWidth="1"/>
    <col min="16131" max="16131" width="15.25" style="43" customWidth="1"/>
    <col min="16132" max="16132" width="13.375" style="43" customWidth="1"/>
    <col min="16133" max="16133" width="8.875" style="43" customWidth="1"/>
    <col min="16134" max="16134" width="2.875" style="43" customWidth="1"/>
    <col min="16135" max="16135" width="2.375" style="43" customWidth="1"/>
    <col min="16136" max="16136" width="3.125" style="43" customWidth="1"/>
    <col min="16137" max="16137" width="1.625" style="43" customWidth="1"/>
    <col min="16138" max="16138" width="2.5" style="43" customWidth="1"/>
    <col min="16139" max="16140" width="15.25" style="43" customWidth="1"/>
    <col min="16141" max="16141" width="6" style="43" customWidth="1"/>
    <col min="16142" max="16142" width="2.875" style="43" customWidth="1"/>
    <col min="16143" max="16143" width="2.375" style="43" customWidth="1"/>
    <col min="16144" max="16144" width="3.25" style="43" customWidth="1"/>
    <col min="16145" max="16145" width="1.75" style="43" customWidth="1"/>
    <col min="16146" max="16146" width="2.5" style="43" customWidth="1"/>
    <col min="16147" max="16148" width="15.25" style="43" customWidth="1"/>
    <col min="16149" max="16149" width="6.625" style="43" customWidth="1"/>
    <col min="16150" max="16150" width="2.25" style="43" customWidth="1"/>
    <col min="16151" max="16151" width="2.375" style="43" customWidth="1"/>
    <col min="16152" max="16152" width="3.875" style="43" customWidth="1"/>
    <col min="16153" max="16384" width="9" style="43"/>
  </cols>
  <sheetData>
    <row r="1" spans="1:50" ht="48.75" customHeight="1" thickBot="1">
      <c r="A1" s="185" t="s">
        <v>115</v>
      </c>
      <c r="B1" s="186"/>
      <c r="C1" s="186"/>
      <c r="D1" s="186"/>
      <c r="E1" s="186"/>
      <c r="F1" s="47"/>
      <c r="G1" s="47"/>
      <c r="H1" s="73"/>
      <c r="I1" s="189" t="s">
        <v>115</v>
      </c>
      <c r="J1" s="190"/>
      <c r="K1" s="190"/>
      <c r="L1" s="186"/>
      <c r="M1" s="186"/>
      <c r="N1" s="47"/>
      <c r="O1" s="47"/>
      <c r="P1" s="73"/>
      <c r="Q1" s="185" t="s">
        <v>115</v>
      </c>
      <c r="R1" s="186"/>
      <c r="S1" s="186"/>
      <c r="T1" s="186"/>
      <c r="U1" s="186"/>
      <c r="Y1" s="115">
        <v>1</v>
      </c>
      <c r="AC1" s="43">
        <f>3*Y1-2</f>
        <v>1</v>
      </c>
    </row>
    <row r="2" spans="1:50" ht="18.75">
      <c r="A2" s="175" t="s">
        <v>82</v>
      </c>
      <c r="B2" s="176"/>
      <c r="C2" s="177"/>
      <c r="D2" s="187">
        <f ca="1">INDIRECT(AC6)</f>
        <v>0</v>
      </c>
      <c r="E2" s="188"/>
      <c r="G2" s="47"/>
      <c r="H2" s="175" t="s">
        <v>82</v>
      </c>
      <c r="I2" s="176"/>
      <c r="J2" s="176"/>
      <c r="K2" s="177"/>
      <c r="L2" s="191">
        <f ca="1">INDIRECT(AC7)</f>
        <v>0</v>
      </c>
      <c r="M2" s="188"/>
      <c r="N2" s="47"/>
      <c r="O2" s="61"/>
      <c r="P2" s="175" t="s">
        <v>82</v>
      </c>
      <c r="Q2" s="176"/>
      <c r="R2" s="176"/>
      <c r="S2" s="177"/>
      <c r="T2" s="187">
        <f ca="1">INDIRECT(AC8)</f>
        <v>0</v>
      </c>
      <c r="U2" s="188"/>
      <c r="Y2" s="192" t="s">
        <v>122</v>
      </c>
      <c r="AH2" s="67"/>
      <c r="AI2" s="67" t="s">
        <v>108</v>
      </c>
      <c r="AJ2" s="67" t="s">
        <v>109</v>
      </c>
      <c r="AK2" s="67" t="s">
        <v>110</v>
      </c>
      <c r="AL2" s="67" t="s">
        <v>20</v>
      </c>
      <c r="AM2" s="67" t="s">
        <v>21</v>
      </c>
      <c r="AN2" s="67" t="s">
        <v>22</v>
      </c>
      <c r="AO2" s="67" t="s">
        <v>23</v>
      </c>
      <c r="AP2" s="67" t="s">
        <v>24</v>
      </c>
      <c r="AQ2" s="67" t="s">
        <v>25</v>
      </c>
      <c r="AR2" s="67" t="s">
        <v>26</v>
      </c>
      <c r="AS2" s="67" t="s">
        <v>27</v>
      </c>
      <c r="AT2" s="67" t="s">
        <v>28</v>
      </c>
      <c r="AU2" s="67" t="s">
        <v>29</v>
      </c>
      <c r="AV2" s="67" t="s">
        <v>111</v>
      </c>
      <c r="AW2" s="67" t="s">
        <v>112</v>
      </c>
      <c r="AX2" s="67" t="s">
        <v>113</v>
      </c>
    </row>
    <row r="3" spans="1:50" ht="18.75">
      <c r="A3" s="184" t="s">
        <v>83</v>
      </c>
      <c r="B3" s="176"/>
      <c r="C3" s="177"/>
      <c r="D3" s="168" t="str">
        <f>領収証内訳!$X$2&amp;" "&amp;領収証内訳!$AA$2</f>
        <v>0 0</v>
      </c>
      <c r="E3" s="169"/>
      <c r="G3" s="47"/>
      <c r="H3" s="184" t="s">
        <v>83</v>
      </c>
      <c r="I3" s="176"/>
      <c r="J3" s="176"/>
      <c r="K3" s="177"/>
      <c r="L3" s="168" t="str">
        <f>領収証内訳!$X$2&amp;" "&amp;領収証内訳!$AA$2</f>
        <v>0 0</v>
      </c>
      <c r="M3" s="169"/>
      <c r="N3" s="58"/>
      <c r="O3" s="61"/>
      <c r="P3" s="184" t="s">
        <v>83</v>
      </c>
      <c r="Q3" s="176"/>
      <c r="R3" s="176"/>
      <c r="S3" s="177"/>
      <c r="T3" s="168" t="str">
        <f>領収証内訳!$X$2&amp;" "&amp;領収証内訳!$AA$2</f>
        <v>0 0</v>
      </c>
      <c r="U3" s="169"/>
      <c r="V3" s="58"/>
      <c r="Y3" s="193"/>
      <c r="AA3" s="43" t="s">
        <v>9</v>
      </c>
      <c r="AC3" s="43">
        <f>AC1</f>
        <v>1</v>
      </c>
      <c r="AH3" s="67">
        <v>1</v>
      </c>
      <c r="AI3" s="67">
        <f>領収証内訳!E5</f>
        <v>0</v>
      </c>
      <c r="AJ3" s="67">
        <f>領収証内訳!F5</f>
        <v>0</v>
      </c>
      <c r="AK3" s="67">
        <f>領収証内訳!G5</f>
        <v>0</v>
      </c>
      <c r="AL3" s="67">
        <f>領収証内訳!H5</f>
        <v>0</v>
      </c>
      <c r="AM3" s="67">
        <f>領収証内訳!I5</f>
        <v>0</v>
      </c>
      <c r="AN3" s="67">
        <f>領収証内訳!J5</f>
        <v>0</v>
      </c>
      <c r="AO3" s="67">
        <f>領収証内訳!K5</f>
        <v>0</v>
      </c>
      <c r="AP3" s="67">
        <f>領収証内訳!L5</f>
        <v>0</v>
      </c>
      <c r="AQ3" s="67">
        <f>領収証内訳!M5</f>
        <v>0</v>
      </c>
      <c r="AR3" s="67">
        <f>領収証内訳!N5</f>
        <v>0</v>
      </c>
      <c r="AS3" s="67">
        <f>領収証内訳!O5</f>
        <v>0</v>
      </c>
      <c r="AT3" s="67">
        <f>領収証内訳!P5</f>
        <v>0</v>
      </c>
      <c r="AU3" s="67">
        <f>領収証内訳!Q5</f>
        <v>0</v>
      </c>
      <c r="AV3" s="67">
        <f>領収証内訳!R5</f>
        <v>0</v>
      </c>
      <c r="AW3" s="67">
        <f>領収証内訳!S5</f>
        <v>0</v>
      </c>
      <c r="AX3" s="67">
        <f>領収証内訳!T5</f>
        <v>0</v>
      </c>
    </row>
    <row r="4" spans="1:50" ht="37.5" customHeight="1">
      <c r="A4" s="178" t="s">
        <v>84</v>
      </c>
      <c r="B4" s="180"/>
      <c r="C4" s="35" t="s">
        <v>85</v>
      </c>
      <c r="D4" s="34" t="s">
        <v>86</v>
      </c>
      <c r="E4" s="68" t="s">
        <v>114</v>
      </c>
      <c r="G4" s="47"/>
      <c r="H4" s="178" t="s">
        <v>84</v>
      </c>
      <c r="I4" s="179"/>
      <c r="J4" s="180"/>
      <c r="K4" s="70" t="s">
        <v>85</v>
      </c>
      <c r="L4" s="34" t="s">
        <v>86</v>
      </c>
      <c r="M4" s="68" t="s">
        <v>114</v>
      </c>
      <c r="N4" s="48"/>
      <c r="O4" s="61"/>
      <c r="P4" s="178" t="s">
        <v>84</v>
      </c>
      <c r="Q4" s="179"/>
      <c r="R4" s="180"/>
      <c r="S4" s="35" t="s">
        <v>85</v>
      </c>
      <c r="T4" s="34" t="s">
        <v>86</v>
      </c>
      <c r="U4" s="68" t="s">
        <v>114</v>
      </c>
      <c r="V4" s="48"/>
      <c r="Y4" s="194" t="s">
        <v>125</v>
      </c>
      <c r="AH4" s="67">
        <v>2</v>
      </c>
      <c r="AI4" s="67">
        <f>領収証内訳!E6</f>
        <v>0</v>
      </c>
      <c r="AJ4" s="67">
        <f>領収証内訳!F6</f>
        <v>0</v>
      </c>
      <c r="AK4" s="67">
        <f>領収証内訳!G6</f>
        <v>0</v>
      </c>
      <c r="AL4" s="67">
        <f>領収証内訳!H6</f>
        <v>0</v>
      </c>
      <c r="AM4" s="67">
        <f>領収証内訳!I6</f>
        <v>0</v>
      </c>
      <c r="AN4" s="67">
        <f>領収証内訳!J6</f>
        <v>0</v>
      </c>
      <c r="AO4" s="67">
        <f>領収証内訳!K6</f>
        <v>0</v>
      </c>
      <c r="AP4" s="67">
        <f>領収証内訳!L6</f>
        <v>0</v>
      </c>
      <c r="AQ4" s="67">
        <f>領収証内訳!M6</f>
        <v>0</v>
      </c>
      <c r="AR4" s="67">
        <f>領収証内訳!N6</f>
        <v>0</v>
      </c>
      <c r="AS4" s="67">
        <f>領収証内訳!O6</f>
        <v>0</v>
      </c>
      <c r="AT4" s="67">
        <f>領収証内訳!P6</f>
        <v>0</v>
      </c>
      <c r="AU4" s="67">
        <f>領収証内訳!Q6</f>
        <v>0</v>
      </c>
      <c r="AV4" s="67">
        <f>領収証内訳!R6</f>
        <v>0</v>
      </c>
      <c r="AW4" s="67">
        <f>領収証内訳!S6</f>
        <v>0</v>
      </c>
      <c r="AX4" s="67">
        <f>領収証内訳!T6</f>
        <v>0</v>
      </c>
    </row>
    <row r="5" spans="1:50" ht="30" customHeight="1">
      <c r="A5" s="175" t="s">
        <v>88</v>
      </c>
      <c r="B5" s="177"/>
      <c r="C5" s="69">
        <f>VLOOKUP($AC$3,$AH$2:$AX$52,3,FALSE)</f>
        <v>0</v>
      </c>
      <c r="D5" s="71" t="s">
        <v>116</v>
      </c>
      <c r="E5" s="37"/>
      <c r="G5" s="47"/>
      <c r="H5" s="175" t="s">
        <v>88</v>
      </c>
      <c r="I5" s="176"/>
      <c r="J5" s="177"/>
      <c r="K5" s="69">
        <f>VLOOKUP($AC$3+1,$AH$2:$AX$52,3,FALSE)</f>
        <v>0</v>
      </c>
      <c r="L5" s="71" t="s">
        <v>116</v>
      </c>
      <c r="M5" s="37"/>
      <c r="N5" s="47"/>
      <c r="O5" s="61"/>
      <c r="P5" s="175" t="s">
        <v>88</v>
      </c>
      <c r="Q5" s="176"/>
      <c r="R5" s="177"/>
      <c r="S5" s="69">
        <f>VLOOKUP($AC$3+2,$AH$2:$AX$52,3,FALSE)</f>
        <v>0</v>
      </c>
      <c r="T5" s="71" t="s">
        <v>116</v>
      </c>
      <c r="U5" s="37"/>
      <c r="V5" s="47"/>
      <c r="W5" s="47"/>
      <c r="Y5" s="195"/>
      <c r="AH5" s="67">
        <v>3</v>
      </c>
      <c r="AI5" s="67">
        <f>領収証内訳!E7</f>
        <v>0</v>
      </c>
      <c r="AJ5" s="67">
        <f>領収証内訳!F7</f>
        <v>0</v>
      </c>
      <c r="AK5" s="67">
        <f>領収証内訳!G7</f>
        <v>0</v>
      </c>
      <c r="AL5" s="67">
        <f>領収証内訳!H7</f>
        <v>0</v>
      </c>
      <c r="AM5" s="67">
        <f>領収証内訳!I7</f>
        <v>0</v>
      </c>
      <c r="AN5" s="67">
        <f>領収証内訳!J7</f>
        <v>0</v>
      </c>
      <c r="AO5" s="67">
        <f>領収証内訳!K7</f>
        <v>0</v>
      </c>
      <c r="AP5" s="67">
        <f>領収証内訳!L7</f>
        <v>0</v>
      </c>
      <c r="AQ5" s="67">
        <f>領収証内訳!M7</f>
        <v>0</v>
      </c>
      <c r="AR5" s="67">
        <f>領収証内訳!N7</f>
        <v>0</v>
      </c>
      <c r="AS5" s="67">
        <f>領収証内訳!O7</f>
        <v>0</v>
      </c>
      <c r="AT5" s="67">
        <f>領収証内訳!P7</f>
        <v>0</v>
      </c>
      <c r="AU5" s="67">
        <f>領収証内訳!Q7</f>
        <v>0</v>
      </c>
      <c r="AV5" s="67">
        <f>領収証内訳!R7</f>
        <v>0</v>
      </c>
      <c r="AW5" s="67">
        <f>領収証内訳!S7</f>
        <v>0</v>
      </c>
      <c r="AX5" s="67">
        <f>領収証内訳!T7</f>
        <v>0</v>
      </c>
    </row>
    <row r="6" spans="1:50" ht="30" customHeight="1">
      <c r="A6" s="175" t="s">
        <v>88</v>
      </c>
      <c r="B6" s="177"/>
      <c r="C6" s="69">
        <f>VLOOKUP($AC$3,$AH$2:$AX$52,4,FALSE)</f>
        <v>0</v>
      </c>
      <c r="D6" s="21" t="s">
        <v>30</v>
      </c>
      <c r="E6" s="37"/>
      <c r="G6" s="61"/>
      <c r="H6" s="175" t="s">
        <v>88</v>
      </c>
      <c r="I6" s="176"/>
      <c r="J6" s="177"/>
      <c r="K6" s="69">
        <f>VLOOKUP($AC$3+1,$AH$2:$AX$52,4,FALSE)</f>
        <v>0</v>
      </c>
      <c r="L6" s="21" t="s">
        <v>30</v>
      </c>
      <c r="M6" s="37"/>
      <c r="N6" s="47"/>
      <c r="O6" s="61"/>
      <c r="P6" s="175" t="s">
        <v>88</v>
      </c>
      <c r="Q6" s="176"/>
      <c r="R6" s="177"/>
      <c r="S6" s="69">
        <f>VLOOKUP($AC$3+2,$AH$2:$AX$52,4,FALSE)</f>
        <v>0</v>
      </c>
      <c r="T6" s="21" t="s">
        <v>30</v>
      </c>
      <c r="U6" s="37"/>
      <c r="V6" s="47"/>
      <c r="W6" s="47"/>
      <c r="Y6" s="195"/>
      <c r="AB6" s="43" t="s">
        <v>10</v>
      </c>
      <c r="AC6" s="43" t="str">
        <f>"AI"&amp;FIXED(AC3+2,0,TRUE)</f>
        <v>AI3</v>
      </c>
      <c r="AH6" s="67">
        <v>4</v>
      </c>
      <c r="AI6" s="67">
        <f>領収証内訳!E8</f>
        <v>0</v>
      </c>
      <c r="AJ6" s="67">
        <f>領収証内訳!F8</f>
        <v>0</v>
      </c>
      <c r="AK6" s="67">
        <f>領収証内訳!G8</f>
        <v>0</v>
      </c>
      <c r="AL6" s="67">
        <f>領収証内訳!H8</f>
        <v>0</v>
      </c>
      <c r="AM6" s="67">
        <f>領収証内訳!I8</f>
        <v>0</v>
      </c>
      <c r="AN6" s="67">
        <f>領収証内訳!J8</f>
        <v>0</v>
      </c>
      <c r="AO6" s="67">
        <f>領収証内訳!K8</f>
        <v>0</v>
      </c>
      <c r="AP6" s="67">
        <f>領収証内訳!L8</f>
        <v>0</v>
      </c>
      <c r="AQ6" s="67">
        <f>領収証内訳!M8</f>
        <v>0</v>
      </c>
      <c r="AR6" s="67">
        <f>領収証内訳!N8</f>
        <v>0</v>
      </c>
      <c r="AS6" s="67">
        <f>領収証内訳!O8</f>
        <v>0</v>
      </c>
      <c r="AT6" s="67">
        <f>領収証内訳!P8</f>
        <v>0</v>
      </c>
      <c r="AU6" s="67">
        <f>領収証内訳!Q8</f>
        <v>0</v>
      </c>
      <c r="AV6" s="67">
        <f>領収証内訳!R8</f>
        <v>0</v>
      </c>
      <c r="AW6" s="67">
        <f>領収証内訳!S8</f>
        <v>0</v>
      </c>
      <c r="AX6" s="67">
        <f>領収証内訳!T8</f>
        <v>0</v>
      </c>
    </row>
    <row r="7" spans="1:50" ht="30" customHeight="1">
      <c r="A7" s="175" t="s">
        <v>88</v>
      </c>
      <c r="B7" s="177"/>
      <c r="C7" s="69">
        <f>VLOOKUP($AC$3,$AH$2:$AX$52,5,FALSE)</f>
        <v>0</v>
      </c>
      <c r="D7" s="21" t="s">
        <v>89</v>
      </c>
      <c r="E7" s="37"/>
      <c r="G7" s="61"/>
      <c r="H7" s="175" t="s">
        <v>88</v>
      </c>
      <c r="I7" s="176"/>
      <c r="J7" s="177"/>
      <c r="K7" s="69">
        <f>VLOOKUP($AC$3+1,$AH$2:$AX$52,5,FALSE)</f>
        <v>0</v>
      </c>
      <c r="L7" s="71" t="s">
        <v>89</v>
      </c>
      <c r="M7" s="37"/>
      <c r="N7" s="47"/>
      <c r="O7" s="61"/>
      <c r="P7" s="175" t="s">
        <v>88</v>
      </c>
      <c r="Q7" s="176"/>
      <c r="R7" s="177"/>
      <c r="S7" s="69">
        <f>VLOOKUP($AC$3+2,$AH$2:$AX$52,5,FALSE)</f>
        <v>0</v>
      </c>
      <c r="T7" s="71" t="s">
        <v>89</v>
      </c>
      <c r="U7" s="37"/>
      <c r="V7" s="47"/>
      <c r="W7" s="47"/>
      <c r="Y7" s="196"/>
      <c r="AB7" s="43" t="s">
        <v>10</v>
      </c>
      <c r="AC7" s="43" t="str">
        <f>"AI"&amp;FIXED(AC3+3,0,TRUE)</f>
        <v>AI4</v>
      </c>
      <c r="AH7" s="67">
        <v>5</v>
      </c>
      <c r="AI7" s="67">
        <f>領収証内訳!E9</f>
        <v>0</v>
      </c>
      <c r="AJ7" s="67">
        <f>領収証内訳!F9</f>
        <v>0</v>
      </c>
      <c r="AK7" s="67">
        <f>領収証内訳!G9</f>
        <v>0</v>
      </c>
      <c r="AL7" s="67">
        <f>領収証内訳!H9</f>
        <v>0</v>
      </c>
      <c r="AM7" s="67">
        <f>領収証内訳!I9</f>
        <v>0</v>
      </c>
      <c r="AN7" s="67">
        <f>領収証内訳!J9</f>
        <v>0</v>
      </c>
      <c r="AO7" s="67">
        <f>領収証内訳!K9</f>
        <v>0</v>
      </c>
      <c r="AP7" s="67">
        <f>領収証内訳!L9</f>
        <v>0</v>
      </c>
      <c r="AQ7" s="67">
        <f>領収証内訳!M9</f>
        <v>0</v>
      </c>
      <c r="AR7" s="67">
        <f>領収証内訳!N9</f>
        <v>0</v>
      </c>
      <c r="AS7" s="67">
        <f>領収証内訳!O9</f>
        <v>0</v>
      </c>
      <c r="AT7" s="67">
        <f>領収証内訳!P9</f>
        <v>0</v>
      </c>
      <c r="AU7" s="67">
        <f>領収証内訳!Q9</f>
        <v>0</v>
      </c>
      <c r="AV7" s="67">
        <f>領収証内訳!R9</f>
        <v>0</v>
      </c>
      <c r="AW7" s="67">
        <f>領収証内訳!S9</f>
        <v>0</v>
      </c>
      <c r="AX7" s="67">
        <f>領収証内訳!T9</f>
        <v>0</v>
      </c>
    </row>
    <row r="8" spans="1:50" ht="30" customHeight="1">
      <c r="A8" s="175" t="s">
        <v>88</v>
      </c>
      <c r="B8" s="177"/>
      <c r="C8" s="69">
        <f>VLOOKUP($AC$3,$AH$2:$AX$52,6,FALSE)</f>
        <v>0</v>
      </c>
      <c r="D8" s="21" t="s">
        <v>90</v>
      </c>
      <c r="E8" s="37"/>
      <c r="G8" s="61"/>
      <c r="H8" s="175" t="s">
        <v>88</v>
      </c>
      <c r="I8" s="176"/>
      <c r="J8" s="177"/>
      <c r="K8" s="69">
        <f>VLOOKUP($AC$3+1,$AH$2:$AX$52,6,FALSE)</f>
        <v>0</v>
      </c>
      <c r="L8" s="21" t="s">
        <v>90</v>
      </c>
      <c r="M8" s="37"/>
      <c r="N8" s="47"/>
      <c r="O8" s="61"/>
      <c r="P8" s="175" t="s">
        <v>88</v>
      </c>
      <c r="Q8" s="176"/>
      <c r="R8" s="177"/>
      <c r="S8" s="69">
        <f>VLOOKUP($AC$3+2,$AH$2:$AX$52,6,FALSE)</f>
        <v>0</v>
      </c>
      <c r="T8" s="21" t="s">
        <v>90</v>
      </c>
      <c r="U8" s="37"/>
      <c r="V8" s="47"/>
      <c r="W8" s="47"/>
      <c r="Y8" s="196"/>
      <c r="AB8" s="43" t="s">
        <v>10</v>
      </c>
      <c r="AC8" s="43" t="str">
        <f>"AI"&amp;FIXED(AC3+4,0,TRUE)</f>
        <v>AI5</v>
      </c>
      <c r="AH8" s="67">
        <v>6</v>
      </c>
      <c r="AI8" s="67">
        <f>領収証内訳!E10</f>
        <v>0</v>
      </c>
      <c r="AJ8" s="67">
        <f>領収証内訳!F10</f>
        <v>0</v>
      </c>
      <c r="AK8" s="67">
        <f>領収証内訳!G10</f>
        <v>0</v>
      </c>
      <c r="AL8" s="67">
        <f>領収証内訳!H10</f>
        <v>0</v>
      </c>
      <c r="AM8" s="67">
        <f>領収証内訳!I10</f>
        <v>0</v>
      </c>
      <c r="AN8" s="67">
        <f>領収証内訳!J10</f>
        <v>0</v>
      </c>
      <c r="AO8" s="67">
        <f>領収証内訳!K10</f>
        <v>0</v>
      </c>
      <c r="AP8" s="67">
        <f>領収証内訳!L10</f>
        <v>0</v>
      </c>
      <c r="AQ8" s="67">
        <f>領収証内訳!M10</f>
        <v>0</v>
      </c>
      <c r="AR8" s="67">
        <f>領収証内訳!N10</f>
        <v>0</v>
      </c>
      <c r="AS8" s="67">
        <f>領収証内訳!O10</f>
        <v>0</v>
      </c>
      <c r="AT8" s="67">
        <f>領収証内訳!P10</f>
        <v>0</v>
      </c>
      <c r="AU8" s="67">
        <f>領収証内訳!Q10</f>
        <v>0</v>
      </c>
      <c r="AV8" s="67">
        <f>領収証内訳!R10</f>
        <v>0</v>
      </c>
      <c r="AW8" s="67">
        <f>領収証内訳!S10</f>
        <v>0</v>
      </c>
      <c r="AX8" s="67">
        <f>領収証内訳!T10</f>
        <v>0</v>
      </c>
    </row>
    <row r="9" spans="1:50" ht="30" customHeight="1">
      <c r="A9" s="175" t="s">
        <v>88</v>
      </c>
      <c r="B9" s="177"/>
      <c r="C9" s="69">
        <f>VLOOKUP($AC$3,$AH$2:$AX$52,7,FALSE)</f>
        <v>0</v>
      </c>
      <c r="D9" s="21" t="s">
        <v>91</v>
      </c>
      <c r="E9" s="37"/>
      <c r="G9" s="61"/>
      <c r="H9" s="175" t="s">
        <v>88</v>
      </c>
      <c r="I9" s="176"/>
      <c r="J9" s="177"/>
      <c r="K9" s="69">
        <f>VLOOKUP($AC$3+1,$AH$2:$AX$52,7,FALSE)</f>
        <v>0</v>
      </c>
      <c r="L9" s="21" t="s">
        <v>91</v>
      </c>
      <c r="M9" s="37"/>
      <c r="N9" s="47"/>
      <c r="O9" s="61"/>
      <c r="P9" s="175" t="s">
        <v>88</v>
      </c>
      <c r="Q9" s="176"/>
      <c r="R9" s="177"/>
      <c r="S9" s="69">
        <f>VLOOKUP($AC$3+2,$AH$2:$AX$52,7,FALSE)</f>
        <v>0</v>
      </c>
      <c r="T9" s="21" t="s">
        <v>91</v>
      </c>
      <c r="U9" s="37"/>
      <c r="V9" s="47"/>
      <c r="W9" s="47"/>
      <c r="Y9" s="197"/>
      <c r="AH9" s="67">
        <v>7</v>
      </c>
      <c r="AI9" s="67">
        <f>領収証内訳!E11</f>
        <v>0</v>
      </c>
      <c r="AJ9" s="67">
        <f>領収証内訳!F11</f>
        <v>0</v>
      </c>
      <c r="AK9" s="67">
        <f>領収証内訳!G11</f>
        <v>0</v>
      </c>
      <c r="AL9" s="67">
        <f>領収証内訳!H11</f>
        <v>0</v>
      </c>
      <c r="AM9" s="67">
        <f>領収証内訳!I11</f>
        <v>0</v>
      </c>
      <c r="AN9" s="67">
        <f>領収証内訳!J11</f>
        <v>0</v>
      </c>
      <c r="AO9" s="67">
        <f>領収証内訳!K11</f>
        <v>0</v>
      </c>
      <c r="AP9" s="67">
        <f>領収証内訳!L11</f>
        <v>0</v>
      </c>
      <c r="AQ9" s="67">
        <f>領収証内訳!M11</f>
        <v>0</v>
      </c>
      <c r="AR9" s="67">
        <f>領収証内訳!N11</f>
        <v>0</v>
      </c>
      <c r="AS9" s="67">
        <f>領収証内訳!O11</f>
        <v>0</v>
      </c>
      <c r="AT9" s="67">
        <f>領収証内訳!P11</f>
        <v>0</v>
      </c>
      <c r="AU9" s="67">
        <f>領収証内訳!Q11</f>
        <v>0</v>
      </c>
      <c r="AV9" s="67">
        <f>領収証内訳!R11</f>
        <v>0</v>
      </c>
      <c r="AW9" s="67">
        <f>領収証内訳!S11</f>
        <v>0</v>
      </c>
      <c r="AX9" s="67">
        <f>領収証内訳!T11</f>
        <v>0</v>
      </c>
    </row>
    <row r="10" spans="1:50" ht="30" customHeight="1">
      <c r="A10" s="175" t="s">
        <v>88</v>
      </c>
      <c r="B10" s="177"/>
      <c r="C10" s="69">
        <f>VLOOKUP($AC$3,$AH$2:$AX$52,8,FALSE)</f>
        <v>0</v>
      </c>
      <c r="D10" s="21" t="s">
        <v>92</v>
      </c>
      <c r="E10" s="37"/>
      <c r="G10" s="61"/>
      <c r="H10" s="175" t="s">
        <v>88</v>
      </c>
      <c r="I10" s="176"/>
      <c r="J10" s="177"/>
      <c r="K10" s="69">
        <f>VLOOKUP($AC$3+1,$AH$2:$AX$52,8,FALSE)</f>
        <v>0</v>
      </c>
      <c r="L10" s="21" t="s">
        <v>92</v>
      </c>
      <c r="M10" s="37"/>
      <c r="N10" s="47"/>
      <c r="O10" s="61"/>
      <c r="P10" s="175" t="s">
        <v>88</v>
      </c>
      <c r="Q10" s="176"/>
      <c r="R10" s="177"/>
      <c r="S10" s="69">
        <f>VLOOKUP($AC$3+2,$AH$2:$AX$52,8,FALSE)</f>
        <v>0</v>
      </c>
      <c r="T10" s="21" t="s">
        <v>92</v>
      </c>
      <c r="U10" s="37"/>
      <c r="V10" s="47"/>
      <c r="W10" s="47"/>
      <c r="Y10" s="197"/>
      <c r="AA10" s="43" t="s">
        <v>106</v>
      </c>
      <c r="AC10" s="43">
        <v>1</v>
      </c>
      <c r="AH10" s="67">
        <v>8</v>
      </c>
      <c r="AI10" s="67">
        <f>領収証内訳!E12</f>
        <v>0</v>
      </c>
      <c r="AJ10" s="67">
        <f>領収証内訳!F12</f>
        <v>0</v>
      </c>
      <c r="AK10" s="67">
        <f>領収証内訳!G12</f>
        <v>0</v>
      </c>
      <c r="AL10" s="67">
        <f>領収証内訳!H12</f>
        <v>0</v>
      </c>
      <c r="AM10" s="67">
        <f>領収証内訳!I12</f>
        <v>0</v>
      </c>
      <c r="AN10" s="67">
        <f>領収証内訳!J12</f>
        <v>0</v>
      </c>
      <c r="AO10" s="67">
        <f>領収証内訳!K12</f>
        <v>0</v>
      </c>
      <c r="AP10" s="67">
        <f>領収証内訳!L12</f>
        <v>0</v>
      </c>
      <c r="AQ10" s="67">
        <f>領収証内訳!M12</f>
        <v>0</v>
      </c>
      <c r="AR10" s="67">
        <f>領収証内訳!N12</f>
        <v>0</v>
      </c>
      <c r="AS10" s="67">
        <f>領収証内訳!O12</f>
        <v>0</v>
      </c>
      <c r="AT10" s="67">
        <f>領収証内訳!P12</f>
        <v>0</v>
      </c>
      <c r="AU10" s="67">
        <f>領収証内訳!Q12</f>
        <v>0</v>
      </c>
      <c r="AV10" s="67">
        <f>領収証内訳!R12</f>
        <v>0</v>
      </c>
      <c r="AW10" s="67">
        <f>領収証内訳!S12</f>
        <v>0</v>
      </c>
      <c r="AX10" s="67">
        <f>領収証内訳!T12</f>
        <v>0</v>
      </c>
    </row>
    <row r="11" spans="1:50" ht="30" customHeight="1">
      <c r="A11" s="175" t="s">
        <v>88</v>
      </c>
      <c r="B11" s="177"/>
      <c r="C11" s="69">
        <f>VLOOKUP($AC$3,$AH$2:$AX$52,9,FALSE)</f>
        <v>0</v>
      </c>
      <c r="D11" s="21" t="s">
        <v>93</v>
      </c>
      <c r="E11" s="37"/>
      <c r="G11" s="61"/>
      <c r="H11" s="175" t="s">
        <v>88</v>
      </c>
      <c r="I11" s="176"/>
      <c r="J11" s="177"/>
      <c r="K11" s="69">
        <f>VLOOKUP($AC$3+1,$AH$2:$AX$52,9,FALSE)</f>
        <v>0</v>
      </c>
      <c r="L11" s="21" t="s">
        <v>93</v>
      </c>
      <c r="M11" s="37"/>
      <c r="N11" s="47"/>
      <c r="O11" s="61"/>
      <c r="P11" s="175" t="s">
        <v>88</v>
      </c>
      <c r="Q11" s="176"/>
      <c r="R11" s="177"/>
      <c r="S11" s="69">
        <f>VLOOKUP($AC$3+2,$AH$2:$AX$52,9,FALSE)</f>
        <v>0</v>
      </c>
      <c r="T11" s="21" t="s">
        <v>93</v>
      </c>
      <c r="U11" s="37"/>
      <c r="V11" s="47"/>
      <c r="W11" s="47"/>
      <c r="AA11" s="43" t="s">
        <v>107</v>
      </c>
      <c r="AC11" s="43">
        <v>1</v>
      </c>
      <c r="AH11" s="67">
        <v>9</v>
      </c>
      <c r="AI11" s="67">
        <f>領収証内訳!E13</f>
        <v>0</v>
      </c>
      <c r="AJ11" s="67">
        <f>領収証内訳!F13</f>
        <v>0</v>
      </c>
      <c r="AK11" s="67">
        <f>領収証内訳!G13</f>
        <v>0</v>
      </c>
      <c r="AL11" s="67">
        <f>領収証内訳!H13</f>
        <v>0</v>
      </c>
      <c r="AM11" s="67">
        <f>領収証内訳!I13</f>
        <v>0</v>
      </c>
      <c r="AN11" s="67">
        <f>領収証内訳!J13</f>
        <v>0</v>
      </c>
      <c r="AO11" s="67">
        <f>領収証内訳!K13</f>
        <v>0</v>
      </c>
      <c r="AP11" s="67">
        <f>領収証内訳!L13</f>
        <v>0</v>
      </c>
      <c r="AQ11" s="67">
        <f>領収証内訳!M13</f>
        <v>0</v>
      </c>
      <c r="AR11" s="67">
        <f>領収証内訳!N13</f>
        <v>0</v>
      </c>
      <c r="AS11" s="67">
        <f>領収証内訳!O13</f>
        <v>0</v>
      </c>
      <c r="AT11" s="67">
        <f>領収証内訳!P13</f>
        <v>0</v>
      </c>
      <c r="AU11" s="67">
        <f>領収証内訳!Q13</f>
        <v>0</v>
      </c>
      <c r="AV11" s="67">
        <f>領収証内訳!R13</f>
        <v>0</v>
      </c>
      <c r="AW11" s="67">
        <f>領収証内訳!S13</f>
        <v>0</v>
      </c>
      <c r="AX11" s="67">
        <f>領収証内訳!T13</f>
        <v>0</v>
      </c>
    </row>
    <row r="12" spans="1:50" ht="30" customHeight="1">
      <c r="A12" s="175" t="s">
        <v>88</v>
      </c>
      <c r="B12" s="177"/>
      <c r="C12" s="69">
        <f>VLOOKUP($AC$3,$AH$2:$AX$52,10,FALSE)</f>
        <v>0</v>
      </c>
      <c r="D12" s="21" t="s">
        <v>94</v>
      </c>
      <c r="E12" s="37"/>
      <c r="G12" s="61"/>
      <c r="H12" s="175" t="s">
        <v>88</v>
      </c>
      <c r="I12" s="176"/>
      <c r="J12" s="177"/>
      <c r="K12" s="69">
        <f>VLOOKUP($AC$3+1,$AH$2:$AX$52,10,FALSE)</f>
        <v>0</v>
      </c>
      <c r="L12" s="21" t="s">
        <v>94</v>
      </c>
      <c r="M12" s="37"/>
      <c r="N12" s="47"/>
      <c r="O12" s="61"/>
      <c r="P12" s="175" t="s">
        <v>88</v>
      </c>
      <c r="Q12" s="176"/>
      <c r="R12" s="177"/>
      <c r="S12" s="69">
        <f>VLOOKUP($AC$3+2,$AH$2:$AX$52,10,FALSE)</f>
        <v>0</v>
      </c>
      <c r="T12" s="21" t="s">
        <v>94</v>
      </c>
      <c r="U12" s="37"/>
      <c r="V12" s="47"/>
      <c r="W12" s="47"/>
      <c r="AH12" s="67">
        <v>10</v>
      </c>
      <c r="AI12" s="67">
        <f>領収証内訳!E14</f>
        <v>0</v>
      </c>
      <c r="AJ12" s="67">
        <f>領収証内訳!F14</f>
        <v>0</v>
      </c>
      <c r="AK12" s="67">
        <f>領収証内訳!G14</f>
        <v>0</v>
      </c>
      <c r="AL12" s="67">
        <f>領収証内訳!H14</f>
        <v>0</v>
      </c>
      <c r="AM12" s="67">
        <f>領収証内訳!I14</f>
        <v>0</v>
      </c>
      <c r="AN12" s="67">
        <f>領収証内訳!J14</f>
        <v>0</v>
      </c>
      <c r="AO12" s="67">
        <f>領収証内訳!K14</f>
        <v>0</v>
      </c>
      <c r="AP12" s="67">
        <f>領収証内訳!L14</f>
        <v>0</v>
      </c>
      <c r="AQ12" s="67">
        <f>領収証内訳!M14</f>
        <v>0</v>
      </c>
      <c r="AR12" s="67">
        <f>領収証内訳!N14</f>
        <v>0</v>
      </c>
      <c r="AS12" s="67">
        <f>領収証内訳!O14</f>
        <v>0</v>
      </c>
      <c r="AT12" s="67">
        <f>領収証内訳!P14</f>
        <v>0</v>
      </c>
      <c r="AU12" s="67">
        <f>領収証内訳!Q14</f>
        <v>0</v>
      </c>
      <c r="AV12" s="67">
        <f>領収証内訳!R14</f>
        <v>0</v>
      </c>
      <c r="AW12" s="67">
        <f>領収証内訳!S14</f>
        <v>0</v>
      </c>
      <c r="AX12" s="67">
        <f>領収証内訳!T14</f>
        <v>0</v>
      </c>
    </row>
    <row r="13" spans="1:50" ht="30" customHeight="1">
      <c r="A13" s="175" t="s">
        <v>88</v>
      </c>
      <c r="B13" s="177"/>
      <c r="C13" s="69">
        <f>VLOOKUP($AC$3,$AH$2:$AX$52,11,FALSE)</f>
        <v>0</v>
      </c>
      <c r="D13" s="21" t="s">
        <v>95</v>
      </c>
      <c r="E13" s="37"/>
      <c r="G13" s="61"/>
      <c r="H13" s="175" t="s">
        <v>88</v>
      </c>
      <c r="I13" s="176"/>
      <c r="J13" s="177"/>
      <c r="K13" s="69">
        <f>VLOOKUP($AC$3+1,$AH$2:$AX$52,11,FALSE)</f>
        <v>0</v>
      </c>
      <c r="L13" s="21" t="s">
        <v>95</v>
      </c>
      <c r="M13" s="37"/>
      <c r="N13" s="47"/>
      <c r="O13" s="61"/>
      <c r="P13" s="175" t="s">
        <v>88</v>
      </c>
      <c r="Q13" s="176"/>
      <c r="R13" s="177"/>
      <c r="S13" s="69">
        <f>VLOOKUP($AC$3+2,$AH$2:$AX$52,11,FALSE)</f>
        <v>0</v>
      </c>
      <c r="T13" s="21" t="s">
        <v>95</v>
      </c>
      <c r="U13" s="37"/>
      <c r="V13" s="47"/>
      <c r="W13" s="47"/>
      <c r="AH13" s="67">
        <v>11</v>
      </c>
      <c r="AI13" s="67">
        <f>領収証内訳!E15</f>
        <v>0</v>
      </c>
      <c r="AJ13" s="67">
        <f>領収証内訳!F15</f>
        <v>0</v>
      </c>
      <c r="AK13" s="67">
        <f>領収証内訳!G15</f>
        <v>0</v>
      </c>
      <c r="AL13" s="67">
        <f>領収証内訳!H15</f>
        <v>0</v>
      </c>
      <c r="AM13" s="67">
        <f>領収証内訳!I15</f>
        <v>0</v>
      </c>
      <c r="AN13" s="67">
        <f>領収証内訳!J15</f>
        <v>0</v>
      </c>
      <c r="AO13" s="67">
        <f>領収証内訳!K15</f>
        <v>0</v>
      </c>
      <c r="AP13" s="67">
        <f>領収証内訳!L15</f>
        <v>0</v>
      </c>
      <c r="AQ13" s="67">
        <f>領収証内訳!M15</f>
        <v>0</v>
      </c>
      <c r="AR13" s="67">
        <f>領収証内訳!N15</f>
        <v>0</v>
      </c>
      <c r="AS13" s="67">
        <f>領収証内訳!O15</f>
        <v>0</v>
      </c>
      <c r="AT13" s="67">
        <f>領収証内訳!P15</f>
        <v>0</v>
      </c>
      <c r="AU13" s="67">
        <f>領収証内訳!Q15</f>
        <v>0</v>
      </c>
      <c r="AV13" s="67">
        <f>領収証内訳!R15</f>
        <v>0</v>
      </c>
      <c r="AW13" s="67">
        <f>領収証内訳!S15</f>
        <v>0</v>
      </c>
      <c r="AX13" s="67">
        <f>領収証内訳!T15</f>
        <v>0</v>
      </c>
    </row>
    <row r="14" spans="1:50" ht="30" customHeight="1">
      <c r="A14" s="175" t="s">
        <v>88</v>
      </c>
      <c r="B14" s="177"/>
      <c r="C14" s="69">
        <f>VLOOKUP($AC$3,$AH$2:$AX$52,12,FALSE)</f>
        <v>0</v>
      </c>
      <c r="D14" s="21" t="s">
        <v>96</v>
      </c>
      <c r="E14" s="37"/>
      <c r="G14" s="61"/>
      <c r="H14" s="175" t="s">
        <v>88</v>
      </c>
      <c r="I14" s="176"/>
      <c r="J14" s="177"/>
      <c r="K14" s="69">
        <f>VLOOKUP($AC$3+1,$AH$2:$AX$52,12,FALSE)</f>
        <v>0</v>
      </c>
      <c r="L14" s="21" t="s">
        <v>96</v>
      </c>
      <c r="M14" s="37"/>
      <c r="N14" s="47"/>
      <c r="O14" s="61"/>
      <c r="P14" s="175" t="s">
        <v>88</v>
      </c>
      <c r="Q14" s="176"/>
      <c r="R14" s="177"/>
      <c r="S14" s="69">
        <f>VLOOKUP($AC$3+2,$AH$2:$AX$52,12,FALSE)</f>
        <v>0</v>
      </c>
      <c r="T14" s="21" t="s">
        <v>96</v>
      </c>
      <c r="U14" s="37"/>
      <c r="V14" s="47"/>
      <c r="W14" s="47"/>
      <c r="AH14" s="67">
        <v>12</v>
      </c>
      <c r="AI14" s="67">
        <f>領収証内訳!E16</f>
        <v>0</v>
      </c>
      <c r="AJ14" s="67">
        <f>領収証内訳!F16</f>
        <v>0</v>
      </c>
      <c r="AK14" s="67">
        <f>領収証内訳!G16</f>
        <v>0</v>
      </c>
      <c r="AL14" s="67">
        <f>領収証内訳!H16</f>
        <v>0</v>
      </c>
      <c r="AM14" s="67">
        <f>領収証内訳!I16</f>
        <v>0</v>
      </c>
      <c r="AN14" s="67">
        <f>領収証内訳!J16</f>
        <v>0</v>
      </c>
      <c r="AO14" s="67">
        <f>領収証内訳!K16</f>
        <v>0</v>
      </c>
      <c r="AP14" s="67">
        <f>領収証内訳!L16</f>
        <v>0</v>
      </c>
      <c r="AQ14" s="67">
        <f>領収証内訳!M16</f>
        <v>0</v>
      </c>
      <c r="AR14" s="67">
        <f>領収証内訳!N16</f>
        <v>0</v>
      </c>
      <c r="AS14" s="67">
        <f>領収証内訳!O16</f>
        <v>0</v>
      </c>
      <c r="AT14" s="67">
        <f>領収証内訳!P16</f>
        <v>0</v>
      </c>
      <c r="AU14" s="67">
        <f>領収証内訳!Q16</f>
        <v>0</v>
      </c>
      <c r="AV14" s="67">
        <f>領収証内訳!R16</f>
        <v>0</v>
      </c>
      <c r="AW14" s="67">
        <f>領収証内訳!S16</f>
        <v>0</v>
      </c>
      <c r="AX14" s="67">
        <f>領収証内訳!T16</f>
        <v>0</v>
      </c>
    </row>
    <row r="15" spans="1:50" ht="30" customHeight="1">
      <c r="A15" s="175" t="s">
        <v>88</v>
      </c>
      <c r="B15" s="177"/>
      <c r="C15" s="69">
        <f>VLOOKUP($AC$3,$AH$2:$AX$52,13,FALSE)</f>
        <v>0</v>
      </c>
      <c r="D15" s="21" t="s">
        <v>97</v>
      </c>
      <c r="E15" s="37"/>
      <c r="G15" s="61"/>
      <c r="H15" s="175" t="s">
        <v>88</v>
      </c>
      <c r="I15" s="176"/>
      <c r="J15" s="177"/>
      <c r="K15" s="69">
        <f>VLOOKUP($AC$3+1,$AH$2:$AX$52,13,FALSE)</f>
        <v>0</v>
      </c>
      <c r="L15" s="21" t="s">
        <v>97</v>
      </c>
      <c r="M15" s="37"/>
      <c r="N15" s="47"/>
      <c r="O15" s="61"/>
      <c r="P15" s="175" t="s">
        <v>88</v>
      </c>
      <c r="Q15" s="176"/>
      <c r="R15" s="177"/>
      <c r="S15" s="69">
        <f>VLOOKUP($AC$3+2,$AH$2:$AX$52,13,FALSE)</f>
        <v>0</v>
      </c>
      <c r="T15" s="21" t="s">
        <v>97</v>
      </c>
      <c r="U15" s="37"/>
      <c r="V15" s="47"/>
      <c r="W15" s="47"/>
      <c r="AH15" s="67">
        <v>13</v>
      </c>
      <c r="AI15" s="67">
        <f>領収証内訳!E17</f>
        <v>0</v>
      </c>
      <c r="AJ15" s="67">
        <f>領収証内訳!F17</f>
        <v>0</v>
      </c>
      <c r="AK15" s="67">
        <f>領収証内訳!G17</f>
        <v>0</v>
      </c>
      <c r="AL15" s="67">
        <f>領収証内訳!H17</f>
        <v>0</v>
      </c>
      <c r="AM15" s="67">
        <f>領収証内訳!I17</f>
        <v>0</v>
      </c>
      <c r="AN15" s="67">
        <f>領収証内訳!J17</f>
        <v>0</v>
      </c>
      <c r="AO15" s="67">
        <f>領収証内訳!K17</f>
        <v>0</v>
      </c>
      <c r="AP15" s="67">
        <f>領収証内訳!L17</f>
        <v>0</v>
      </c>
      <c r="AQ15" s="67">
        <f>領収証内訳!M17</f>
        <v>0</v>
      </c>
      <c r="AR15" s="67">
        <f>領収証内訳!N17</f>
        <v>0</v>
      </c>
      <c r="AS15" s="67">
        <f>領収証内訳!O17</f>
        <v>0</v>
      </c>
      <c r="AT15" s="67">
        <f>領収証内訳!P17</f>
        <v>0</v>
      </c>
      <c r="AU15" s="67">
        <f>領収証内訳!Q17</f>
        <v>0</v>
      </c>
      <c r="AV15" s="67">
        <f>領収証内訳!R17</f>
        <v>0</v>
      </c>
      <c r="AW15" s="67">
        <f>領収証内訳!S17</f>
        <v>0</v>
      </c>
      <c r="AX15" s="67">
        <f>領収証内訳!T17</f>
        <v>0</v>
      </c>
    </row>
    <row r="16" spans="1:50" ht="30" customHeight="1">
      <c r="A16" s="175" t="s">
        <v>88</v>
      </c>
      <c r="B16" s="177"/>
      <c r="C16" s="69">
        <f>VLOOKUP($AC$3,$AH$2:$AX$52,14,FALSE)</f>
        <v>0</v>
      </c>
      <c r="D16" s="21" t="s">
        <v>98</v>
      </c>
      <c r="E16" s="37"/>
      <c r="G16" s="61"/>
      <c r="H16" s="175" t="s">
        <v>88</v>
      </c>
      <c r="I16" s="176"/>
      <c r="J16" s="177"/>
      <c r="K16" s="69">
        <f>VLOOKUP($AC$3+1,$AH$2:$AX$52,14,FALSE)</f>
        <v>0</v>
      </c>
      <c r="L16" s="21" t="s">
        <v>98</v>
      </c>
      <c r="M16" s="37"/>
      <c r="N16" s="47"/>
      <c r="O16" s="61"/>
      <c r="P16" s="175" t="s">
        <v>88</v>
      </c>
      <c r="Q16" s="176"/>
      <c r="R16" s="177"/>
      <c r="S16" s="69">
        <f>VLOOKUP($AC$3+2,$AH$2:$AX$52,14,FALSE)</f>
        <v>0</v>
      </c>
      <c r="T16" s="21" t="s">
        <v>98</v>
      </c>
      <c r="U16" s="37"/>
      <c r="V16" s="47"/>
      <c r="W16" s="47"/>
      <c r="AH16" s="67">
        <v>14</v>
      </c>
      <c r="AI16" s="67">
        <f>領収証内訳!E18</f>
        <v>0</v>
      </c>
      <c r="AJ16" s="67">
        <f>領収証内訳!F18</f>
        <v>0</v>
      </c>
      <c r="AK16" s="67">
        <f>領収証内訳!G18</f>
        <v>0</v>
      </c>
      <c r="AL16" s="67">
        <f>領収証内訳!H18</f>
        <v>0</v>
      </c>
      <c r="AM16" s="67">
        <f>領収証内訳!I18</f>
        <v>0</v>
      </c>
      <c r="AN16" s="67">
        <f>領収証内訳!J18</f>
        <v>0</v>
      </c>
      <c r="AO16" s="67">
        <f>領収証内訳!K18</f>
        <v>0</v>
      </c>
      <c r="AP16" s="67">
        <f>領収証内訳!L18</f>
        <v>0</v>
      </c>
      <c r="AQ16" s="67">
        <f>領収証内訳!M18</f>
        <v>0</v>
      </c>
      <c r="AR16" s="67">
        <f>領収証内訳!N18</f>
        <v>0</v>
      </c>
      <c r="AS16" s="67">
        <f>領収証内訳!O18</f>
        <v>0</v>
      </c>
      <c r="AT16" s="67">
        <f>領収証内訳!P18</f>
        <v>0</v>
      </c>
      <c r="AU16" s="67">
        <f>領収証内訳!Q18</f>
        <v>0</v>
      </c>
      <c r="AV16" s="67">
        <f>領収証内訳!R18</f>
        <v>0</v>
      </c>
      <c r="AW16" s="67">
        <f>領収証内訳!S18</f>
        <v>0</v>
      </c>
      <c r="AX16" s="67">
        <f>領収証内訳!T18</f>
        <v>0</v>
      </c>
    </row>
    <row r="17" spans="1:50" ht="30" customHeight="1">
      <c r="A17" s="175" t="s">
        <v>88</v>
      </c>
      <c r="B17" s="177"/>
      <c r="C17" s="69">
        <f>VLOOKUP($AC$3,$AH$2:$AX$52,15,FALSE)</f>
        <v>0</v>
      </c>
      <c r="D17" s="23" t="s">
        <v>117</v>
      </c>
      <c r="E17" s="37"/>
      <c r="G17" s="61"/>
      <c r="H17" s="175" t="s">
        <v>88</v>
      </c>
      <c r="I17" s="176"/>
      <c r="J17" s="177"/>
      <c r="K17" s="69">
        <f>VLOOKUP($AC$3+1,$AH$2:$AX$52,15,FALSE)</f>
        <v>0</v>
      </c>
      <c r="L17" s="21" t="s">
        <v>99</v>
      </c>
      <c r="M17" s="37"/>
      <c r="N17" s="47"/>
      <c r="O17" s="61"/>
      <c r="P17" s="175" t="s">
        <v>88</v>
      </c>
      <c r="Q17" s="176"/>
      <c r="R17" s="177"/>
      <c r="S17" s="69">
        <f>VLOOKUP($AC$3+2,$AH$2:$AX$52,15,FALSE)</f>
        <v>0</v>
      </c>
      <c r="T17" s="21" t="s">
        <v>99</v>
      </c>
      <c r="U17" s="37"/>
      <c r="V17" s="47"/>
      <c r="W17" s="47"/>
      <c r="AH17" s="67">
        <v>15</v>
      </c>
      <c r="AI17" s="67">
        <f>領収証内訳!E19</f>
        <v>0</v>
      </c>
      <c r="AJ17" s="67">
        <f>領収証内訳!F19</f>
        <v>0</v>
      </c>
      <c r="AK17" s="67">
        <f>領収証内訳!G19</f>
        <v>0</v>
      </c>
      <c r="AL17" s="67">
        <f>領収証内訳!H19</f>
        <v>0</v>
      </c>
      <c r="AM17" s="67">
        <f>領収証内訳!I19</f>
        <v>0</v>
      </c>
      <c r="AN17" s="67">
        <f>領収証内訳!J19</f>
        <v>0</v>
      </c>
      <c r="AO17" s="67">
        <f>領収証内訳!K19</f>
        <v>0</v>
      </c>
      <c r="AP17" s="67">
        <f>領収証内訳!L19</f>
        <v>0</v>
      </c>
      <c r="AQ17" s="67">
        <f>領収証内訳!M19</f>
        <v>0</v>
      </c>
      <c r="AR17" s="67">
        <f>領収証内訳!N19</f>
        <v>0</v>
      </c>
      <c r="AS17" s="67">
        <f>領収証内訳!O19</f>
        <v>0</v>
      </c>
      <c r="AT17" s="67">
        <f>領収証内訳!P19</f>
        <v>0</v>
      </c>
      <c r="AU17" s="67">
        <f>領収証内訳!Q19</f>
        <v>0</v>
      </c>
      <c r="AV17" s="67">
        <f>領収証内訳!R19</f>
        <v>0</v>
      </c>
      <c r="AW17" s="67">
        <f>領収証内訳!S19</f>
        <v>0</v>
      </c>
      <c r="AX17" s="67">
        <f>領収証内訳!T19</f>
        <v>0</v>
      </c>
    </row>
    <row r="18" spans="1:50" ht="30" customHeight="1">
      <c r="A18" s="175" t="s">
        <v>88</v>
      </c>
      <c r="B18" s="177"/>
      <c r="C18" s="69">
        <f>VLOOKUP($AC$3,$AH$2:$AX$52,16,FALSE)</f>
        <v>0</v>
      </c>
      <c r="D18" s="21" t="s">
        <v>118</v>
      </c>
      <c r="E18" s="37"/>
      <c r="G18" s="61"/>
      <c r="H18" s="175" t="s">
        <v>88</v>
      </c>
      <c r="I18" s="176"/>
      <c r="J18" s="177"/>
      <c r="K18" s="69">
        <f>VLOOKUP($AC$3+1,$AH$2:$AX$52,16,FALSE)</f>
        <v>0</v>
      </c>
      <c r="L18" s="21" t="s">
        <v>100</v>
      </c>
      <c r="M18" s="37"/>
      <c r="N18" s="47"/>
      <c r="O18" s="61"/>
      <c r="P18" s="175" t="s">
        <v>88</v>
      </c>
      <c r="Q18" s="176"/>
      <c r="R18" s="177"/>
      <c r="S18" s="69">
        <f>VLOOKUP($AC$3+2,$AH$2:$AX$52,16,FALSE)</f>
        <v>0</v>
      </c>
      <c r="T18" s="21" t="s">
        <v>100</v>
      </c>
      <c r="U18" s="37"/>
      <c r="V18" s="47"/>
      <c r="W18" s="47"/>
      <c r="AH18" s="67">
        <v>16</v>
      </c>
      <c r="AI18" s="67">
        <f>領収証内訳!E20</f>
        <v>0</v>
      </c>
      <c r="AJ18" s="67">
        <f>領収証内訳!F20</f>
        <v>0</v>
      </c>
      <c r="AK18" s="67">
        <f>領収証内訳!G20</f>
        <v>0</v>
      </c>
      <c r="AL18" s="67">
        <f>領収証内訳!H20</f>
        <v>0</v>
      </c>
      <c r="AM18" s="67">
        <f>領収証内訳!I20</f>
        <v>0</v>
      </c>
      <c r="AN18" s="67">
        <f>領収証内訳!J20</f>
        <v>0</v>
      </c>
      <c r="AO18" s="67">
        <f>領収証内訳!K20</f>
        <v>0</v>
      </c>
      <c r="AP18" s="67">
        <f>領収証内訳!L20</f>
        <v>0</v>
      </c>
      <c r="AQ18" s="67">
        <f>領収証内訳!M20</f>
        <v>0</v>
      </c>
      <c r="AR18" s="67">
        <f>領収証内訳!N20</f>
        <v>0</v>
      </c>
      <c r="AS18" s="67">
        <f>領収証内訳!O20</f>
        <v>0</v>
      </c>
      <c r="AT18" s="67">
        <f>領収証内訳!P20</f>
        <v>0</v>
      </c>
      <c r="AU18" s="67">
        <f>領収証内訳!Q20</f>
        <v>0</v>
      </c>
      <c r="AV18" s="67">
        <f>領収証内訳!R20</f>
        <v>0</v>
      </c>
      <c r="AW18" s="67">
        <f>領収証内訳!S20</f>
        <v>0</v>
      </c>
      <c r="AX18" s="67">
        <f>領収証内訳!T20</f>
        <v>0</v>
      </c>
    </row>
    <row r="19" spans="1:50" ht="30" customHeight="1">
      <c r="A19" s="175" t="s">
        <v>88</v>
      </c>
      <c r="B19" s="177"/>
      <c r="C19" s="69">
        <f>VLOOKUP($AC$3,$AH$2:$AX$52,17,FALSE)</f>
        <v>0</v>
      </c>
      <c r="D19" s="21" t="s">
        <v>32</v>
      </c>
      <c r="E19" s="37"/>
      <c r="G19" s="61"/>
      <c r="H19" s="181" t="s">
        <v>88</v>
      </c>
      <c r="I19" s="182"/>
      <c r="J19" s="183"/>
      <c r="K19" s="69">
        <f>VLOOKUP($AC$3+1,$AH$2:$AX$52,17,FALSE)</f>
        <v>0</v>
      </c>
      <c r="L19" s="21" t="s">
        <v>32</v>
      </c>
      <c r="M19" s="37"/>
      <c r="N19" s="47"/>
      <c r="O19" s="61"/>
      <c r="P19" s="181" t="s">
        <v>88</v>
      </c>
      <c r="Q19" s="182"/>
      <c r="R19" s="183"/>
      <c r="S19" s="69">
        <f>VLOOKUP($AC$3+2,$AH$2:$AX$52,17,FALSE)</f>
        <v>0</v>
      </c>
      <c r="T19" s="21" t="s">
        <v>32</v>
      </c>
      <c r="U19" s="37"/>
      <c r="V19" s="47"/>
      <c r="W19" s="47"/>
      <c r="AH19" s="67">
        <v>17</v>
      </c>
      <c r="AI19" s="67">
        <f>領収証内訳!E21</f>
        <v>0</v>
      </c>
      <c r="AJ19" s="67">
        <f>領収証内訳!F21</f>
        <v>0</v>
      </c>
      <c r="AK19" s="67">
        <f>領収証内訳!G21</f>
        <v>0</v>
      </c>
      <c r="AL19" s="67">
        <f>領収証内訳!H21</f>
        <v>0</v>
      </c>
      <c r="AM19" s="67">
        <f>領収証内訳!I21</f>
        <v>0</v>
      </c>
      <c r="AN19" s="67">
        <f>領収証内訳!J21</f>
        <v>0</v>
      </c>
      <c r="AO19" s="67">
        <f>領収証内訳!K21</f>
        <v>0</v>
      </c>
      <c r="AP19" s="67">
        <f>領収証内訳!L21</f>
        <v>0</v>
      </c>
      <c r="AQ19" s="67">
        <f>領収証内訳!M21</f>
        <v>0</v>
      </c>
      <c r="AR19" s="67">
        <f>領収証内訳!N21</f>
        <v>0</v>
      </c>
      <c r="AS19" s="67">
        <f>領収証内訳!O21</f>
        <v>0</v>
      </c>
      <c r="AT19" s="67">
        <f>領収証内訳!P21</f>
        <v>0</v>
      </c>
      <c r="AU19" s="67">
        <f>領収証内訳!Q21</f>
        <v>0</v>
      </c>
      <c r="AV19" s="67">
        <f>領収証内訳!R21</f>
        <v>0</v>
      </c>
      <c r="AW19" s="67">
        <f>領収証内訳!S21</f>
        <v>0</v>
      </c>
      <c r="AX19" s="67">
        <f>領収証内訳!T21</f>
        <v>0</v>
      </c>
    </row>
    <row r="20" spans="1:50" ht="30" customHeight="1">
      <c r="A20" s="175" t="s">
        <v>3</v>
      </c>
      <c r="B20" s="177"/>
      <c r="C20" s="69">
        <f>SUM(C5:C19)</f>
        <v>0</v>
      </c>
      <c r="D20" s="66"/>
      <c r="E20" s="37"/>
      <c r="G20" s="47"/>
      <c r="H20" s="175" t="s">
        <v>3</v>
      </c>
      <c r="I20" s="176"/>
      <c r="J20" s="177"/>
      <c r="K20" s="72">
        <f>SUM(K5:K19)</f>
        <v>0</v>
      </c>
      <c r="L20" s="66"/>
      <c r="M20" s="37"/>
      <c r="N20" s="47"/>
      <c r="O20" s="61"/>
      <c r="P20" s="175" t="s">
        <v>3</v>
      </c>
      <c r="Q20" s="176"/>
      <c r="R20" s="177"/>
      <c r="S20" s="69">
        <f>SUM(S5:S19)</f>
        <v>0</v>
      </c>
      <c r="T20" s="66"/>
      <c r="U20" s="37"/>
      <c r="V20" s="47"/>
      <c r="W20" s="47"/>
      <c r="AH20" s="67">
        <v>18</v>
      </c>
      <c r="AI20" s="67">
        <f>領収証内訳!E22</f>
        <v>0</v>
      </c>
      <c r="AJ20" s="67">
        <f>領収証内訳!F22</f>
        <v>0</v>
      </c>
      <c r="AK20" s="67">
        <f>領収証内訳!G22</f>
        <v>0</v>
      </c>
      <c r="AL20" s="67">
        <f>領収証内訳!H22</f>
        <v>0</v>
      </c>
      <c r="AM20" s="67">
        <f>領収証内訳!I22</f>
        <v>0</v>
      </c>
      <c r="AN20" s="67">
        <f>領収証内訳!J22</f>
        <v>0</v>
      </c>
      <c r="AO20" s="67">
        <f>領収証内訳!K22</f>
        <v>0</v>
      </c>
      <c r="AP20" s="67">
        <f>領収証内訳!L22</f>
        <v>0</v>
      </c>
      <c r="AQ20" s="67">
        <f>領収証内訳!M22</f>
        <v>0</v>
      </c>
      <c r="AR20" s="67">
        <f>領収証内訳!N22</f>
        <v>0</v>
      </c>
      <c r="AS20" s="67">
        <f>領収証内訳!O22</f>
        <v>0</v>
      </c>
      <c r="AT20" s="67">
        <f>領収証内訳!P22</f>
        <v>0</v>
      </c>
      <c r="AU20" s="67">
        <f>領収証内訳!Q22</f>
        <v>0</v>
      </c>
      <c r="AV20" s="67">
        <f>領収証内訳!R22</f>
        <v>0</v>
      </c>
      <c r="AW20" s="67">
        <f>領収証内訳!S22</f>
        <v>0</v>
      </c>
      <c r="AX20" s="67">
        <f>領収証内訳!T22</f>
        <v>0</v>
      </c>
    </row>
    <row r="21" spans="1:50" ht="14.25" customHeight="1">
      <c r="A21" s="47"/>
      <c r="B21" s="47"/>
      <c r="C21" s="49"/>
      <c r="D21" s="50"/>
      <c r="E21" s="47"/>
      <c r="F21" s="47"/>
      <c r="G21" s="61"/>
      <c r="H21" s="47"/>
      <c r="I21" s="47"/>
      <c r="J21" s="47"/>
      <c r="K21" s="49"/>
      <c r="L21" s="50"/>
      <c r="M21" s="47"/>
      <c r="N21" s="47"/>
      <c r="O21" s="61"/>
      <c r="P21" s="47"/>
      <c r="Q21" s="47"/>
      <c r="R21" s="47"/>
      <c r="S21" s="49"/>
      <c r="T21" s="50"/>
      <c r="U21" s="47"/>
      <c r="V21" s="47"/>
      <c r="W21" s="47"/>
      <c r="AH21" s="67">
        <v>19</v>
      </c>
      <c r="AI21" s="67">
        <f>領収証内訳!E23</f>
        <v>0</v>
      </c>
      <c r="AJ21" s="67">
        <f>領収証内訳!F23</f>
        <v>0</v>
      </c>
      <c r="AK21" s="67">
        <f>領収証内訳!G23</f>
        <v>0</v>
      </c>
      <c r="AL21" s="67">
        <f>領収証内訳!H23</f>
        <v>0</v>
      </c>
      <c r="AM21" s="67">
        <f>領収証内訳!I23</f>
        <v>0</v>
      </c>
      <c r="AN21" s="67">
        <f>領収証内訳!J23</f>
        <v>0</v>
      </c>
      <c r="AO21" s="67">
        <f>領収証内訳!K23</f>
        <v>0</v>
      </c>
      <c r="AP21" s="67">
        <f>領収証内訳!L23</f>
        <v>0</v>
      </c>
      <c r="AQ21" s="67">
        <f>領収証内訳!M23</f>
        <v>0</v>
      </c>
      <c r="AR21" s="67">
        <f>領収証内訳!N23</f>
        <v>0</v>
      </c>
      <c r="AS21" s="67">
        <f>領収証内訳!O23</f>
        <v>0</v>
      </c>
      <c r="AT21" s="67">
        <f>領収証内訳!P23</f>
        <v>0</v>
      </c>
      <c r="AU21" s="67">
        <f>領収証内訳!Q23</f>
        <v>0</v>
      </c>
      <c r="AV21" s="67">
        <f>領収証内訳!R23</f>
        <v>0</v>
      </c>
      <c r="AW21" s="67">
        <f>領収証内訳!S23</f>
        <v>0</v>
      </c>
      <c r="AX21" s="67">
        <f>領収証内訳!T23</f>
        <v>0</v>
      </c>
    </row>
    <row r="22" spans="1:50" ht="7.5" customHeight="1">
      <c r="A22" s="47"/>
      <c r="B22" s="47"/>
      <c r="C22" s="49"/>
      <c r="D22" s="50"/>
      <c r="E22" s="47"/>
      <c r="F22" s="47"/>
      <c r="G22" s="61"/>
      <c r="H22" s="47"/>
      <c r="I22" s="47"/>
      <c r="J22" s="47"/>
      <c r="K22" s="49"/>
      <c r="L22" s="50"/>
      <c r="M22" s="47"/>
      <c r="N22" s="47"/>
      <c r="O22" s="61"/>
      <c r="P22" s="47"/>
      <c r="S22" s="49"/>
      <c r="T22" s="50"/>
      <c r="U22" s="47"/>
      <c r="V22" s="47"/>
      <c r="W22" s="47"/>
      <c r="AH22" s="67">
        <v>20</v>
      </c>
      <c r="AI22" s="67">
        <f>領収証内訳!E24</f>
        <v>0</v>
      </c>
      <c r="AJ22" s="67">
        <f>領収証内訳!F24</f>
        <v>0</v>
      </c>
      <c r="AK22" s="67">
        <f>領収証内訳!G24</f>
        <v>0</v>
      </c>
      <c r="AL22" s="67">
        <f>領収証内訳!H24</f>
        <v>0</v>
      </c>
      <c r="AM22" s="67">
        <f>領収証内訳!I24</f>
        <v>0</v>
      </c>
      <c r="AN22" s="67">
        <f>領収証内訳!J24</f>
        <v>0</v>
      </c>
      <c r="AO22" s="67">
        <f>領収証内訳!K24</f>
        <v>0</v>
      </c>
      <c r="AP22" s="67">
        <f>領収証内訳!L24</f>
        <v>0</v>
      </c>
      <c r="AQ22" s="67">
        <f>領収証内訳!M24</f>
        <v>0</v>
      </c>
      <c r="AR22" s="67">
        <f>領収証内訳!N24</f>
        <v>0</v>
      </c>
      <c r="AS22" s="67">
        <f>領収証内訳!O24</f>
        <v>0</v>
      </c>
      <c r="AT22" s="67">
        <f>領収証内訳!P24</f>
        <v>0</v>
      </c>
      <c r="AU22" s="67">
        <f>領収証内訳!Q24</f>
        <v>0</v>
      </c>
      <c r="AV22" s="67">
        <f>領収証内訳!R24</f>
        <v>0</v>
      </c>
      <c r="AW22" s="67">
        <f>領収証内訳!S24</f>
        <v>0</v>
      </c>
      <c r="AX22" s="67">
        <f>領収証内訳!T24</f>
        <v>0</v>
      </c>
    </row>
    <row r="23" spans="1:50" ht="6" customHeight="1">
      <c r="A23" s="47"/>
      <c r="B23" s="47"/>
      <c r="C23" s="47"/>
      <c r="D23" s="47"/>
      <c r="E23" s="47"/>
      <c r="F23" s="47"/>
      <c r="G23" s="61"/>
      <c r="I23" s="47"/>
      <c r="J23" s="47"/>
      <c r="K23" s="47"/>
      <c r="L23" s="47"/>
      <c r="M23" s="47"/>
      <c r="N23" s="47"/>
      <c r="O23" s="61"/>
      <c r="S23" s="47"/>
      <c r="T23" s="47"/>
      <c r="U23" s="47"/>
      <c r="V23" s="47"/>
      <c r="W23" s="47"/>
      <c r="AH23" s="67">
        <v>21</v>
      </c>
      <c r="AI23" s="67">
        <f>領収証内訳!E25</f>
        <v>0</v>
      </c>
      <c r="AJ23" s="67">
        <f>領収証内訳!F25</f>
        <v>0</v>
      </c>
      <c r="AK23" s="67">
        <f>領収証内訳!G25</f>
        <v>0</v>
      </c>
      <c r="AL23" s="67">
        <f>領収証内訳!H25</f>
        <v>0</v>
      </c>
      <c r="AM23" s="67">
        <f>領収証内訳!I25</f>
        <v>0</v>
      </c>
      <c r="AN23" s="67">
        <f>領収証内訳!J25</f>
        <v>0</v>
      </c>
      <c r="AO23" s="67">
        <f>領収証内訳!K25</f>
        <v>0</v>
      </c>
      <c r="AP23" s="67">
        <f>領収証内訳!L25</f>
        <v>0</v>
      </c>
      <c r="AQ23" s="67">
        <f>領収証内訳!M25</f>
        <v>0</v>
      </c>
      <c r="AR23" s="67">
        <f>領収証内訳!N25</f>
        <v>0</v>
      </c>
      <c r="AS23" s="67">
        <f>領収証内訳!O25</f>
        <v>0</v>
      </c>
      <c r="AT23" s="67">
        <f>領収証内訳!P25</f>
        <v>0</v>
      </c>
      <c r="AU23" s="67">
        <f>領収証内訳!Q25</f>
        <v>0</v>
      </c>
      <c r="AV23" s="67">
        <f>領収証内訳!R25</f>
        <v>0</v>
      </c>
      <c r="AW23" s="67">
        <f>領収証内訳!S25</f>
        <v>0</v>
      </c>
      <c r="AX23" s="67">
        <f>領収証内訳!T25</f>
        <v>0</v>
      </c>
    </row>
    <row r="24" spans="1:50" ht="17.25">
      <c r="A24" s="47"/>
      <c r="B24" s="47"/>
      <c r="C24" s="62"/>
      <c r="D24" s="47"/>
      <c r="E24" s="47"/>
      <c r="F24" s="47"/>
      <c r="G24" s="61"/>
      <c r="H24" s="47"/>
      <c r="I24" s="47"/>
      <c r="J24" s="47"/>
      <c r="K24" s="62"/>
      <c r="L24" s="47"/>
      <c r="M24" s="47"/>
      <c r="N24" s="47"/>
      <c r="O24" s="61"/>
      <c r="P24" s="47"/>
      <c r="S24" s="62"/>
      <c r="T24" s="47"/>
      <c r="U24" s="47"/>
      <c r="V24" s="47"/>
      <c r="W24" s="47"/>
      <c r="AH24" s="67">
        <v>22</v>
      </c>
      <c r="AI24" s="67">
        <f>領収証内訳!E26</f>
        <v>0</v>
      </c>
      <c r="AJ24" s="67">
        <f>領収証内訳!F26</f>
        <v>0</v>
      </c>
      <c r="AK24" s="67">
        <f>領収証内訳!G26</f>
        <v>0</v>
      </c>
      <c r="AL24" s="67">
        <f>領収証内訳!H26</f>
        <v>0</v>
      </c>
      <c r="AM24" s="67">
        <f>領収証内訳!I26</f>
        <v>0</v>
      </c>
      <c r="AN24" s="67">
        <f>領収証内訳!J26</f>
        <v>0</v>
      </c>
      <c r="AO24" s="67">
        <f>領収証内訳!K26</f>
        <v>0</v>
      </c>
      <c r="AP24" s="67">
        <f>領収証内訳!L26</f>
        <v>0</v>
      </c>
      <c r="AQ24" s="67">
        <f>領収証内訳!M26</f>
        <v>0</v>
      </c>
      <c r="AR24" s="67">
        <f>領収証内訳!N26</f>
        <v>0</v>
      </c>
      <c r="AS24" s="67">
        <f>領収証内訳!O26</f>
        <v>0</v>
      </c>
      <c r="AT24" s="67">
        <f>領収証内訳!P26</f>
        <v>0</v>
      </c>
      <c r="AU24" s="67">
        <f>領収証内訳!Q26</f>
        <v>0</v>
      </c>
      <c r="AV24" s="67">
        <f>領収証内訳!R26</f>
        <v>0</v>
      </c>
      <c r="AW24" s="67">
        <f>領収証内訳!S26</f>
        <v>0</v>
      </c>
      <c r="AX24" s="67">
        <f>領収証内訳!T26</f>
        <v>0</v>
      </c>
    </row>
    <row r="25" spans="1:50" ht="15" customHeight="1">
      <c r="A25" s="47"/>
      <c r="B25" s="47"/>
      <c r="C25" s="47"/>
      <c r="D25" s="47"/>
      <c r="E25" s="47"/>
      <c r="F25" s="47"/>
      <c r="G25" s="61"/>
      <c r="H25" s="47"/>
      <c r="I25" s="47"/>
      <c r="J25" s="47"/>
      <c r="K25" s="47"/>
      <c r="L25" s="47"/>
      <c r="M25" s="47"/>
      <c r="N25" s="47"/>
      <c r="O25" s="61"/>
      <c r="P25" s="47"/>
      <c r="S25" s="47"/>
      <c r="T25" s="47"/>
      <c r="U25" s="47"/>
      <c r="V25" s="47"/>
      <c r="W25" s="47"/>
      <c r="AH25" s="67">
        <v>23</v>
      </c>
      <c r="AI25" s="67">
        <f>領収証内訳!E27</f>
        <v>0</v>
      </c>
      <c r="AJ25" s="67">
        <f>領収証内訳!F27</f>
        <v>0</v>
      </c>
      <c r="AK25" s="67">
        <f>領収証内訳!G27</f>
        <v>0</v>
      </c>
      <c r="AL25" s="67">
        <f>領収証内訳!H27</f>
        <v>0</v>
      </c>
      <c r="AM25" s="67">
        <f>領収証内訳!I27</f>
        <v>0</v>
      </c>
      <c r="AN25" s="67">
        <f>領収証内訳!J27</f>
        <v>0</v>
      </c>
      <c r="AO25" s="67">
        <f>領収証内訳!K27</f>
        <v>0</v>
      </c>
      <c r="AP25" s="67">
        <f>領収証内訳!L27</f>
        <v>0</v>
      </c>
      <c r="AQ25" s="67">
        <f>領収証内訳!M27</f>
        <v>0</v>
      </c>
      <c r="AR25" s="67">
        <f>領収証内訳!N27</f>
        <v>0</v>
      </c>
      <c r="AS25" s="67">
        <f>領収証内訳!O27</f>
        <v>0</v>
      </c>
      <c r="AT25" s="67">
        <f>領収証内訳!P27</f>
        <v>0</v>
      </c>
      <c r="AU25" s="67">
        <f>領収証内訳!Q27</f>
        <v>0</v>
      </c>
      <c r="AV25" s="67">
        <f>領収証内訳!R27</f>
        <v>0</v>
      </c>
      <c r="AW25" s="67">
        <f>領収証内訳!S27</f>
        <v>0</v>
      </c>
      <c r="AX25" s="67">
        <f>領収証内訳!T27</f>
        <v>0</v>
      </c>
    </row>
    <row r="26" spans="1:50" ht="15" customHeight="1">
      <c r="A26" s="47"/>
      <c r="B26" s="47"/>
      <c r="C26" s="47"/>
      <c r="D26" s="47"/>
      <c r="E26" s="47"/>
      <c r="F26" s="47"/>
      <c r="G26" s="61"/>
      <c r="H26" s="47"/>
      <c r="I26" s="47"/>
      <c r="J26" s="47"/>
      <c r="K26" s="47"/>
      <c r="L26" s="47"/>
      <c r="M26" s="47"/>
      <c r="N26" s="47"/>
      <c r="O26" s="61"/>
      <c r="P26" s="47"/>
      <c r="S26" s="47"/>
      <c r="T26" s="47"/>
      <c r="U26" s="47"/>
      <c r="V26" s="47"/>
      <c r="W26" s="47"/>
      <c r="AH26" s="67">
        <v>24</v>
      </c>
      <c r="AI26" s="67">
        <f>領収証内訳!E28</f>
        <v>0</v>
      </c>
      <c r="AJ26" s="67">
        <f>領収証内訳!F28</f>
        <v>0</v>
      </c>
      <c r="AK26" s="67">
        <f>領収証内訳!G28</f>
        <v>0</v>
      </c>
      <c r="AL26" s="67">
        <f>領収証内訳!H28</f>
        <v>0</v>
      </c>
      <c r="AM26" s="67">
        <f>領収証内訳!I28</f>
        <v>0</v>
      </c>
      <c r="AN26" s="67">
        <f>領収証内訳!J28</f>
        <v>0</v>
      </c>
      <c r="AO26" s="67">
        <f>領収証内訳!K28</f>
        <v>0</v>
      </c>
      <c r="AP26" s="67">
        <f>領収証内訳!L28</f>
        <v>0</v>
      </c>
      <c r="AQ26" s="67">
        <f>領収証内訳!M28</f>
        <v>0</v>
      </c>
      <c r="AR26" s="67">
        <f>領収証内訳!N28</f>
        <v>0</v>
      </c>
      <c r="AS26" s="67">
        <f>領収証内訳!O28</f>
        <v>0</v>
      </c>
      <c r="AT26" s="67">
        <f>領収証内訳!P28</f>
        <v>0</v>
      </c>
      <c r="AU26" s="67">
        <f>領収証内訳!Q28</f>
        <v>0</v>
      </c>
      <c r="AV26" s="67">
        <f>領収証内訳!R28</f>
        <v>0</v>
      </c>
      <c r="AW26" s="67">
        <f>領収証内訳!S28</f>
        <v>0</v>
      </c>
      <c r="AX26" s="67">
        <f>領収証内訳!T28</f>
        <v>0</v>
      </c>
    </row>
    <row r="27" spans="1:50" ht="15" customHeight="1">
      <c r="A27" s="47"/>
      <c r="B27" s="47"/>
      <c r="C27" s="47"/>
      <c r="D27" s="47"/>
      <c r="E27" s="47"/>
      <c r="F27" s="53"/>
      <c r="G27" s="54"/>
      <c r="H27" s="44"/>
      <c r="I27" s="47"/>
      <c r="J27" s="47"/>
      <c r="K27" s="47"/>
      <c r="L27" s="47"/>
      <c r="M27" s="47"/>
      <c r="N27" s="53"/>
      <c r="O27" s="54"/>
      <c r="P27" s="44"/>
      <c r="V27" s="45"/>
      <c r="W27" s="45"/>
      <c r="AH27" s="67">
        <v>25</v>
      </c>
      <c r="AI27" s="67">
        <f>領収証内訳!E29</f>
        <v>0</v>
      </c>
      <c r="AJ27" s="67">
        <f>領収証内訳!F29</f>
        <v>0</v>
      </c>
      <c r="AK27" s="67">
        <f>領収証内訳!G29</f>
        <v>0</v>
      </c>
      <c r="AL27" s="67">
        <f>領収証内訳!H29</f>
        <v>0</v>
      </c>
      <c r="AM27" s="67">
        <f>領収証内訳!I29</f>
        <v>0</v>
      </c>
      <c r="AN27" s="67">
        <f>領収証内訳!J29</f>
        <v>0</v>
      </c>
      <c r="AO27" s="67">
        <f>領収証内訳!K29</f>
        <v>0</v>
      </c>
      <c r="AP27" s="67">
        <f>領収証内訳!L29</f>
        <v>0</v>
      </c>
      <c r="AQ27" s="67">
        <f>領収証内訳!M29</f>
        <v>0</v>
      </c>
      <c r="AR27" s="67">
        <f>領収証内訳!N29</f>
        <v>0</v>
      </c>
      <c r="AS27" s="67">
        <f>領収証内訳!O29</f>
        <v>0</v>
      </c>
      <c r="AT27" s="67">
        <f>領収証内訳!P29</f>
        <v>0</v>
      </c>
      <c r="AU27" s="67">
        <f>領収証内訳!Q29</f>
        <v>0</v>
      </c>
      <c r="AV27" s="67">
        <f>領収証内訳!R29</f>
        <v>0</v>
      </c>
      <c r="AW27" s="67">
        <f>領収証内訳!S29</f>
        <v>0</v>
      </c>
      <c r="AX27" s="67">
        <f>領収証内訳!T29</f>
        <v>0</v>
      </c>
    </row>
    <row r="28" spans="1:50" ht="15" customHeight="1">
      <c r="A28" s="47"/>
      <c r="B28" s="47"/>
      <c r="C28" s="47"/>
      <c r="D28" s="47"/>
      <c r="E28" s="47"/>
      <c r="F28" s="53"/>
      <c r="G28" s="54"/>
      <c r="H28" s="44"/>
      <c r="I28" s="47"/>
      <c r="J28" s="47"/>
      <c r="K28" s="47"/>
      <c r="L28" s="47"/>
      <c r="M28" s="47"/>
      <c r="N28" s="53"/>
      <c r="O28" s="54"/>
      <c r="P28" s="44"/>
      <c r="V28" s="45"/>
      <c r="W28" s="45"/>
      <c r="AH28" s="67">
        <v>26</v>
      </c>
      <c r="AI28" s="67">
        <f>領収証内訳!E30</f>
        <v>0</v>
      </c>
      <c r="AJ28" s="67">
        <f>領収証内訳!F30</f>
        <v>0</v>
      </c>
      <c r="AK28" s="67">
        <f>領収証内訳!G30</f>
        <v>0</v>
      </c>
      <c r="AL28" s="67">
        <f>領収証内訳!H30</f>
        <v>0</v>
      </c>
      <c r="AM28" s="67">
        <f>領収証内訳!I30</f>
        <v>0</v>
      </c>
      <c r="AN28" s="67">
        <f>領収証内訳!J30</f>
        <v>0</v>
      </c>
      <c r="AO28" s="67">
        <f>領収証内訳!K30</f>
        <v>0</v>
      </c>
      <c r="AP28" s="67">
        <f>領収証内訳!L30</f>
        <v>0</v>
      </c>
      <c r="AQ28" s="67">
        <f>領収証内訳!M30</f>
        <v>0</v>
      </c>
      <c r="AR28" s="67">
        <f>領収証内訳!N30</f>
        <v>0</v>
      </c>
      <c r="AS28" s="67">
        <f>領収証内訳!O30</f>
        <v>0</v>
      </c>
      <c r="AT28" s="67">
        <f>領収証内訳!P30</f>
        <v>0</v>
      </c>
      <c r="AU28" s="67">
        <f>領収証内訳!Q30</f>
        <v>0</v>
      </c>
      <c r="AV28" s="67">
        <f>領収証内訳!R30</f>
        <v>0</v>
      </c>
      <c r="AW28" s="67">
        <f>領収証内訳!S30</f>
        <v>0</v>
      </c>
      <c r="AX28" s="67">
        <f>領収証内訳!T30</f>
        <v>0</v>
      </c>
    </row>
    <row r="29" spans="1:50" ht="6.75" customHeight="1">
      <c r="A29" s="47"/>
      <c r="B29" s="47"/>
      <c r="C29" s="47"/>
      <c r="D29" s="47"/>
      <c r="E29" s="47"/>
      <c r="F29" s="53"/>
      <c r="G29" s="54"/>
      <c r="H29" s="44"/>
      <c r="I29" s="47"/>
      <c r="J29" s="47"/>
      <c r="K29" s="47"/>
      <c r="L29" s="47"/>
      <c r="M29" s="47"/>
      <c r="N29" s="53"/>
      <c r="O29" s="54"/>
      <c r="P29" s="44"/>
      <c r="V29" s="45"/>
      <c r="W29" s="45"/>
      <c r="AH29" s="67">
        <v>27</v>
      </c>
      <c r="AI29" s="67">
        <f>領収証内訳!E31</f>
        <v>0</v>
      </c>
      <c r="AJ29" s="67">
        <f>領収証内訳!F31</f>
        <v>0</v>
      </c>
      <c r="AK29" s="67">
        <f>領収証内訳!G31</f>
        <v>0</v>
      </c>
      <c r="AL29" s="67">
        <f>領収証内訳!H31</f>
        <v>0</v>
      </c>
      <c r="AM29" s="67">
        <f>領収証内訳!I31</f>
        <v>0</v>
      </c>
      <c r="AN29" s="67">
        <f>領収証内訳!J31</f>
        <v>0</v>
      </c>
      <c r="AO29" s="67">
        <f>領収証内訳!K31</f>
        <v>0</v>
      </c>
      <c r="AP29" s="67">
        <f>領収証内訳!L31</f>
        <v>0</v>
      </c>
      <c r="AQ29" s="67">
        <f>領収証内訳!M31</f>
        <v>0</v>
      </c>
      <c r="AR29" s="67">
        <f>領収証内訳!N31</f>
        <v>0</v>
      </c>
      <c r="AS29" s="67">
        <f>領収証内訳!O31</f>
        <v>0</v>
      </c>
      <c r="AT29" s="67">
        <f>領収証内訳!P31</f>
        <v>0</v>
      </c>
      <c r="AU29" s="67">
        <f>領収証内訳!Q31</f>
        <v>0</v>
      </c>
      <c r="AV29" s="67">
        <f>領収証内訳!R31</f>
        <v>0</v>
      </c>
      <c r="AW29" s="67">
        <f>領収証内訳!S31</f>
        <v>0</v>
      </c>
      <c r="AX29" s="67">
        <f>領収証内訳!T31</f>
        <v>0</v>
      </c>
    </row>
    <row r="30" spans="1:50" ht="16.5" customHeight="1">
      <c r="A30" s="47"/>
      <c r="B30" s="47"/>
      <c r="C30" s="62"/>
      <c r="D30" s="47"/>
      <c r="E30" s="47"/>
      <c r="F30" s="47"/>
      <c r="G30" s="61"/>
      <c r="H30" s="44"/>
      <c r="I30" s="47"/>
      <c r="J30" s="47"/>
      <c r="K30" s="62"/>
      <c r="L30" s="47"/>
      <c r="M30" s="47"/>
      <c r="N30" s="47"/>
      <c r="O30" s="61"/>
      <c r="P30" s="44"/>
      <c r="S30" s="63"/>
      <c r="V30" s="47"/>
      <c r="W30" s="47"/>
      <c r="AH30" s="67">
        <v>28</v>
      </c>
      <c r="AI30" s="67">
        <f>領収証内訳!E32</f>
        <v>0</v>
      </c>
      <c r="AJ30" s="67">
        <f>領収証内訳!F32</f>
        <v>0</v>
      </c>
      <c r="AK30" s="67">
        <f>領収証内訳!G32</f>
        <v>0</v>
      </c>
      <c r="AL30" s="67">
        <f>領収証内訳!H32</f>
        <v>0</v>
      </c>
      <c r="AM30" s="67">
        <f>領収証内訳!I32</f>
        <v>0</v>
      </c>
      <c r="AN30" s="67">
        <f>領収証内訳!J32</f>
        <v>0</v>
      </c>
      <c r="AO30" s="67">
        <f>領収証内訳!K32</f>
        <v>0</v>
      </c>
      <c r="AP30" s="67">
        <f>領収証内訳!L32</f>
        <v>0</v>
      </c>
      <c r="AQ30" s="67">
        <f>領収証内訳!M32</f>
        <v>0</v>
      </c>
      <c r="AR30" s="67">
        <f>領収証内訳!N32</f>
        <v>0</v>
      </c>
      <c r="AS30" s="67">
        <f>領収証内訳!O32</f>
        <v>0</v>
      </c>
      <c r="AT30" s="67">
        <f>領収証内訳!P32</f>
        <v>0</v>
      </c>
      <c r="AU30" s="67">
        <f>領収証内訳!Q32</f>
        <v>0</v>
      </c>
      <c r="AV30" s="67">
        <f>領収証内訳!R32</f>
        <v>0</v>
      </c>
      <c r="AW30" s="67">
        <f>領収証内訳!S32</f>
        <v>0</v>
      </c>
      <c r="AX30" s="67">
        <f>領収証内訳!T32</f>
        <v>0</v>
      </c>
    </row>
    <row r="31" spans="1:50" ht="13.5" customHeight="1">
      <c r="A31" s="47"/>
      <c r="B31" s="47"/>
      <c r="C31" s="47"/>
      <c r="D31" s="47"/>
      <c r="E31" s="47"/>
      <c r="F31" s="47"/>
      <c r="G31" s="61"/>
      <c r="H31" s="44"/>
      <c r="I31" s="47"/>
      <c r="J31" s="47"/>
      <c r="K31" s="47"/>
      <c r="L31" s="47"/>
      <c r="M31" s="47"/>
      <c r="N31" s="47"/>
      <c r="O31" s="61"/>
      <c r="P31" s="44"/>
      <c r="V31" s="47"/>
      <c r="W31" s="47"/>
      <c r="AH31" s="67">
        <v>29</v>
      </c>
      <c r="AI31" s="67">
        <f>領収証内訳!E33</f>
        <v>0</v>
      </c>
      <c r="AJ31" s="67">
        <f>領収証内訳!F33</f>
        <v>0</v>
      </c>
      <c r="AK31" s="67">
        <f>領収証内訳!G33</f>
        <v>0</v>
      </c>
      <c r="AL31" s="67">
        <f>領収証内訳!H33</f>
        <v>0</v>
      </c>
      <c r="AM31" s="67">
        <f>領収証内訳!I33</f>
        <v>0</v>
      </c>
      <c r="AN31" s="67">
        <f>領収証内訳!J33</f>
        <v>0</v>
      </c>
      <c r="AO31" s="67">
        <f>領収証内訳!K33</f>
        <v>0</v>
      </c>
      <c r="AP31" s="67">
        <f>領収証内訳!L33</f>
        <v>0</v>
      </c>
      <c r="AQ31" s="67">
        <f>領収証内訳!M33</f>
        <v>0</v>
      </c>
      <c r="AR31" s="67">
        <f>領収証内訳!N33</f>
        <v>0</v>
      </c>
      <c r="AS31" s="67">
        <f>領収証内訳!O33</f>
        <v>0</v>
      </c>
      <c r="AT31" s="67">
        <f>領収証内訳!P33</f>
        <v>0</v>
      </c>
      <c r="AU31" s="67">
        <f>領収証内訳!Q33</f>
        <v>0</v>
      </c>
      <c r="AV31" s="67">
        <f>領収証内訳!R33</f>
        <v>0</v>
      </c>
      <c r="AW31" s="67">
        <f>領収証内訳!S33</f>
        <v>0</v>
      </c>
      <c r="AX31" s="67">
        <f>領収証内訳!T33</f>
        <v>0</v>
      </c>
    </row>
    <row r="32" spans="1:50" ht="8.25" customHeight="1">
      <c r="A32" s="47"/>
      <c r="B32" s="47"/>
      <c r="C32" s="47"/>
      <c r="D32" s="47"/>
      <c r="E32" s="47"/>
      <c r="F32" s="47"/>
      <c r="G32" s="61"/>
      <c r="H32" s="44"/>
      <c r="I32" s="47"/>
      <c r="J32" s="47"/>
      <c r="K32" s="47"/>
      <c r="L32" s="47"/>
      <c r="M32" s="47"/>
      <c r="N32" s="47"/>
      <c r="O32" s="61"/>
      <c r="P32" s="44"/>
      <c r="V32" s="47"/>
      <c r="W32" s="47"/>
      <c r="AH32" s="67">
        <v>30</v>
      </c>
      <c r="AI32" s="67">
        <f>領収証内訳!E34</f>
        <v>0</v>
      </c>
      <c r="AJ32" s="67">
        <f>領収証内訳!F34</f>
        <v>0</v>
      </c>
      <c r="AK32" s="67">
        <f>領収証内訳!G34</f>
        <v>0</v>
      </c>
      <c r="AL32" s="67">
        <f>領収証内訳!H34</f>
        <v>0</v>
      </c>
      <c r="AM32" s="67">
        <f>領収証内訳!I34</f>
        <v>0</v>
      </c>
      <c r="AN32" s="67">
        <f>領収証内訳!J34</f>
        <v>0</v>
      </c>
      <c r="AO32" s="67">
        <f>領収証内訳!K34</f>
        <v>0</v>
      </c>
      <c r="AP32" s="67">
        <f>領収証内訳!L34</f>
        <v>0</v>
      </c>
      <c r="AQ32" s="67">
        <f>領収証内訳!M34</f>
        <v>0</v>
      </c>
      <c r="AR32" s="67">
        <f>領収証内訳!N34</f>
        <v>0</v>
      </c>
      <c r="AS32" s="67">
        <f>領収証内訳!O34</f>
        <v>0</v>
      </c>
      <c r="AT32" s="67">
        <f>領収証内訳!P34</f>
        <v>0</v>
      </c>
      <c r="AU32" s="67">
        <f>領収証内訳!Q34</f>
        <v>0</v>
      </c>
      <c r="AV32" s="67">
        <f>領収証内訳!R34</f>
        <v>0</v>
      </c>
      <c r="AW32" s="67">
        <f>領収証内訳!S34</f>
        <v>0</v>
      </c>
      <c r="AX32" s="67">
        <f>領収証内訳!T34</f>
        <v>0</v>
      </c>
    </row>
    <row r="33" spans="1:50" ht="17.25" customHeight="1">
      <c r="A33" s="47"/>
      <c r="B33" s="47"/>
      <c r="C33" s="62"/>
      <c r="D33" s="47"/>
      <c r="E33" s="47"/>
      <c r="F33" s="47"/>
      <c r="G33" s="61"/>
      <c r="H33" s="44"/>
      <c r="I33" s="47"/>
      <c r="J33" s="47"/>
      <c r="K33" s="62"/>
      <c r="L33" s="47"/>
      <c r="M33" s="47"/>
      <c r="N33" s="47"/>
      <c r="O33" s="61"/>
      <c r="P33" s="44"/>
      <c r="S33" s="63"/>
      <c r="V33" s="47"/>
      <c r="W33" s="47"/>
      <c r="AH33" s="67">
        <v>31</v>
      </c>
      <c r="AI33" s="67">
        <f>領収証内訳!E35</f>
        <v>0</v>
      </c>
      <c r="AJ33" s="67">
        <f>領収証内訳!F35</f>
        <v>0</v>
      </c>
      <c r="AK33" s="67">
        <f>領収証内訳!G35</f>
        <v>0</v>
      </c>
      <c r="AL33" s="67">
        <f>領収証内訳!H35</f>
        <v>0</v>
      </c>
      <c r="AM33" s="67">
        <f>領収証内訳!I35</f>
        <v>0</v>
      </c>
      <c r="AN33" s="67">
        <f>領収証内訳!J35</f>
        <v>0</v>
      </c>
      <c r="AO33" s="67">
        <f>領収証内訳!K35</f>
        <v>0</v>
      </c>
      <c r="AP33" s="67">
        <f>領収証内訳!L35</f>
        <v>0</v>
      </c>
      <c r="AQ33" s="67">
        <f>領収証内訳!M35</f>
        <v>0</v>
      </c>
      <c r="AR33" s="67">
        <f>領収証内訳!N35</f>
        <v>0</v>
      </c>
      <c r="AS33" s="67">
        <f>領収証内訳!O35</f>
        <v>0</v>
      </c>
      <c r="AT33" s="67">
        <f>領収証内訳!P35</f>
        <v>0</v>
      </c>
      <c r="AU33" s="67">
        <f>領収証内訳!Q35</f>
        <v>0</v>
      </c>
      <c r="AV33" s="67">
        <f>領収証内訳!R35</f>
        <v>0</v>
      </c>
      <c r="AW33" s="67">
        <f>領収証内訳!S35</f>
        <v>0</v>
      </c>
      <c r="AX33" s="67">
        <f>領収証内訳!T35</f>
        <v>0</v>
      </c>
    </row>
    <row r="34" spans="1:50" ht="15.75" customHeight="1">
      <c r="A34" s="47"/>
      <c r="B34" s="47"/>
      <c r="C34" s="47"/>
      <c r="D34" s="47"/>
      <c r="E34" s="47"/>
      <c r="F34" s="47"/>
      <c r="G34" s="61"/>
      <c r="H34" s="44"/>
      <c r="I34" s="47"/>
      <c r="J34" s="47"/>
      <c r="K34" s="47"/>
      <c r="L34" s="47"/>
      <c r="M34" s="47"/>
      <c r="N34" s="47"/>
      <c r="O34" s="61"/>
      <c r="P34" s="44"/>
      <c r="V34" s="47"/>
      <c r="W34" s="47"/>
      <c r="AH34" s="67">
        <v>32</v>
      </c>
      <c r="AI34" s="67">
        <f>領収証内訳!E36</f>
        <v>0</v>
      </c>
      <c r="AJ34" s="67">
        <f>領収証内訳!F36</f>
        <v>0</v>
      </c>
      <c r="AK34" s="67">
        <f>領収証内訳!G36</f>
        <v>0</v>
      </c>
      <c r="AL34" s="67">
        <f>領収証内訳!H36</f>
        <v>0</v>
      </c>
      <c r="AM34" s="67">
        <f>領収証内訳!I36</f>
        <v>0</v>
      </c>
      <c r="AN34" s="67">
        <f>領収証内訳!J36</f>
        <v>0</v>
      </c>
      <c r="AO34" s="67">
        <f>領収証内訳!K36</f>
        <v>0</v>
      </c>
      <c r="AP34" s="67">
        <f>領収証内訳!L36</f>
        <v>0</v>
      </c>
      <c r="AQ34" s="67">
        <f>領収証内訳!M36</f>
        <v>0</v>
      </c>
      <c r="AR34" s="67">
        <f>領収証内訳!N36</f>
        <v>0</v>
      </c>
      <c r="AS34" s="67">
        <f>領収証内訳!O36</f>
        <v>0</v>
      </c>
      <c r="AT34" s="67">
        <f>領収証内訳!P36</f>
        <v>0</v>
      </c>
      <c r="AU34" s="67">
        <f>領収証内訳!Q36</f>
        <v>0</v>
      </c>
      <c r="AV34" s="67">
        <f>領収証内訳!R36</f>
        <v>0</v>
      </c>
      <c r="AW34" s="67">
        <f>領収証内訳!S36</f>
        <v>0</v>
      </c>
      <c r="AX34" s="67">
        <f>領収証内訳!T36</f>
        <v>0</v>
      </c>
    </row>
    <row r="35" spans="1:50" ht="10.5" customHeight="1">
      <c r="A35" s="47"/>
      <c r="B35" s="47"/>
      <c r="C35" s="47"/>
      <c r="D35" s="47"/>
      <c r="E35" s="47"/>
      <c r="F35" s="47"/>
      <c r="G35" s="61"/>
      <c r="H35" s="44"/>
      <c r="I35" s="47"/>
      <c r="J35" s="47"/>
      <c r="K35" s="47"/>
      <c r="L35" s="47"/>
      <c r="M35" s="47"/>
      <c r="N35" s="47"/>
      <c r="O35" s="61"/>
      <c r="P35" s="44"/>
      <c r="V35" s="47"/>
      <c r="W35" s="47"/>
      <c r="AH35" s="67">
        <v>33</v>
      </c>
      <c r="AI35" s="67">
        <f>領収証内訳!E37</f>
        <v>0</v>
      </c>
      <c r="AJ35" s="67">
        <f>領収証内訳!F37</f>
        <v>0</v>
      </c>
      <c r="AK35" s="67">
        <f>領収証内訳!G37</f>
        <v>0</v>
      </c>
      <c r="AL35" s="67">
        <f>領収証内訳!H37</f>
        <v>0</v>
      </c>
      <c r="AM35" s="67">
        <f>領収証内訳!I37</f>
        <v>0</v>
      </c>
      <c r="AN35" s="67">
        <f>領収証内訳!J37</f>
        <v>0</v>
      </c>
      <c r="AO35" s="67">
        <f>領収証内訳!K37</f>
        <v>0</v>
      </c>
      <c r="AP35" s="67">
        <f>領収証内訳!L37</f>
        <v>0</v>
      </c>
      <c r="AQ35" s="67">
        <f>領収証内訳!M37</f>
        <v>0</v>
      </c>
      <c r="AR35" s="67">
        <f>領収証内訳!N37</f>
        <v>0</v>
      </c>
      <c r="AS35" s="67">
        <f>領収証内訳!O37</f>
        <v>0</v>
      </c>
      <c r="AT35" s="67">
        <f>領収証内訳!P37</f>
        <v>0</v>
      </c>
      <c r="AU35" s="67">
        <f>領収証内訳!Q37</f>
        <v>0</v>
      </c>
      <c r="AV35" s="67">
        <f>領収証内訳!R37</f>
        <v>0</v>
      </c>
      <c r="AW35" s="67">
        <f>領収証内訳!S37</f>
        <v>0</v>
      </c>
      <c r="AX35" s="67">
        <f>領収証内訳!T37</f>
        <v>0</v>
      </c>
    </row>
    <row r="36" spans="1:50" ht="16.5" customHeight="1">
      <c r="A36" s="47"/>
      <c r="B36" s="47"/>
      <c r="C36" s="62"/>
      <c r="D36" s="47"/>
      <c r="E36" s="47"/>
      <c r="F36" s="47"/>
      <c r="G36" s="61"/>
      <c r="H36" s="44"/>
      <c r="I36" s="47"/>
      <c r="J36" s="47"/>
      <c r="K36" s="62"/>
      <c r="L36" s="47"/>
      <c r="M36" s="47"/>
      <c r="N36" s="47"/>
      <c r="O36" s="61"/>
      <c r="P36" s="44"/>
      <c r="S36" s="63"/>
      <c r="V36" s="47"/>
      <c r="W36" s="47"/>
      <c r="AH36" s="67">
        <v>34</v>
      </c>
      <c r="AI36" s="67">
        <f>領収証内訳!E38</f>
        <v>0</v>
      </c>
      <c r="AJ36" s="67">
        <f>領収証内訳!F38</f>
        <v>0</v>
      </c>
      <c r="AK36" s="67">
        <f>領収証内訳!G38</f>
        <v>0</v>
      </c>
      <c r="AL36" s="67">
        <f>領収証内訳!H38</f>
        <v>0</v>
      </c>
      <c r="AM36" s="67">
        <f>領収証内訳!I38</f>
        <v>0</v>
      </c>
      <c r="AN36" s="67">
        <f>領収証内訳!J38</f>
        <v>0</v>
      </c>
      <c r="AO36" s="67">
        <f>領収証内訳!K38</f>
        <v>0</v>
      </c>
      <c r="AP36" s="67">
        <f>領収証内訳!L38</f>
        <v>0</v>
      </c>
      <c r="AQ36" s="67">
        <f>領収証内訳!M38</f>
        <v>0</v>
      </c>
      <c r="AR36" s="67">
        <f>領収証内訳!N38</f>
        <v>0</v>
      </c>
      <c r="AS36" s="67">
        <f>領収証内訳!O38</f>
        <v>0</v>
      </c>
      <c r="AT36" s="67">
        <f>領収証内訳!P38</f>
        <v>0</v>
      </c>
      <c r="AU36" s="67">
        <f>領収証内訳!Q38</f>
        <v>0</v>
      </c>
      <c r="AV36" s="67">
        <f>領収証内訳!R38</f>
        <v>0</v>
      </c>
      <c r="AW36" s="67">
        <f>領収証内訳!S38</f>
        <v>0</v>
      </c>
      <c r="AX36" s="67">
        <f>領収証内訳!T38</f>
        <v>0</v>
      </c>
    </row>
    <row r="37" spans="1:50" ht="8.25" customHeight="1">
      <c r="A37" s="47"/>
      <c r="B37" s="47"/>
      <c r="C37" s="47"/>
      <c r="D37" s="47"/>
      <c r="E37" s="47"/>
      <c r="F37" s="51"/>
      <c r="G37" s="55"/>
      <c r="H37" s="44"/>
      <c r="I37" s="47"/>
      <c r="J37" s="47"/>
      <c r="K37" s="47"/>
      <c r="L37" s="47"/>
      <c r="M37" s="47"/>
      <c r="N37" s="51"/>
      <c r="O37" s="55"/>
      <c r="P37" s="44"/>
      <c r="V37" s="51"/>
      <c r="W37" s="44"/>
      <c r="AH37" s="67">
        <v>35</v>
      </c>
      <c r="AI37" s="67">
        <f>領収証内訳!E39</f>
        <v>0</v>
      </c>
      <c r="AJ37" s="67">
        <f>領収証内訳!F39</f>
        <v>0</v>
      </c>
      <c r="AK37" s="67">
        <f>領収証内訳!G39</f>
        <v>0</v>
      </c>
      <c r="AL37" s="67">
        <f>領収証内訳!H39</f>
        <v>0</v>
      </c>
      <c r="AM37" s="67">
        <f>領収証内訳!I39</f>
        <v>0</v>
      </c>
      <c r="AN37" s="67">
        <f>領収証内訳!J39</f>
        <v>0</v>
      </c>
      <c r="AO37" s="67">
        <f>領収証内訳!K39</f>
        <v>0</v>
      </c>
      <c r="AP37" s="67">
        <f>領収証内訳!L39</f>
        <v>0</v>
      </c>
      <c r="AQ37" s="67">
        <f>領収証内訳!M39</f>
        <v>0</v>
      </c>
      <c r="AR37" s="67">
        <f>領収証内訳!N39</f>
        <v>0</v>
      </c>
      <c r="AS37" s="67">
        <f>領収証内訳!O39</f>
        <v>0</v>
      </c>
      <c r="AT37" s="67">
        <f>領収証内訳!P39</f>
        <v>0</v>
      </c>
      <c r="AU37" s="67">
        <f>領収証内訳!Q39</f>
        <v>0</v>
      </c>
      <c r="AV37" s="67">
        <f>領収証内訳!R39</f>
        <v>0</v>
      </c>
      <c r="AW37" s="67">
        <f>領収証内訳!S39</f>
        <v>0</v>
      </c>
      <c r="AX37" s="67">
        <f>領収証内訳!T39</f>
        <v>0</v>
      </c>
    </row>
    <row r="38" spans="1:50" ht="17.25">
      <c r="A38" s="47"/>
      <c r="B38" s="47"/>
      <c r="C38" s="62"/>
      <c r="D38" s="47"/>
      <c r="E38" s="47"/>
      <c r="F38" s="47"/>
      <c r="G38" s="61"/>
      <c r="H38" s="47"/>
      <c r="I38" s="47"/>
      <c r="J38" s="47"/>
      <c r="K38" s="62"/>
      <c r="L38" s="47"/>
      <c r="M38" s="47"/>
      <c r="N38" s="47"/>
      <c r="O38" s="61"/>
      <c r="P38" s="47"/>
      <c r="S38" s="63"/>
      <c r="V38" s="47"/>
      <c r="W38" s="47"/>
      <c r="AH38" s="67">
        <v>36</v>
      </c>
      <c r="AI38" s="67">
        <f>領収証内訳!E40</f>
        <v>0</v>
      </c>
      <c r="AJ38" s="67">
        <f>領収証内訳!F40</f>
        <v>0</v>
      </c>
      <c r="AK38" s="67">
        <f>領収証内訳!G40</f>
        <v>0</v>
      </c>
      <c r="AL38" s="67">
        <f>領収証内訳!H40</f>
        <v>0</v>
      </c>
      <c r="AM38" s="67">
        <f>領収証内訳!I40</f>
        <v>0</v>
      </c>
      <c r="AN38" s="67">
        <f>領収証内訳!J40</f>
        <v>0</v>
      </c>
      <c r="AO38" s="67">
        <f>領収証内訳!K40</f>
        <v>0</v>
      </c>
      <c r="AP38" s="67">
        <f>領収証内訳!L40</f>
        <v>0</v>
      </c>
      <c r="AQ38" s="67">
        <f>領収証内訳!M40</f>
        <v>0</v>
      </c>
      <c r="AR38" s="67">
        <f>領収証内訳!N40</f>
        <v>0</v>
      </c>
      <c r="AS38" s="67">
        <f>領収証内訳!O40</f>
        <v>0</v>
      </c>
      <c r="AT38" s="67">
        <f>領収証内訳!P40</f>
        <v>0</v>
      </c>
      <c r="AU38" s="67">
        <f>領収証内訳!Q40</f>
        <v>0</v>
      </c>
      <c r="AV38" s="67">
        <f>領収証内訳!R40</f>
        <v>0</v>
      </c>
      <c r="AW38" s="67">
        <f>領収証内訳!S40</f>
        <v>0</v>
      </c>
      <c r="AX38" s="67">
        <f>領収証内訳!T40</f>
        <v>0</v>
      </c>
    </row>
    <row r="39" spans="1:50" ht="15" customHeight="1">
      <c r="A39" s="47"/>
      <c r="B39" s="47"/>
      <c r="C39" s="47"/>
      <c r="D39" s="47"/>
      <c r="E39" s="47"/>
      <c r="F39" s="47"/>
      <c r="G39" s="61"/>
      <c r="H39" s="47"/>
      <c r="I39" s="47"/>
      <c r="J39" s="47"/>
      <c r="K39" s="47"/>
      <c r="L39" s="47"/>
      <c r="M39" s="47"/>
      <c r="N39" s="47"/>
      <c r="O39" s="61"/>
      <c r="P39" s="47"/>
      <c r="V39" s="47"/>
      <c r="W39" s="47"/>
      <c r="AH39" s="67">
        <v>37</v>
      </c>
      <c r="AI39" s="67">
        <f>領収証内訳!E41</f>
        <v>0</v>
      </c>
      <c r="AJ39" s="67">
        <f>領収証内訳!F41</f>
        <v>0</v>
      </c>
      <c r="AK39" s="67">
        <f>領収証内訳!G41</f>
        <v>0</v>
      </c>
      <c r="AL39" s="67">
        <f>領収証内訳!H41</f>
        <v>0</v>
      </c>
      <c r="AM39" s="67">
        <f>領収証内訳!I41</f>
        <v>0</v>
      </c>
      <c r="AN39" s="67">
        <f>領収証内訳!J41</f>
        <v>0</v>
      </c>
      <c r="AO39" s="67">
        <f>領収証内訳!K41</f>
        <v>0</v>
      </c>
      <c r="AP39" s="67">
        <f>領収証内訳!L41</f>
        <v>0</v>
      </c>
      <c r="AQ39" s="67">
        <f>領収証内訳!M41</f>
        <v>0</v>
      </c>
      <c r="AR39" s="67">
        <f>領収証内訳!N41</f>
        <v>0</v>
      </c>
      <c r="AS39" s="67">
        <f>領収証内訳!O41</f>
        <v>0</v>
      </c>
      <c r="AT39" s="67">
        <f>領収証内訳!P41</f>
        <v>0</v>
      </c>
      <c r="AU39" s="67">
        <f>領収証内訳!Q41</f>
        <v>0</v>
      </c>
      <c r="AV39" s="67">
        <f>領収証内訳!R41</f>
        <v>0</v>
      </c>
      <c r="AW39" s="67">
        <f>領収証内訳!S41</f>
        <v>0</v>
      </c>
      <c r="AX39" s="67">
        <f>領収証内訳!T41</f>
        <v>0</v>
      </c>
    </row>
    <row r="40" spans="1:50" ht="5.25" customHeight="1">
      <c r="A40" s="47"/>
      <c r="B40" s="47"/>
      <c r="C40" s="47"/>
      <c r="D40" s="47"/>
      <c r="E40" s="47"/>
      <c r="F40" s="47"/>
      <c r="G40" s="61"/>
      <c r="H40" s="47"/>
      <c r="I40" s="47"/>
      <c r="J40" s="47"/>
      <c r="K40" s="47"/>
      <c r="L40" s="47"/>
      <c r="M40" s="47"/>
      <c r="N40" s="47"/>
      <c r="O40" s="61"/>
      <c r="P40" s="47"/>
      <c r="V40" s="47"/>
      <c r="W40" s="47"/>
      <c r="AH40" s="67">
        <v>38</v>
      </c>
      <c r="AI40" s="67">
        <f>領収証内訳!E42</f>
        <v>0</v>
      </c>
      <c r="AJ40" s="67">
        <f>領収証内訳!F42</f>
        <v>0</v>
      </c>
      <c r="AK40" s="67">
        <f>領収証内訳!G42</f>
        <v>0</v>
      </c>
      <c r="AL40" s="67">
        <f>領収証内訳!H42</f>
        <v>0</v>
      </c>
      <c r="AM40" s="67">
        <f>領収証内訳!I42</f>
        <v>0</v>
      </c>
      <c r="AN40" s="67">
        <f>領収証内訳!J42</f>
        <v>0</v>
      </c>
      <c r="AO40" s="67">
        <f>領収証内訳!K42</f>
        <v>0</v>
      </c>
      <c r="AP40" s="67">
        <f>領収証内訳!L42</f>
        <v>0</v>
      </c>
      <c r="AQ40" s="67">
        <f>領収証内訳!M42</f>
        <v>0</v>
      </c>
      <c r="AR40" s="67">
        <f>領収証内訳!N42</f>
        <v>0</v>
      </c>
      <c r="AS40" s="67">
        <f>領収証内訳!O42</f>
        <v>0</v>
      </c>
      <c r="AT40" s="67">
        <f>領収証内訳!P42</f>
        <v>0</v>
      </c>
      <c r="AU40" s="67">
        <f>領収証内訳!Q42</f>
        <v>0</v>
      </c>
      <c r="AV40" s="67">
        <f>領収証内訳!R42</f>
        <v>0</v>
      </c>
      <c r="AW40" s="67">
        <f>領収証内訳!S42</f>
        <v>0</v>
      </c>
      <c r="AX40" s="67">
        <f>領収証内訳!T42</f>
        <v>0</v>
      </c>
    </row>
    <row r="41" spans="1:50" ht="17.25" customHeight="1">
      <c r="A41" s="47"/>
      <c r="B41" s="47"/>
      <c r="C41" s="62"/>
      <c r="D41" s="47"/>
      <c r="E41" s="47"/>
      <c r="F41" s="47"/>
      <c r="G41" s="61"/>
      <c r="H41" s="47"/>
      <c r="I41" s="47"/>
      <c r="J41" s="47"/>
      <c r="K41" s="62"/>
      <c r="L41" s="47"/>
      <c r="M41" s="47"/>
      <c r="N41" s="47"/>
      <c r="O41" s="61"/>
      <c r="P41" s="47"/>
      <c r="S41" s="63"/>
      <c r="V41" s="47"/>
      <c r="W41" s="47"/>
      <c r="AH41" s="67">
        <v>39</v>
      </c>
      <c r="AI41" s="67">
        <f>領収証内訳!E43</f>
        <v>0</v>
      </c>
      <c r="AJ41" s="67">
        <f>領収証内訳!F43</f>
        <v>0</v>
      </c>
      <c r="AK41" s="67">
        <f>領収証内訳!G43</f>
        <v>0</v>
      </c>
      <c r="AL41" s="67">
        <f>領収証内訳!H43</f>
        <v>0</v>
      </c>
      <c r="AM41" s="67">
        <f>領収証内訳!I43</f>
        <v>0</v>
      </c>
      <c r="AN41" s="67">
        <f>領収証内訳!J43</f>
        <v>0</v>
      </c>
      <c r="AO41" s="67">
        <f>領収証内訳!K43</f>
        <v>0</v>
      </c>
      <c r="AP41" s="67">
        <f>領収証内訳!L43</f>
        <v>0</v>
      </c>
      <c r="AQ41" s="67">
        <f>領収証内訳!M43</f>
        <v>0</v>
      </c>
      <c r="AR41" s="67">
        <f>領収証内訳!N43</f>
        <v>0</v>
      </c>
      <c r="AS41" s="67">
        <f>領収証内訳!O43</f>
        <v>0</v>
      </c>
      <c r="AT41" s="67">
        <f>領収証内訳!P43</f>
        <v>0</v>
      </c>
      <c r="AU41" s="67">
        <f>領収証内訳!Q43</f>
        <v>0</v>
      </c>
      <c r="AV41" s="67">
        <f>領収証内訳!R43</f>
        <v>0</v>
      </c>
      <c r="AW41" s="67">
        <f>領収証内訳!S43</f>
        <v>0</v>
      </c>
      <c r="AX41" s="67">
        <f>領収証内訳!T43</f>
        <v>0</v>
      </c>
    </row>
    <row r="42" spans="1:50" ht="9" customHeight="1">
      <c r="A42" s="47"/>
      <c r="B42" s="47"/>
      <c r="C42" s="47"/>
      <c r="D42" s="47"/>
      <c r="E42" s="47"/>
      <c r="F42" s="47"/>
      <c r="G42" s="61"/>
      <c r="H42" s="47"/>
      <c r="I42" s="47"/>
      <c r="J42" s="47"/>
      <c r="K42" s="47"/>
      <c r="L42" s="47"/>
      <c r="M42" s="47"/>
      <c r="N42" s="47"/>
      <c r="O42" s="61"/>
      <c r="P42" s="47"/>
      <c r="V42" s="47"/>
      <c r="W42" s="47"/>
      <c r="AH42" s="67">
        <v>40</v>
      </c>
      <c r="AI42" s="67">
        <f>領収証内訳!E44</f>
        <v>0</v>
      </c>
      <c r="AJ42" s="67">
        <f>領収証内訳!F44</f>
        <v>0</v>
      </c>
      <c r="AK42" s="67">
        <f>領収証内訳!G44</f>
        <v>0</v>
      </c>
      <c r="AL42" s="67">
        <f>領収証内訳!H44</f>
        <v>0</v>
      </c>
      <c r="AM42" s="67">
        <f>領収証内訳!I44</f>
        <v>0</v>
      </c>
      <c r="AN42" s="67">
        <f>領収証内訳!J44</f>
        <v>0</v>
      </c>
      <c r="AO42" s="67">
        <f>領収証内訳!K44</f>
        <v>0</v>
      </c>
      <c r="AP42" s="67">
        <f>領収証内訳!L44</f>
        <v>0</v>
      </c>
      <c r="AQ42" s="67">
        <f>領収証内訳!M44</f>
        <v>0</v>
      </c>
      <c r="AR42" s="67">
        <f>領収証内訳!N44</f>
        <v>0</v>
      </c>
      <c r="AS42" s="67">
        <f>領収証内訳!O44</f>
        <v>0</v>
      </c>
      <c r="AT42" s="67">
        <f>領収証内訳!P44</f>
        <v>0</v>
      </c>
      <c r="AU42" s="67">
        <f>領収証内訳!Q44</f>
        <v>0</v>
      </c>
      <c r="AV42" s="67">
        <f>領収証内訳!R44</f>
        <v>0</v>
      </c>
      <c r="AW42" s="67">
        <f>領収証内訳!S44</f>
        <v>0</v>
      </c>
      <c r="AX42" s="67">
        <f>領収証内訳!T44</f>
        <v>0</v>
      </c>
    </row>
    <row r="43" spans="1:50" ht="17.25">
      <c r="A43" s="47"/>
      <c r="B43" s="47"/>
      <c r="C43" s="62"/>
      <c r="D43" s="47"/>
      <c r="E43" s="47"/>
      <c r="F43" s="47"/>
      <c r="G43" s="61"/>
      <c r="H43" s="47"/>
      <c r="I43" s="47"/>
      <c r="J43" s="47"/>
      <c r="K43" s="62"/>
      <c r="L43" s="47"/>
      <c r="M43" s="47"/>
      <c r="N43" s="47"/>
      <c r="O43" s="61"/>
      <c r="P43" s="47"/>
      <c r="S43" s="63"/>
      <c r="V43" s="47"/>
      <c r="W43" s="47"/>
      <c r="AH43" s="67">
        <v>41</v>
      </c>
      <c r="AI43" s="67">
        <f>領収証内訳!E45</f>
        <v>0</v>
      </c>
      <c r="AJ43" s="67">
        <f>領収証内訳!F45</f>
        <v>0</v>
      </c>
      <c r="AK43" s="67">
        <f>領収証内訳!G45</f>
        <v>0</v>
      </c>
      <c r="AL43" s="67">
        <f>領収証内訳!H45</f>
        <v>0</v>
      </c>
      <c r="AM43" s="67">
        <f>領収証内訳!I45</f>
        <v>0</v>
      </c>
      <c r="AN43" s="67">
        <f>領収証内訳!J45</f>
        <v>0</v>
      </c>
      <c r="AO43" s="67">
        <f>領収証内訳!K45</f>
        <v>0</v>
      </c>
      <c r="AP43" s="67">
        <f>領収証内訳!L45</f>
        <v>0</v>
      </c>
      <c r="AQ43" s="67">
        <f>領収証内訳!M45</f>
        <v>0</v>
      </c>
      <c r="AR43" s="67">
        <f>領収証内訳!N45</f>
        <v>0</v>
      </c>
      <c r="AS43" s="67">
        <f>領収証内訳!O45</f>
        <v>0</v>
      </c>
      <c r="AT43" s="67">
        <f>領収証内訳!P45</f>
        <v>0</v>
      </c>
      <c r="AU43" s="67">
        <f>領収証内訳!Q45</f>
        <v>0</v>
      </c>
      <c r="AV43" s="67">
        <f>領収証内訳!R45</f>
        <v>0</v>
      </c>
      <c r="AW43" s="67">
        <f>領収証内訳!S45</f>
        <v>0</v>
      </c>
      <c r="AX43" s="67">
        <f>領収証内訳!T45</f>
        <v>0</v>
      </c>
    </row>
    <row r="44" spans="1:50" ht="9" customHeight="1">
      <c r="A44" s="47"/>
      <c r="B44" s="47"/>
      <c r="C44" s="62"/>
      <c r="D44" s="47"/>
      <c r="E44" s="47"/>
      <c r="F44" s="47"/>
      <c r="G44" s="61"/>
      <c r="H44" s="47"/>
      <c r="I44" s="47"/>
      <c r="J44" s="47"/>
      <c r="K44" s="62"/>
      <c r="L44" s="47"/>
      <c r="M44" s="47"/>
      <c r="N44" s="47"/>
      <c r="O44" s="61"/>
      <c r="P44" s="47"/>
      <c r="S44" s="63"/>
      <c r="V44" s="47"/>
      <c r="W44" s="47"/>
      <c r="AH44" s="67">
        <v>42</v>
      </c>
      <c r="AI44" s="67">
        <f>領収証内訳!E46</f>
        <v>0</v>
      </c>
      <c r="AJ44" s="67">
        <f>領収証内訳!F46</f>
        <v>0</v>
      </c>
      <c r="AK44" s="67">
        <f>領収証内訳!G46</f>
        <v>0</v>
      </c>
      <c r="AL44" s="67">
        <f>領収証内訳!H46</f>
        <v>0</v>
      </c>
      <c r="AM44" s="67">
        <f>領収証内訳!I46</f>
        <v>0</v>
      </c>
      <c r="AN44" s="67">
        <f>領収証内訳!J46</f>
        <v>0</v>
      </c>
      <c r="AO44" s="67">
        <f>領収証内訳!K46</f>
        <v>0</v>
      </c>
      <c r="AP44" s="67">
        <f>領収証内訳!L46</f>
        <v>0</v>
      </c>
      <c r="AQ44" s="67">
        <f>領収証内訳!M46</f>
        <v>0</v>
      </c>
      <c r="AR44" s="67">
        <f>領収証内訳!N46</f>
        <v>0</v>
      </c>
      <c r="AS44" s="67">
        <f>領収証内訳!O46</f>
        <v>0</v>
      </c>
      <c r="AT44" s="67">
        <f>領収証内訳!P46</f>
        <v>0</v>
      </c>
      <c r="AU44" s="67">
        <f>領収証内訳!Q46</f>
        <v>0</v>
      </c>
      <c r="AV44" s="67">
        <f>領収証内訳!R46</f>
        <v>0</v>
      </c>
      <c r="AW44" s="67">
        <f>領収証内訳!S46</f>
        <v>0</v>
      </c>
      <c r="AX44" s="67">
        <f>領収証内訳!T46</f>
        <v>0</v>
      </c>
    </row>
    <row r="45" spans="1:50" ht="20.25" customHeight="1">
      <c r="A45" s="47"/>
      <c r="B45" s="47"/>
      <c r="C45" s="47"/>
      <c r="D45" s="47"/>
      <c r="E45" s="52"/>
      <c r="F45" s="47"/>
      <c r="G45" s="61"/>
      <c r="I45" s="47"/>
      <c r="J45" s="47"/>
      <c r="K45" s="47"/>
      <c r="L45" s="47"/>
      <c r="M45" s="52"/>
      <c r="N45" s="47"/>
      <c r="O45" s="61"/>
      <c r="S45" s="47"/>
      <c r="T45" s="47"/>
      <c r="U45" s="52"/>
      <c r="AH45" s="67">
        <v>43</v>
      </c>
      <c r="AI45" s="67">
        <f>領収証内訳!E47</f>
        <v>0</v>
      </c>
      <c r="AJ45" s="67">
        <f>領収証内訳!F47</f>
        <v>0</v>
      </c>
      <c r="AK45" s="67">
        <f>領収証内訳!G47</f>
        <v>0</v>
      </c>
      <c r="AL45" s="67">
        <f>領収証内訳!H47</f>
        <v>0</v>
      </c>
      <c r="AM45" s="67">
        <f>領収証内訳!I47</f>
        <v>0</v>
      </c>
      <c r="AN45" s="67">
        <f>領収証内訳!J47</f>
        <v>0</v>
      </c>
      <c r="AO45" s="67">
        <f>領収証内訳!K47</f>
        <v>0</v>
      </c>
      <c r="AP45" s="67">
        <f>領収証内訳!L47</f>
        <v>0</v>
      </c>
      <c r="AQ45" s="67">
        <f>領収証内訳!M47</f>
        <v>0</v>
      </c>
      <c r="AR45" s="67">
        <f>領収証内訳!N47</f>
        <v>0</v>
      </c>
      <c r="AS45" s="67">
        <f>領収証内訳!O47</f>
        <v>0</v>
      </c>
      <c r="AT45" s="67">
        <f>領収証内訳!P47</f>
        <v>0</v>
      </c>
      <c r="AU45" s="67">
        <f>領収証内訳!Q47</f>
        <v>0</v>
      </c>
      <c r="AV45" s="67">
        <f>領収証内訳!R47</f>
        <v>0</v>
      </c>
      <c r="AW45" s="67">
        <f>領収証内訳!S47</f>
        <v>0</v>
      </c>
      <c r="AX45" s="67">
        <f>領収証内訳!T47</f>
        <v>0</v>
      </c>
    </row>
    <row r="46" spans="1:50" ht="9" customHeight="1">
      <c r="A46" s="47"/>
      <c r="B46" s="47"/>
      <c r="C46" s="47"/>
      <c r="D46" s="47"/>
      <c r="E46" s="47"/>
      <c r="F46" s="47"/>
      <c r="G46" s="61"/>
      <c r="I46" s="47"/>
      <c r="J46" s="47"/>
      <c r="K46" s="47"/>
      <c r="L46" s="47"/>
      <c r="M46" s="47"/>
      <c r="N46" s="47"/>
      <c r="O46" s="61"/>
      <c r="AH46" s="67">
        <v>44</v>
      </c>
      <c r="AI46" s="67">
        <f>領収証内訳!E48</f>
        <v>0</v>
      </c>
      <c r="AJ46" s="67">
        <f>領収証内訳!F48</f>
        <v>0</v>
      </c>
      <c r="AK46" s="67">
        <f>領収証内訳!G48</f>
        <v>0</v>
      </c>
      <c r="AL46" s="67">
        <f>領収証内訳!H48</f>
        <v>0</v>
      </c>
      <c r="AM46" s="67">
        <f>領収証内訳!I48</f>
        <v>0</v>
      </c>
      <c r="AN46" s="67">
        <f>領収証内訳!J48</f>
        <v>0</v>
      </c>
      <c r="AO46" s="67">
        <f>領収証内訳!K48</f>
        <v>0</v>
      </c>
      <c r="AP46" s="67">
        <f>領収証内訳!L48</f>
        <v>0</v>
      </c>
      <c r="AQ46" s="67">
        <f>領収証内訳!M48</f>
        <v>0</v>
      </c>
      <c r="AR46" s="67">
        <f>領収証内訳!N48</f>
        <v>0</v>
      </c>
      <c r="AS46" s="67">
        <f>領収証内訳!O48</f>
        <v>0</v>
      </c>
      <c r="AT46" s="67">
        <f>領収証内訳!P48</f>
        <v>0</v>
      </c>
      <c r="AU46" s="67">
        <f>領収証内訳!Q48</f>
        <v>0</v>
      </c>
      <c r="AV46" s="67">
        <f>領収証内訳!R48</f>
        <v>0</v>
      </c>
      <c r="AW46" s="67">
        <f>領収証内訳!S48</f>
        <v>0</v>
      </c>
      <c r="AX46" s="67">
        <f>領収証内訳!T48</f>
        <v>0</v>
      </c>
    </row>
    <row r="47" spans="1:50" ht="15" customHeight="1">
      <c r="A47" s="47"/>
      <c r="B47" s="59"/>
      <c r="C47" s="59"/>
      <c r="D47" s="64"/>
      <c r="E47" s="64"/>
      <c r="F47" s="64"/>
      <c r="G47" s="56"/>
      <c r="I47" s="47"/>
      <c r="J47" s="59"/>
      <c r="K47" s="59"/>
      <c r="L47" s="64"/>
      <c r="M47" s="64"/>
      <c r="N47" s="64"/>
      <c r="O47" s="61"/>
      <c r="R47" s="59"/>
      <c r="S47" s="59"/>
      <c r="T47" s="64"/>
      <c r="U47" s="64"/>
      <c r="V47" s="64"/>
      <c r="AH47" s="67">
        <v>45</v>
      </c>
      <c r="AI47" s="67">
        <f>領収証内訳!E49</f>
        <v>0</v>
      </c>
      <c r="AJ47" s="67">
        <f>領収証内訳!F49</f>
        <v>0</v>
      </c>
      <c r="AK47" s="67">
        <f>領収証内訳!G49</f>
        <v>0</v>
      </c>
      <c r="AL47" s="67">
        <f>領収証内訳!H49</f>
        <v>0</v>
      </c>
      <c r="AM47" s="67">
        <f>領収証内訳!I49</f>
        <v>0</v>
      </c>
      <c r="AN47" s="67">
        <f>領収証内訳!J49</f>
        <v>0</v>
      </c>
      <c r="AO47" s="67">
        <f>領収証内訳!K49</f>
        <v>0</v>
      </c>
      <c r="AP47" s="67">
        <f>領収証内訳!L49</f>
        <v>0</v>
      </c>
      <c r="AQ47" s="67">
        <f>領収証内訳!M49</f>
        <v>0</v>
      </c>
      <c r="AR47" s="67">
        <f>領収証内訳!N49</f>
        <v>0</v>
      </c>
      <c r="AS47" s="67">
        <f>領収証内訳!O49</f>
        <v>0</v>
      </c>
      <c r="AT47" s="67">
        <f>領収証内訳!P49</f>
        <v>0</v>
      </c>
      <c r="AU47" s="67">
        <f>領収証内訳!Q49</f>
        <v>0</v>
      </c>
      <c r="AV47" s="67">
        <f>領収証内訳!R49</f>
        <v>0</v>
      </c>
      <c r="AW47" s="67">
        <f>領収証内訳!S49</f>
        <v>0</v>
      </c>
      <c r="AX47" s="67">
        <f>領収証内訳!T49</f>
        <v>0</v>
      </c>
    </row>
    <row r="48" spans="1:50" ht="28.5" customHeight="1">
      <c r="A48" s="47"/>
      <c r="B48" s="46"/>
      <c r="C48" s="48"/>
      <c r="D48" s="48"/>
      <c r="E48" s="48"/>
      <c r="F48" s="48"/>
      <c r="G48" s="57"/>
      <c r="H48" s="46"/>
      <c r="I48" s="47"/>
      <c r="J48" s="46"/>
      <c r="K48" s="48"/>
      <c r="L48" s="48"/>
      <c r="M48" s="48"/>
      <c r="N48" s="48"/>
      <c r="O48" s="46"/>
      <c r="P48" s="46"/>
      <c r="Q48" s="47"/>
      <c r="R48" s="46"/>
      <c r="S48" s="48"/>
      <c r="T48" s="48"/>
      <c r="U48" s="48"/>
      <c r="V48" s="48"/>
      <c r="W48" s="46"/>
      <c r="AH48" s="67">
        <v>46</v>
      </c>
      <c r="AI48" s="67">
        <f>領収証内訳!E50</f>
        <v>0</v>
      </c>
      <c r="AJ48" s="67">
        <f>領収証内訳!F50</f>
        <v>0</v>
      </c>
      <c r="AK48" s="67">
        <f>領収証内訳!G50</f>
        <v>0</v>
      </c>
      <c r="AL48" s="67">
        <f>領収証内訳!H50</f>
        <v>0</v>
      </c>
      <c r="AM48" s="67">
        <f>領収証内訳!I50</f>
        <v>0</v>
      </c>
      <c r="AN48" s="67">
        <f>領収証内訳!J50</f>
        <v>0</v>
      </c>
      <c r="AO48" s="67">
        <f>領収証内訳!K50</f>
        <v>0</v>
      </c>
      <c r="AP48" s="67">
        <f>領収証内訳!L50</f>
        <v>0</v>
      </c>
      <c r="AQ48" s="67">
        <f>領収証内訳!M50</f>
        <v>0</v>
      </c>
      <c r="AR48" s="67">
        <f>領収証内訳!N50</f>
        <v>0</v>
      </c>
      <c r="AS48" s="67">
        <f>領収証内訳!O50</f>
        <v>0</v>
      </c>
      <c r="AT48" s="67">
        <f>領収証内訳!P50</f>
        <v>0</v>
      </c>
      <c r="AU48" s="67">
        <f>領収証内訳!Q50</f>
        <v>0</v>
      </c>
      <c r="AV48" s="67">
        <f>領収証内訳!R50</f>
        <v>0</v>
      </c>
      <c r="AW48" s="67">
        <f>領収証内訳!S50</f>
        <v>0</v>
      </c>
      <c r="AX48" s="67">
        <f>領収証内訳!T50</f>
        <v>0</v>
      </c>
    </row>
    <row r="49" spans="2:50" ht="17.25" customHeight="1">
      <c r="B49" s="65"/>
      <c r="C49" s="65"/>
      <c r="D49" s="65"/>
      <c r="E49" s="65"/>
      <c r="F49" s="65"/>
      <c r="G49" s="47"/>
      <c r="H49" s="47"/>
      <c r="I49" s="47"/>
      <c r="J49" s="65"/>
      <c r="K49" s="65"/>
      <c r="L49" s="65"/>
      <c r="M49" s="65"/>
      <c r="N49" s="65"/>
      <c r="O49" s="47"/>
      <c r="P49" s="47"/>
      <c r="Q49" s="47"/>
      <c r="R49" s="65"/>
      <c r="S49" s="65"/>
      <c r="T49" s="65"/>
      <c r="U49" s="65"/>
      <c r="V49" s="65"/>
      <c r="W49" s="47"/>
      <c r="AH49" s="67">
        <v>47</v>
      </c>
      <c r="AI49" s="67">
        <f>領収証内訳!E51</f>
        <v>0</v>
      </c>
      <c r="AJ49" s="67">
        <f>領収証内訳!F51</f>
        <v>0</v>
      </c>
      <c r="AK49" s="67">
        <f>領収証内訳!G51</f>
        <v>0</v>
      </c>
      <c r="AL49" s="67">
        <f>領収証内訳!H51</f>
        <v>0</v>
      </c>
      <c r="AM49" s="67">
        <f>領収証内訳!I51</f>
        <v>0</v>
      </c>
      <c r="AN49" s="67">
        <f>領収証内訳!J51</f>
        <v>0</v>
      </c>
      <c r="AO49" s="67">
        <f>領収証内訳!K51</f>
        <v>0</v>
      </c>
      <c r="AP49" s="67">
        <f>領収証内訳!L51</f>
        <v>0</v>
      </c>
      <c r="AQ49" s="67">
        <f>領収証内訳!M51</f>
        <v>0</v>
      </c>
      <c r="AR49" s="67">
        <f>領収証内訳!N51</f>
        <v>0</v>
      </c>
      <c r="AS49" s="67">
        <f>領収証内訳!O51</f>
        <v>0</v>
      </c>
      <c r="AT49" s="67">
        <f>領収証内訳!P51</f>
        <v>0</v>
      </c>
      <c r="AU49" s="67">
        <f>領収証内訳!Q51</f>
        <v>0</v>
      </c>
      <c r="AV49" s="67">
        <f>領収証内訳!R51</f>
        <v>0</v>
      </c>
      <c r="AW49" s="67">
        <f>領収証内訳!S51</f>
        <v>0</v>
      </c>
      <c r="AX49" s="67">
        <f>領収証内訳!T51</f>
        <v>0</v>
      </c>
    </row>
    <row r="50" spans="2:50" ht="14.25" customHeight="1">
      <c r="B50" s="60"/>
      <c r="C50" s="48"/>
      <c r="D50" s="48"/>
      <c r="E50" s="48"/>
      <c r="F50" s="48"/>
      <c r="G50" s="47"/>
      <c r="H50" s="47"/>
      <c r="I50" s="47"/>
      <c r="J50" s="60"/>
      <c r="K50" s="48"/>
      <c r="L50" s="48"/>
      <c r="M50" s="48"/>
      <c r="N50" s="48"/>
      <c r="O50" s="47"/>
      <c r="P50" s="47"/>
      <c r="Q50" s="47"/>
      <c r="R50" s="60"/>
      <c r="S50" s="48"/>
      <c r="T50" s="48"/>
      <c r="U50" s="48"/>
      <c r="V50" s="48"/>
      <c r="W50" s="47"/>
      <c r="AH50" s="67">
        <v>48</v>
      </c>
      <c r="AI50" s="67">
        <f>領収証内訳!E52</f>
        <v>0</v>
      </c>
      <c r="AJ50" s="67">
        <f>領収証内訳!F52</f>
        <v>0</v>
      </c>
      <c r="AK50" s="67">
        <f>領収証内訳!G52</f>
        <v>0</v>
      </c>
      <c r="AL50" s="67">
        <f>領収証内訳!H52</f>
        <v>0</v>
      </c>
      <c r="AM50" s="67">
        <f>領収証内訳!I52</f>
        <v>0</v>
      </c>
      <c r="AN50" s="67">
        <f>領収証内訳!J52</f>
        <v>0</v>
      </c>
      <c r="AO50" s="67">
        <f>領収証内訳!K52</f>
        <v>0</v>
      </c>
      <c r="AP50" s="67">
        <f>領収証内訳!L52</f>
        <v>0</v>
      </c>
      <c r="AQ50" s="67">
        <f>領収証内訳!M52</f>
        <v>0</v>
      </c>
      <c r="AR50" s="67">
        <f>領収証内訳!N52</f>
        <v>0</v>
      </c>
      <c r="AS50" s="67">
        <f>領収証内訳!O52</f>
        <v>0</v>
      </c>
      <c r="AT50" s="67">
        <f>領収証内訳!P52</f>
        <v>0</v>
      </c>
      <c r="AU50" s="67">
        <f>領収証内訳!Q52</f>
        <v>0</v>
      </c>
      <c r="AV50" s="67">
        <f>領収証内訳!R52</f>
        <v>0</v>
      </c>
      <c r="AW50" s="67">
        <f>領収証内訳!S52</f>
        <v>0</v>
      </c>
      <c r="AX50" s="67">
        <f>領収証内訳!T52</f>
        <v>0</v>
      </c>
    </row>
    <row r="51" spans="2:50" ht="13.5" customHeight="1">
      <c r="B51" s="60"/>
      <c r="C51" s="48"/>
      <c r="D51" s="48"/>
      <c r="E51" s="48"/>
      <c r="F51" s="48"/>
      <c r="G51" s="60"/>
      <c r="H51" s="60"/>
      <c r="I51" s="60"/>
      <c r="J51" s="60"/>
      <c r="K51" s="48"/>
      <c r="L51" s="48"/>
      <c r="M51" s="48"/>
      <c r="N51" s="48"/>
      <c r="O51" s="60"/>
      <c r="P51" s="60"/>
      <c r="Q51" s="60"/>
      <c r="R51" s="60"/>
      <c r="S51" s="48"/>
      <c r="T51" s="48"/>
      <c r="U51" s="48"/>
      <c r="V51" s="48"/>
      <c r="AH51" s="67">
        <v>49</v>
      </c>
      <c r="AI51" s="67">
        <f>領収証内訳!E53</f>
        <v>0</v>
      </c>
      <c r="AJ51" s="67">
        <f>領収証内訳!F53</f>
        <v>0</v>
      </c>
      <c r="AK51" s="67">
        <f>領収証内訳!G53</f>
        <v>0</v>
      </c>
      <c r="AL51" s="67">
        <f>領収証内訳!H53</f>
        <v>0</v>
      </c>
      <c r="AM51" s="67">
        <f>領収証内訳!I53</f>
        <v>0</v>
      </c>
      <c r="AN51" s="67">
        <f>領収証内訳!J53</f>
        <v>0</v>
      </c>
      <c r="AO51" s="67">
        <f>領収証内訳!K53</f>
        <v>0</v>
      </c>
      <c r="AP51" s="67">
        <f>領収証内訳!L53</f>
        <v>0</v>
      </c>
      <c r="AQ51" s="67">
        <f>領収証内訳!M53</f>
        <v>0</v>
      </c>
      <c r="AR51" s="67">
        <f>領収証内訳!N53</f>
        <v>0</v>
      </c>
      <c r="AS51" s="67">
        <f>領収証内訳!O53</f>
        <v>0</v>
      </c>
      <c r="AT51" s="67">
        <f>領収証内訳!P53</f>
        <v>0</v>
      </c>
      <c r="AU51" s="67">
        <f>領収証内訳!Q53</f>
        <v>0</v>
      </c>
      <c r="AV51" s="67">
        <f>領収証内訳!R53</f>
        <v>0</v>
      </c>
      <c r="AW51" s="67">
        <f>領収証内訳!S53</f>
        <v>0</v>
      </c>
      <c r="AX51" s="67">
        <f>領収証内訳!T53</f>
        <v>0</v>
      </c>
    </row>
    <row r="52" spans="2:50" ht="7.5" customHeight="1">
      <c r="AH52" s="67">
        <v>50</v>
      </c>
      <c r="AI52" s="67">
        <f>領収証内訳!E54</f>
        <v>0</v>
      </c>
      <c r="AJ52" s="67">
        <f>領収証内訳!F54</f>
        <v>0</v>
      </c>
      <c r="AK52" s="67">
        <f>領収証内訳!G54</f>
        <v>0</v>
      </c>
      <c r="AL52" s="67">
        <f>領収証内訳!H54</f>
        <v>0</v>
      </c>
      <c r="AM52" s="67">
        <f>領収証内訳!I54</f>
        <v>0</v>
      </c>
      <c r="AN52" s="67">
        <f>領収証内訳!J54</f>
        <v>0</v>
      </c>
      <c r="AO52" s="67">
        <f>領収証内訳!K54</f>
        <v>0</v>
      </c>
      <c r="AP52" s="67">
        <f>領収証内訳!L54</f>
        <v>0</v>
      </c>
      <c r="AQ52" s="67">
        <f>領収証内訳!M54</f>
        <v>0</v>
      </c>
      <c r="AR52" s="67">
        <f>領収証内訳!N54</f>
        <v>0</v>
      </c>
      <c r="AS52" s="67">
        <f>領収証内訳!O54</f>
        <v>0</v>
      </c>
      <c r="AT52" s="67">
        <f>領収証内訳!P54</f>
        <v>0</v>
      </c>
      <c r="AU52" s="67">
        <f>領収証内訳!Q54</f>
        <v>0</v>
      </c>
      <c r="AV52" s="67">
        <f>領収証内訳!R54</f>
        <v>0</v>
      </c>
      <c r="AW52" s="67">
        <f>領収証内訳!S54</f>
        <v>0</v>
      </c>
      <c r="AX52" s="67">
        <f>領収証内訳!T54</f>
        <v>0</v>
      </c>
    </row>
  </sheetData>
  <mergeCells count="68">
    <mergeCell ref="Y2:Y3"/>
    <mergeCell ref="D2:E2"/>
    <mergeCell ref="A1:E1"/>
    <mergeCell ref="A4:B4"/>
    <mergeCell ref="A2:C2"/>
    <mergeCell ref="A3:C3"/>
    <mergeCell ref="Y4:Y10"/>
    <mergeCell ref="A20:B20"/>
    <mergeCell ref="A11:B11"/>
    <mergeCell ref="A12:B12"/>
    <mergeCell ref="A13:B13"/>
    <mergeCell ref="A14:B14"/>
    <mergeCell ref="A15:B15"/>
    <mergeCell ref="A16:B16"/>
    <mergeCell ref="A17:B17"/>
    <mergeCell ref="A18:B18"/>
    <mergeCell ref="A19:B19"/>
    <mergeCell ref="A8:B8"/>
    <mergeCell ref="A9:B9"/>
    <mergeCell ref="A10:B10"/>
    <mergeCell ref="Q1:U1"/>
    <mergeCell ref="T2:U2"/>
    <mergeCell ref="H10:J10"/>
    <mergeCell ref="D3:E3"/>
    <mergeCell ref="T3:U3"/>
    <mergeCell ref="I1:M1"/>
    <mergeCell ref="L2:M2"/>
    <mergeCell ref="P2:S2"/>
    <mergeCell ref="P3:S3"/>
    <mergeCell ref="L3:M3"/>
    <mergeCell ref="A5:B5"/>
    <mergeCell ref="A6:B6"/>
    <mergeCell ref="A7:B7"/>
    <mergeCell ref="H17:J17"/>
    <mergeCell ref="H2:K2"/>
    <mergeCell ref="H3:K3"/>
    <mergeCell ref="H4:J4"/>
    <mergeCell ref="H5:J5"/>
    <mergeCell ref="H6:J6"/>
    <mergeCell ref="H7:J7"/>
    <mergeCell ref="H8:J8"/>
    <mergeCell ref="H9:J9"/>
    <mergeCell ref="H12:J12"/>
    <mergeCell ref="H13:J13"/>
    <mergeCell ref="H14:J14"/>
    <mergeCell ref="H15:J15"/>
    <mergeCell ref="H16:J16"/>
    <mergeCell ref="H11:J11"/>
    <mergeCell ref="P18:R18"/>
    <mergeCell ref="P19:R19"/>
    <mergeCell ref="P20:R20"/>
    <mergeCell ref="H18:J18"/>
    <mergeCell ref="H19:J19"/>
    <mergeCell ref="H20:J20"/>
    <mergeCell ref="P17:R17"/>
    <mergeCell ref="P4:R4"/>
    <mergeCell ref="P5:R5"/>
    <mergeCell ref="P6:R6"/>
    <mergeCell ref="P7:R7"/>
    <mergeCell ref="P8:R8"/>
    <mergeCell ref="P9:R9"/>
    <mergeCell ref="P10:R10"/>
    <mergeCell ref="P11:R11"/>
    <mergeCell ref="P12:R12"/>
    <mergeCell ref="P13:R13"/>
    <mergeCell ref="P15:R15"/>
    <mergeCell ref="P16:R16"/>
    <mergeCell ref="P14:R14"/>
  </mergeCells>
  <phoneticPr fontId="1"/>
  <pageMargins left="0.43307086614173229" right="0" top="0" bottom="0" header="0.19685039370078741" footer="0.19685039370078741"/>
  <pageSetup paperSize="9" scale="87" orientation="landscape" r:id="rId1"/>
  <headerFooter alignWithMargins="0"/>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tabColor rgb="FFC00000"/>
  </sheetPr>
  <dimension ref="A1:AB58"/>
  <sheetViews>
    <sheetView showGridLines="0" workbookViewId="0">
      <pane xSplit="5" ySplit="4" topLeftCell="F5" activePane="bottomRight" state="frozen"/>
      <selection pane="topRight" activeCell="E1" sqref="E1"/>
      <selection pane="bottomLeft" activeCell="A5" sqref="A5"/>
      <selection pane="bottomRight" activeCell="K20" sqref="K20"/>
    </sheetView>
  </sheetViews>
  <sheetFormatPr defaultRowHeight="18.75"/>
  <cols>
    <col min="1" max="1" width="1" style="76" customWidth="1"/>
    <col min="2" max="2" width="2.875" style="76" customWidth="1"/>
    <col min="3" max="3" width="4" style="76" hidden="1" customWidth="1"/>
    <col min="4" max="4" width="3.25" style="76" hidden="1" customWidth="1"/>
    <col min="5" max="5" width="12" style="76" customWidth="1"/>
    <col min="6" max="19" width="5.625" style="76" customWidth="1"/>
    <col min="20" max="20" width="6.25" style="76" customWidth="1"/>
    <col min="21" max="21" width="5.625" style="76" customWidth="1"/>
    <col min="22" max="22" width="3.875" style="76" customWidth="1"/>
    <col min="23" max="23" width="8.375" style="76" customWidth="1"/>
    <col min="24" max="24" width="7.625" style="76" customWidth="1"/>
    <col min="25" max="26" width="9" style="76"/>
    <col min="27" max="27" width="10.75" style="76" customWidth="1"/>
    <col min="28" max="16384" width="9" style="76"/>
  </cols>
  <sheetData>
    <row r="1" spans="1:28" ht="3.75" customHeight="1"/>
    <row r="2" spans="1:28" ht="19.5" customHeight="1">
      <c r="B2" s="134" t="s">
        <v>123</v>
      </c>
      <c r="C2" s="133"/>
      <c r="D2" s="133"/>
      <c r="E2" s="133"/>
      <c r="F2" s="133"/>
      <c r="G2" s="133"/>
      <c r="H2" s="133"/>
      <c r="I2" s="133"/>
      <c r="J2" s="133"/>
      <c r="K2" s="86"/>
      <c r="L2" s="133"/>
      <c r="M2" s="133"/>
      <c r="N2" s="118"/>
      <c r="O2" s="118"/>
      <c r="P2" s="118"/>
      <c r="Q2" s="118"/>
      <c r="R2" s="118"/>
      <c r="S2" s="118"/>
      <c r="T2" s="118"/>
      <c r="U2" s="88"/>
      <c r="V2" s="76">
        <v>8</v>
      </c>
      <c r="W2" s="76" t="s">
        <v>65</v>
      </c>
      <c r="X2" s="133" t="s">
        <v>124</v>
      </c>
      <c r="Y2" s="135"/>
      <c r="Z2" s="76" t="s">
        <v>66</v>
      </c>
      <c r="AA2" s="76" t="s">
        <v>105</v>
      </c>
    </row>
    <row r="3" spans="1:28" ht="18" customHeight="1">
      <c r="A3" s="76">
        <v>1</v>
      </c>
      <c r="B3" s="76">
        <v>2</v>
      </c>
      <c r="C3" s="76">
        <v>3</v>
      </c>
      <c r="D3" s="76">
        <v>4</v>
      </c>
      <c r="E3" s="76">
        <v>5</v>
      </c>
      <c r="F3" s="76">
        <v>6</v>
      </c>
      <c r="G3" s="76">
        <v>7</v>
      </c>
      <c r="H3" s="76">
        <v>8</v>
      </c>
      <c r="I3" s="76">
        <v>9</v>
      </c>
      <c r="J3" s="76">
        <v>10</v>
      </c>
      <c r="K3" s="76">
        <v>11</v>
      </c>
      <c r="L3" s="76">
        <v>12</v>
      </c>
      <c r="M3" s="76">
        <v>13</v>
      </c>
      <c r="N3" s="76">
        <v>14</v>
      </c>
      <c r="O3" s="76">
        <v>15</v>
      </c>
      <c r="P3" s="76">
        <v>16</v>
      </c>
      <c r="Q3" s="76">
        <v>17</v>
      </c>
      <c r="R3" s="76">
        <v>18</v>
      </c>
      <c r="S3" s="76">
        <v>19</v>
      </c>
      <c r="T3" s="76">
        <v>20</v>
      </c>
      <c r="U3" s="89"/>
      <c r="X3" s="76">
        <v>8</v>
      </c>
      <c r="Z3" s="76" t="s">
        <v>81</v>
      </c>
      <c r="AA3" s="90">
        <v>46275</v>
      </c>
    </row>
    <row r="4" spans="1:28" ht="25.5" customHeight="1">
      <c r="B4" s="91" t="s">
        <v>0</v>
      </c>
      <c r="C4" s="91" t="s">
        <v>14</v>
      </c>
      <c r="D4" s="91" t="s">
        <v>1</v>
      </c>
      <c r="E4" s="91" t="s">
        <v>2</v>
      </c>
      <c r="F4" s="92" t="s">
        <v>116</v>
      </c>
      <c r="G4" s="93" t="s">
        <v>30</v>
      </c>
      <c r="H4" s="93" t="s">
        <v>109</v>
      </c>
      <c r="I4" s="93" t="s">
        <v>110</v>
      </c>
      <c r="J4" s="93" t="s">
        <v>20</v>
      </c>
      <c r="K4" s="93" t="s">
        <v>21</v>
      </c>
      <c r="L4" s="93" t="s">
        <v>22</v>
      </c>
      <c r="M4" s="93" t="s">
        <v>23</v>
      </c>
      <c r="N4" s="93" t="s">
        <v>24</v>
      </c>
      <c r="O4" s="93" t="s">
        <v>25</v>
      </c>
      <c r="P4" s="93" t="s">
        <v>26</v>
      </c>
      <c r="Q4" s="93" t="s">
        <v>27</v>
      </c>
      <c r="R4" s="94" t="s">
        <v>28</v>
      </c>
      <c r="S4" s="93" t="s">
        <v>29</v>
      </c>
      <c r="T4" s="95" t="s">
        <v>32</v>
      </c>
      <c r="U4" s="91" t="s">
        <v>3</v>
      </c>
      <c r="X4" s="96" t="s">
        <v>109</v>
      </c>
    </row>
    <row r="5" spans="1:28" ht="14.1" customHeight="1">
      <c r="B5" s="120">
        <v>1</v>
      </c>
      <c r="C5" s="97"/>
      <c r="D5" s="98"/>
      <c r="E5" s="121" t="s">
        <v>33</v>
      </c>
      <c r="F5" s="122">
        <v>5000</v>
      </c>
      <c r="G5" s="122"/>
      <c r="H5" s="123">
        <v>3000</v>
      </c>
      <c r="I5" s="124">
        <v>5000</v>
      </c>
      <c r="J5" s="122">
        <v>3000</v>
      </c>
      <c r="K5" s="122">
        <v>3000</v>
      </c>
      <c r="L5" s="124">
        <v>3000</v>
      </c>
      <c r="M5" s="124">
        <v>3000</v>
      </c>
      <c r="N5" s="124">
        <v>3000</v>
      </c>
      <c r="O5" s="124">
        <v>3000</v>
      </c>
      <c r="P5" s="124">
        <v>3000</v>
      </c>
      <c r="Q5" s="124">
        <v>3000</v>
      </c>
      <c r="R5" s="124">
        <v>3000</v>
      </c>
      <c r="S5" s="124">
        <v>3000</v>
      </c>
      <c r="T5" s="110"/>
      <c r="U5" s="20">
        <v>43000</v>
      </c>
      <c r="V5" s="99"/>
      <c r="X5" s="100">
        <v>3000</v>
      </c>
      <c r="AA5" s="92" t="s">
        <v>116</v>
      </c>
      <c r="AB5" s="76">
        <v>6</v>
      </c>
    </row>
    <row r="6" spans="1:28" ht="14.1" customHeight="1">
      <c r="B6" s="120">
        <v>2</v>
      </c>
      <c r="C6" s="97"/>
      <c r="D6" s="98"/>
      <c r="E6" s="121" t="s">
        <v>34</v>
      </c>
      <c r="F6" s="122"/>
      <c r="G6" s="122">
        <v>36000</v>
      </c>
      <c r="H6" s="123"/>
      <c r="I6" s="124"/>
      <c r="J6" s="122"/>
      <c r="K6" s="122"/>
      <c r="L6" s="124"/>
      <c r="M6" s="124"/>
      <c r="N6" s="124"/>
      <c r="O6" s="124"/>
      <c r="P6" s="124"/>
      <c r="Q6" s="124"/>
      <c r="R6" s="124"/>
      <c r="S6" s="124"/>
      <c r="T6" s="110"/>
      <c r="U6" s="20">
        <v>36000</v>
      </c>
      <c r="V6" s="99"/>
      <c r="X6" s="100">
        <v>0</v>
      </c>
      <c r="AA6" s="93" t="s">
        <v>30</v>
      </c>
      <c r="AB6" s="76">
        <v>7</v>
      </c>
    </row>
    <row r="7" spans="1:28" ht="14.1" customHeight="1">
      <c r="B7" s="120">
        <v>3</v>
      </c>
      <c r="C7" s="97"/>
      <c r="D7" s="98"/>
      <c r="E7" s="121" t="s">
        <v>36</v>
      </c>
      <c r="F7" s="122"/>
      <c r="G7" s="122"/>
      <c r="H7" s="123">
        <v>3000</v>
      </c>
      <c r="I7" s="124">
        <v>3000</v>
      </c>
      <c r="J7" s="122">
        <v>3000</v>
      </c>
      <c r="K7" s="122">
        <v>3000</v>
      </c>
      <c r="L7" s="124">
        <v>3000</v>
      </c>
      <c r="M7" s="124">
        <v>3000</v>
      </c>
      <c r="N7" s="124">
        <v>3000</v>
      </c>
      <c r="O7" s="124">
        <v>3000</v>
      </c>
      <c r="P7" s="124">
        <v>3000</v>
      </c>
      <c r="Q7" s="124">
        <v>3000</v>
      </c>
      <c r="R7" s="124">
        <v>3000</v>
      </c>
      <c r="S7" s="124">
        <v>3000</v>
      </c>
      <c r="T7" s="110"/>
      <c r="U7" s="20">
        <v>36000</v>
      </c>
      <c r="V7" s="99"/>
      <c r="X7" s="100">
        <v>3000</v>
      </c>
      <c r="AA7" s="93" t="s">
        <v>18</v>
      </c>
      <c r="AB7" s="76">
        <v>8</v>
      </c>
    </row>
    <row r="8" spans="1:28" ht="14.1" customHeight="1">
      <c r="B8" s="120">
        <v>4</v>
      </c>
      <c r="C8" s="97"/>
      <c r="D8" s="98"/>
      <c r="E8" s="121" t="s">
        <v>35</v>
      </c>
      <c r="F8" s="122"/>
      <c r="G8" s="122"/>
      <c r="H8" s="123">
        <v>3000</v>
      </c>
      <c r="I8" s="124">
        <v>3000</v>
      </c>
      <c r="J8" s="122">
        <v>3000</v>
      </c>
      <c r="K8" s="122">
        <v>3000</v>
      </c>
      <c r="L8" s="124">
        <v>3000</v>
      </c>
      <c r="M8" s="124">
        <v>3000</v>
      </c>
      <c r="N8" s="124">
        <v>3000</v>
      </c>
      <c r="O8" s="124">
        <v>3000</v>
      </c>
      <c r="P8" s="124">
        <v>3000</v>
      </c>
      <c r="Q8" s="124">
        <v>3000</v>
      </c>
      <c r="R8" s="124">
        <v>3000</v>
      </c>
      <c r="S8" s="124">
        <v>3000</v>
      </c>
      <c r="T8" s="110"/>
      <c r="U8" s="20">
        <v>36000</v>
      </c>
      <c r="V8" s="99"/>
      <c r="X8" s="100">
        <v>3000</v>
      </c>
      <c r="AA8" s="93" t="s">
        <v>19</v>
      </c>
      <c r="AB8" s="76">
        <v>9</v>
      </c>
    </row>
    <row r="9" spans="1:28" ht="14.1" customHeight="1">
      <c r="B9" s="120">
        <v>5</v>
      </c>
      <c r="C9" s="97"/>
      <c r="D9" s="98"/>
      <c r="E9" s="121" t="s">
        <v>37</v>
      </c>
      <c r="F9" s="122"/>
      <c r="G9" s="122"/>
      <c r="H9" s="123">
        <v>3000</v>
      </c>
      <c r="I9" s="124">
        <v>3000</v>
      </c>
      <c r="J9" s="122">
        <v>3000</v>
      </c>
      <c r="K9" s="122">
        <v>3000</v>
      </c>
      <c r="L9" s="124">
        <v>3000</v>
      </c>
      <c r="M9" s="124">
        <v>3000</v>
      </c>
      <c r="N9" s="124">
        <v>3000</v>
      </c>
      <c r="O9" s="124">
        <v>3000</v>
      </c>
      <c r="P9" s="124">
        <v>3000</v>
      </c>
      <c r="Q9" s="124">
        <v>3000</v>
      </c>
      <c r="R9" s="124">
        <v>3000</v>
      </c>
      <c r="S9" s="124">
        <v>3000</v>
      </c>
      <c r="T9" s="110"/>
      <c r="U9" s="20">
        <v>36000</v>
      </c>
      <c r="V9" s="99"/>
      <c r="X9" s="100">
        <v>3000</v>
      </c>
      <c r="AA9" s="93" t="s">
        <v>20</v>
      </c>
      <c r="AB9" s="76">
        <v>10</v>
      </c>
    </row>
    <row r="10" spans="1:28" ht="14.1" customHeight="1">
      <c r="B10" s="120">
        <v>6</v>
      </c>
      <c r="C10" s="97"/>
      <c r="D10" s="98"/>
      <c r="E10" s="121" t="s">
        <v>38</v>
      </c>
      <c r="F10" s="122"/>
      <c r="G10" s="122"/>
      <c r="H10" s="123">
        <v>3000</v>
      </c>
      <c r="I10" s="124">
        <v>3000</v>
      </c>
      <c r="J10" s="122">
        <v>3000</v>
      </c>
      <c r="K10" s="122">
        <v>3000</v>
      </c>
      <c r="L10" s="124">
        <v>3000</v>
      </c>
      <c r="M10" s="124">
        <v>3000</v>
      </c>
      <c r="N10" s="124">
        <v>3000</v>
      </c>
      <c r="O10" s="124">
        <v>3000</v>
      </c>
      <c r="P10" s="124">
        <v>3000</v>
      </c>
      <c r="Q10" s="124">
        <v>3000</v>
      </c>
      <c r="R10" s="124">
        <v>3000</v>
      </c>
      <c r="S10" s="124">
        <v>3000</v>
      </c>
      <c r="T10" s="110"/>
      <c r="U10" s="20">
        <v>36000</v>
      </c>
      <c r="V10" s="99"/>
      <c r="X10" s="100">
        <v>3000</v>
      </c>
      <c r="AA10" s="93" t="s">
        <v>21</v>
      </c>
      <c r="AB10" s="76">
        <v>11</v>
      </c>
    </row>
    <row r="11" spans="1:28" ht="14.1" customHeight="1">
      <c r="B11" s="120">
        <v>7</v>
      </c>
      <c r="C11" s="97"/>
      <c r="D11" s="98"/>
      <c r="E11" s="121" t="s">
        <v>39</v>
      </c>
      <c r="F11" s="122"/>
      <c r="G11" s="122"/>
      <c r="H11" s="123">
        <v>3000</v>
      </c>
      <c r="I11" s="124">
        <v>3000</v>
      </c>
      <c r="J11" s="122">
        <v>3000</v>
      </c>
      <c r="K11" s="122">
        <v>3000</v>
      </c>
      <c r="L11" s="124">
        <v>3000</v>
      </c>
      <c r="M11" s="124">
        <v>3000</v>
      </c>
      <c r="N11" s="124">
        <v>3000</v>
      </c>
      <c r="O11" s="124">
        <v>3000</v>
      </c>
      <c r="P11" s="124">
        <v>3000</v>
      </c>
      <c r="Q11" s="124">
        <v>3000</v>
      </c>
      <c r="R11" s="124">
        <v>3000</v>
      </c>
      <c r="S11" s="124">
        <v>3000</v>
      </c>
      <c r="T11" s="110"/>
      <c r="U11" s="20">
        <v>36000</v>
      </c>
      <c r="V11" s="99"/>
      <c r="X11" s="100">
        <v>3000</v>
      </c>
      <c r="AA11" s="93" t="s">
        <v>22</v>
      </c>
      <c r="AB11" s="76">
        <v>12</v>
      </c>
    </row>
    <row r="12" spans="1:28" ht="14.1" customHeight="1">
      <c r="B12" s="120">
        <v>8</v>
      </c>
      <c r="C12" s="97"/>
      <c r="D12" s="98"/>
      <c r="E12" s="121" t="s">
        <v>40</v>
      </c>
      <c r="F12" s="122"/>
      <c r="G12" s="122"/>
      <c r="H12" s="123">
        <v>3000</v>
      </c>
      <c r="I12" s="124">
        <v>3000</v>
      </c>
      <c r="J12" s="122">
        <v>3000</v>
      </c>
      <c r="K12" s="122">
        <v>3000</v>
      </c>
      <c r="L12" s="124">
        <v>3000</v>
      </c>
      <c r="M12" s="124">
        <v>3000</v>
      </c>
      <c r="N12" s="124">
        <v>3000</v>
      </c>
      <c r="O12" s="124">
        <v>3000</v>
      </c>
      <c r="P12" s="124">
        <v>3000</v>
      </c>
      <c r="Q12" s="124">
        <v>3000</v>
      </c>
      <c r="R12" s="124">
        <v>3000</v>
      </c>
      <c r="S12" s="124">
        <v>3000</v>
      </c>
      <c r="T12" s="110"/>
      <c r="U12" s="20">
        <v>36000</v>
      </c>
      <c r="V12" s="99"/>
      <c r="X12" s="100">
        <v>3000</v>
      </c>
      <c r="AA12" s="93" t="s">
        <v>23</v>
      </c>
      <c r="AB12" s="76">
        <v>13</v>
      </c>
    </row>
    <row r="13" spans="1:28" ht="14.1" customHeight="1">
      <c r="B13" s="120">
        <v>9</v>
      </c>
      <c r="C13" s="97"/>
      <c r="D13" s="98"/>
      <c r="E13" s="121" t="s">
        <v>41</v>
      </c>
      <c r="F13" s="122"/>
      <c r="G13" s="122"/>
      <c r="H13" s="123">
        <v>3000</v>
      </c>
      <c r="I13" s="124">
        <v>3000</v>
      </c>
      <c r="J13" s="122">
        <v>3000</v>
      </c>
      <c r="K13" s="122">
        <v>3000</v>
      </c>
      <c r="L13" s="124">
        <v>3000</v>
      </c>
      <c r="M13" s="124">
        <v>3000</v>
      </c>
      <c r="N13" s="124">
        <v>3000</v>
      </c>
      <c r="O13" s="124">
        <v>3000</v>
      </c>
      <c r="P13" s="124">
        <v>3000</v>
      </c>
      <c r="Q13" s="124">
        <v>3000</v>
      </c>
      <c r="R13" s="124">
        <v>3000</v>
      </c>
      <c r="S13" s="124">
        <v>3000</v>
      </c>
      <c r="T13" s="110"/>
      <c r="U13" s="20">
        <v>36000</v>
      </c>
      <c r="V13" s="99"/>
      <c r="X13" s="100">
        <v>3000</v>
      </c>
      <c r="AA13" s="93" t="s">
        <v>24</v>
      </c>
      <c r="AB13" s="76">
        <v>14</v>
      </c>
    </row>
    <row r="14" spans="1:28" ht="14.1" customHeight="1">
      <c r="B14" s="120">
        <v>10</v>
      </c>
      <c r="C14" s="97"/>
      <c r="D14" s="98"/>
      <c r="E14" s="121" t="s">
        <v>42</v>
      </c>
      <c r="F14" s="122"/>
      <c r="G14" s="122"/>
      <c r="H14" s="123">
        <v>3000</v>
      </c>
      <c r="I14" s="124">
        <v>3000</v>
      </c>
      <c r="J14" s="122">
        <v>3000</v>
      </c>
      <c r="K14" s="122">
        <v>3000</v>
      </c>
      <c r="L14" s="124">
        <v>3000</v>
      </c>
      <c r="M14" s="124">
        <v>3000</v>
      </c>
      <c r="N14" s="124">
        <v>3000</v>
      </c>
      <c r="O14" s="124">
        <v>3000</v>
      </c>
      <c r="P14" s="124">
        <v>3000</v>
      </c>
      <c r="Q14" s="124">
        <v>3000</v>
      </c>
      <c r="R14" s="124">
        <v>3000</v>
      </c>
      <c r="S14" s="124">
        <v>3000</v>
      </c>
      <c r="T14" s="110"/>
      <c r="U14" s="20">
        <v>36000</v>
      </c>
      <c r="V14" s="99"/>
      <c r="X14" s="100">
        <v>3000</v>
      </c>
      <c r="AA14" s="93" t="s">
        <v>25</v>
      </c>
      <c r="AB14" s="76">
        <v>15</v>
      </c>
    </row>
    <row r="15" spans="1:28" ht="14.1" customHeight="1">
      <c r="B15" s="120">
        <v>11</v>
      </c>
      <c r="C15" s="97"/>
      <c r="D15" s="98"/>
      <c r="E15" s="121" t="s">
        <v>43</v>
      </c>
      <c r="F15" s="122"/>
      <c r="G15" s="122"/>
      <c r="H15" s="123">
        <v>3000</v>
      </c>
      <c r="I15" s="124">
        <v>3000</v>
      </c>
      <c r="J15" s="122">
        <v>3000</v>
      </c>
      <c r="K15" s="122">
        <v>3000</v>
      </c>
      <c r="L15" s="124">
        <v>3000</v>
      </c>
      <c r="M15" s="124">
        <v>3000</v>
      </c>
      <c r="N15" s="124">
        <v>3000</v>
      </c>
      <c r="O15" s="124">
        <v>3000</v>
      </c>
      <c r="P15" s="124">
        <v>3000</v>
      </c>
      <c r="Q15" s="124">
        <v>3000</v>
      </c>
      <c r="R15" s="124">
        <v>3000</v>
      </c>
      <c r="S15" s="124">
        <v>3000</v>
      </c>
      <c r="T15" s="110"/>
      <c r="U15" s="20">
        <v>36000</v>
      </c>
      <c r="V15" s="99"/>
      <c r="X15" s="100">
        <v>3000</v>
      </c>
      <c r="AA15" s="93" t="s">
        <v>26</v>
      </c>
      <c r="AB15" s="76">
        <v>16</v>
      </c>
    </row>
    <row r="16" spans="1:28" ht="14.1" customHeight="1">
      <c r="B16" s="120">
        <v>12</v>
      </c>
      <c r="C16" s="97"/>
      <c r="D16" s="98"/>
      <c r="E16" s="121" t="s">
        <v>44</v>
      </c>
      <c r="F16" s="122"/>
      <c r="G16" s="122"/>
      <c r="H16" s="123">
        <v>3000</v>
      </c>
      <c r="I16" s="124">
        <v>3000</v>
      </c>
      <c r="J16" s="122">
        <v>3000</v>
      </c>
      <c r="K16" s="122">
        <v>3000</v>
      </c>
      <c r="L16" s="124">
        <v>3000</v>
      </c>
      <c r="M16" s="124">
        <v>3000</v>
      </c>
      <c r="N16" s="124">
        <v>3000</v>
      </c>
      <c r="O16" s="124">
        <v>3000</v>
      </c>
      <c r="P16" s="124">
        <v>3000</v>
      </c>
      <c r="Q16" s="124">
        <v>3000</v>
      </c>
      <c r="R16" s="124">
        <v>3000</v>
      </c>
      <c r="S16" s="124">
        <v>3000</v>
      </c>
      <c r="T16" s="110"/>
      <c r="U16" s="20">
        <v>36000</v>
      </c>
      <c r="V16" s="99"/>
      <c r="X16" s="100">
        <v>3000</v>
      </c>
      <c r="AA16" s="93" t="s">
        <v>27</v>
      </c>
      <c r="AB16" s="76">
        <v>17</v>
      </c>
    </row>
    <row r="17" spans="2:28" ht="14.1" customHeight="1">
      <c r="B17" s="120">
        <v>13</v>
      </c>
      <c r="C17" s="97"/>
      <c r="D17" s="98"/>
      <c r="E17" s="121" t="s">
        <v>45</v>
      </c>
      <c r="F17" s="122"/>
      <c r="G17" s="122"/>
      <c r="H17" s="123">
        <v>3000</v>
      </c>
      <c r="I17" s="124">
        <v>3000</v>
      </c>
      <c r="J17" s="122">
        <v>3000</v>
      </c>
      <c r="K17" s="122">
        <v>3000</v>
      </c>
      <c r="L17" s="124">
        <v>3000</v>
      </c>
      <c r="M17" s="124">
        <v>3000</v>
      </c>
      <c r="N17" s="124">
        <v>3000</v>
      </c>
      <c r="O17" s="124">
        <v>3000</v>
      </c>
      <c r="P17" s="124">
        <v>3000</v>
      </c>
      <c r="Q17" s="124">
        <v>3000</v>
      </c>
      <c r="R17" s="124">
        <v>3000</v>
      </c>
      <c r="S17" s="124">
        <v>3000</v>
      </c>
      <c r="T17" s="110"/>
      <c r="U17" s="20">
        <v>36000</v>
      </c>
      <c r="V17" s="99"/>
      <c r="X17" s="100">
        <v>3000</v>
      </c>
      <c r="AA17" s="94" t="s">
        <v>28</v>
      </c>
      <c r="AB17" s="76">
        <v>18</v>
      </c>
    </row>
    <row r="18" spans="2:28" ht="14.1" customHeight="1">
      <c r="B18" s="120">
        <v>14</v>
      </c>
      <c r="C18" s="97"/>
      <c r="D18" s="98"/>
      <c r="E18" s="121" t="s">
        <v>46</v>
      </c>
      <c r="F18" s="122"/>
      <c r="G18" s="122"/>
      <c r="H18" s="123">
        <v>3000</v>
      </c>
      <c r="I18" s="124">
        <v>3000</v>
      </c>
      <c r="J18" s="122">
        <v>3000</v>
      </c>
      <c r="K18" s="122">
        <v>3000</v>
      </c>
      <c r="L18" s="124">
        <v>3000</v>
      </c>
      <c r="M18" s="124">
        <v>3000</v>
      </c>
      <c r="N18" s="124">
        <v>3000</v>
      </c>
      <c r="O18" s="124">
        <v>3000</v>
      </c>
      <c r="P18" s="124">
        <v>3000</v>
      </c>
      <c r="Q18" s="124">
        <v>3000</v>
      </c>
      <c r="R18" s="124">
        <v>3000</v>
      </c>
      <c r="S18" s="124">
        <v>3000</v>
      </c>
      <c r="T18" s="110"/>
      <c r="U18" s="20">
        <v>36000</v>
      </c>
      <c r="V18" s="99"/>
      <c r="X18" s="100">
        <v>3000</v>
      </c>
      <c r="AA18" s="93" t="s">
        <v>29</v>
      </c>
      <c r="AB18" s="76">
        <v>19</v>
      </c>
    </row>
    <row r="19" spans="2:28" ht="14.1" customHeight="1">
      <c r="B19" s="120">
        <v>15</v>
      </c>
      <c r="C19" s="97"/>
      <c r="D19" s="98"/>
      <c r="E19" s="121" t="s">
        <v>47</v>
      </c>
      <c r="F19" s="122"/>
      <c r="G19" s="122"/>
      <c r="H19" s="123">
        <v>3000</v>
      </c>
      <c r="I19" s="124">
        <v>3000</v>
      </c>
      <c r="J19" s="122">
        <v>3000</v>
      </c>
      <c r="K19" s="122">
        <v>3000</v>
      </c>
      <c r="L19" s="124">
        <v>3000</v>
      </c>
      <c r="M19" s="124">
        <v>3000</v>
      </c>
      <c r="N19" s="124">
        <v>3000</v>
      </c>
      <c r="O19" s="124">
        <v>3000</v>
      </c>
      <c r="P19" s="124">
        <v>3000</v>
      </c>
      <c r="Q19" s="124">
        <v>3000</v>
      </c>
      <c r="R19" s="124">
        <v>3000</v>
      </c>
      <c r="S19" s="124">
        <v>3000</v>
      </c>
      <c r="T19" s="110"/>
      <c r="U19" s="20">
        <v>36000</v>
      </c>
      <c r="V19" s="99"/>
      <c r="X19" s="100">
        <v>3000</v>
      </c>
      <c r="AA19" s="95" t="s">
        <v>32</v>
      </c>
      <c r="AB19" s="76">
        <v>20</v>
      </c>
    </row>
    <row r="20" spans="2:28" ht="14.1" customHeight="1">
      <c r="B20" s="120">
        <v>16</v>
      </c>
      <c r="C20" s="97"/>
      <c r="D20" s="98"/>
      <c r="E20" s="121" t="s">
        <v>48</v>
      </c>
      <c r="F20" s="122"/>
      <c r="G20" s="122"/>
      <c r="H20" s="123">
        <v>3000</v>
      </c>
      <c r="I20" s="124">
        <v>3000</v>
      </c>
      <c r="J20" s="122">
        <v>3000</v>
      </c>
      <c r="K20" s="122">
        <v>3000</v>
      </c>
      <c r="L20" s="124">
        <v>3000</v>
      </c>
      <c r="M20" s="124">
        <v>3000</v>
      </c>
      <c r="N20" s="124">
        <v>3000</v>
      </c>
      <c r="O20" s="124">
        <v>3000</v>
      </c>
      <c r="P20" s="124">
        <v>3000</v>
      </c>
      <c r="Q20" s="124">
        <v>3000</v>
      </c>
      <c r="R20" s="124">
        <v>3000</v>
      </c>
      <c r="S20" s="124">
        <v>3000</v>
      </c>
      <c r="T20" s="110"/>
      <c r="U20" s="20">
        <v>36000</v>
      </c>
      <c r="V20" s="99"/>
      <c r="X20" s="100">
        <v>3000</v>
      </c>
    </row>
    <row r="21" spans="2:28" ht="14.1" customHeight="1">
      <c r="B21" s="120">
        <v>17</v>
      </c>
      <c r="C21" s="97"/>
      <c r="D21" s="98"/>
      <c r="E21" s="121" t="s">
        <v>49</v>
      </c>
      <c r="F21" s="122"/>
      <c r="G21" s="122"/>
      <c r="H21" s="123">
        <v>3000</v>
      </c>
      <c r="I21" s="124">
        <v>3000</v>
      </c>
      <c r="J21" s="122">
        <v>3000</v>
      </c>
      <c r="K21" s="122">
        <v>3000</v>
      </c>
      <c r="L21" s="124">
        <v>3000</v>
      </c>
      <c r="M21" s="124">
        <v>3000</v>
      </c>
      <c r="N21" s="124">
        <v>3000</v>
      </c>
      <c r="O21" s="124">
        <v>3000</v>
      </c>
      <c r="P21" s="124">
        <v>3000</v>
      </c>
      <c r="Q21" s="124">
        <v>3000</v>
      </c>
      <c r="R21" s="124">
        <v>3000</v>
      </c>
      <c r="S21" s="124">
        <v>3000</v>
      </c>
      <c r="T21" s="110"/>
      <c r="U21" s="20">
        <v>36000</v>
      </c>
      <c r="V21" s="99"/>
      <c r="X21" s="100">
        <v>3000</v>
      </c>
    </row>
    <row r="22" spans="2:28" ht="14.1" customHeight="1">
      <c r="B22" s="120">
        <v>18</v>
      </c>
      <c r="C22" s="97"/>
      <c r="D22" s="98"/>
      <c r="E22" s="121" t="s">
        <v>50</v>
      </c>
      <c r="F22" s="122"/>
      <c r="G22" s="122"/>
      <c r="H22" s="123">
        <v>3000</v>
      </c>
      <c r="I22" s="124">
        <v>3000</v>
      </c>
      <c r="J22" s="122">
        <v>3000</v>
      </c>
      <c r="K22" s="122">
        <v>3000</v>
      </c>
      <c r="L22" s="124">
        <v>3000</v>
      </c>
      <c r="M22" s="124">
        <v>3000</v>
      </c>
      <c r="N22" s="124">
        <v>3000</v>
      </c>
      <c r="O22" s="124">
        <v>3000</v>
      </c>
      <c r="P22" s="124">
        <v>3000</v>
      </c>
      <c r="Q22" s="124">
        <v>3000</v>
      </c>
      <c r="R22" s="124">
        <v>3000</v>
      </c>
      <c r="S22" s="124">
        <v>3000</v>
      </c>
      <c r="T22" s="110"/>
      <c r="U22" s="20">
        <v>36000</v>
      </c>
      <c r="V22" s="99"/>
      <c r="X22" s="100">
        <v>3000</v>
      </c>
    </row>
    <row r="23" spans="2:28" ht="14.1" customHeight="1">
      <c r="B23" s="120">
        <v>19</v>
      </c>
      <c r="C23" s="97"/>
      <c r="D23" s="98"/>
      <c r="E23" s="121" t="s">
        <v>51</v>
      </c>
      <c r="F23" s="122"/>
      <c r="G23" s="122"/>
      <c r="H23" s="123">
        <v>3000</v>
      </c>
      <c r="I23" s="124">
        <v>3000</v>
      </c>
      <c r="J23" s="122">
        <v>3000</v>
      </c>
      <c r="K23" s="122">
        <v>3000</v>
      </c>
      <c r="L23" s="124">
        <v>3000</v>
      </c>
      <c r="M23" s="124">
        <v>3000</v>
      </c>
      <c r="N23" s="124">
        <v>3000</v>
      </c>
      <c r="O23" s="124">
        <v>3000</v>
      </c>
      <c r="P23" s="124">
        <v>3000</v>
      </c>
      <c r="Q23" s="124">
        <v>3000</v>
      </c>
      <c r="R23" s="124">
        <v>3000</v>
      </c>
      <c r="S23" s="124">
        <v>3000</v>
      </c>
      <c r="T23" s="110"/>
      <c r="U23" s="20">
        <v>36000</v>
      </c>
      <c r="V23" s="99"/>
      <c r="X23" s="100">
        <v>3000</v>
      </c>
    </row>
    <row r="24" spans="2:28" ht="14.1" customHeight="1">
      <c r="B24" s="120">
        <v>20</v>
      </c>
      <c r="C24" s="97"/>
      <c r="D24" s="98"/>
      <c r="E24" s="121" t="s">
        <v>52</v>
      </c>
      <c r="F24" s="122"/>
      <c r="G24" s="122"/>
      <c r="H24" s="123">
        <v>3000</v>
      </c>
      <c r="I24" s="124">
        <v>3000</v>
      </c>
      <c r="J24" s="122">
        <v>3000</v>
      </c>
      <c r="K24" s="122">
        <v>3000</v>
      </c>
      <c r="L24" s="124">
        <v>3000</v>
      </c>
      <c r="M24" s="124">
        <v>3000</v>
      </c>
      <c r="N24" s="124">
        <v>3000</v>
      </c>
      <c r="O24" s="124">
        <v>3000</v>
      </c>
      <c r="P24" s="124">
        <v>3000</v>
      </c>
      <c r="Q24" s="124">
        <v>3000</v>
      </c>
      <c r="R24" s="124">
        <v>3000</v>
      </c>
      <c r="S24" s="124">
        <v>3000</v>
      </c>
      <c r="T24" s="110"/>
      <c r="U24" s="20">
        <v>36000</v>
      </c>
      <c r="V24" s="99"/>
      <c r="X24" s="100">
        <v>3000</v>
      </c>
    </row>
    <row r="25" spans="2:28" ht="14.1" customHeight="1">
      <c r="B25" s="120">
        <v>21</v>
      </c>
      <c r="C25" s="97"/>
      <c r="D25" s="98"/>
      <c r="E25" s="121" t="s">
        <v>53</v>
      </c>
      <c r="F25" s="122"/>
      <c r="G25" s="122"/>
      <c r="H25" s="123">
        <v>3000</v>
      </c>
      <c r="I25" s="124">
        <v>3000</v>
      </c>
      <c r="J25" s="122">
        <v>3000</v>
      </c>
      <c r="K25" s="122">
        <v>3000</v>
      </c>
      <c r="L25" s="124">
        <v>3000</v>
      </c>
      <c r="M25" s="124">
        <v>3000</v>
      </c>
      <c r="N25" s="124">
        <v>3000</v>
      </c>
      <c r="O25" s="124">
        <v>3000</v>
      </c>
      <c r="P25" s="124">
        <v>3000</v>
      </c>
      <c r="Q25" s="124">
        <v>3000</v>
      </c>
      <c r="R25" s="124">
        <v>3000</v>
      </c>
      <c r="S25" s="124">
        <v>3000</v>
      </c>
      <c r="T25" s="110"/>
      <c r="U25" s="20">
        <v>36000</v>
      </c>
      <c r="V25" s="99"/>
      <c r="X25" s="100">
        <v>3000</v>
      </c>
    </row>
    <row r="26" spans="2:28" ht="14.1" customHeight="1">
      <c r="B26" s="120">
        <v>22</v>
      </c>
      <c r="C26" s="97"/>
      <c r="D26" s="98"/>
      <c r="E26" s="121" t="s">
        <v>54</v>
      </c>
      <c r="F26" s="122"/>
      <c r="G26" s="122"/>
      <c r="H26" s="123">
        <v>3000</v>
      </c>
      <c r="I26" s="124">
        <v>3000</v>
      </c>
      <c r="J26" s="122">
        <v>3000</v>
      </c>
      <c r="K26" s="122">
        <v>3000</v>
      </c>
      <c r="L26" s="124">
        <v>3000</v>
      </c>
      <c r="M26" s="124">
        <v>3000</v>
      </c>
      <c r="N26" s="124">
        <v>3000</v>
      </c>
      <c r="O26" s="124">
        <v>3000</v>
      </c>
      <c r="P26" s="124">
        <v>3000</v>
      </c>
      <c r="Q26" s="124">
        <v>3000</v>
      </c>
      <c r="R26" s="124">
        <v>3000</v>
      </c>
      <c r="S26" s="124">
        <v>3000</v>
      </c>
      <c r="T26" s="110"/>
      <c r="U26" s="20">
        <v>36000</v>
      </c>
      <c r="V26" s="99"/>
      <c r="X26" s="100">
        <v>3000</v>
      </c>
    </row>
    <row r="27" spans="2:28" ht="14.1" customHeight="1">
      <c r="B27" s="120">
        <v>23</v>
      </c>
      <c r="C27" s="97"/>
      <c r="D27" s="98"/>
      <c r="E27" s="121" t="s">
        <v>55</v>
      </c>
      <c r="F27" s="122"/>
      <c r="G27" s="122"/>
      <c r="H27" s="123">
        <v>3000</v>
      </c>
      <c r="I27" s="124">
        <v>3000</v>
      </c>
      <c r="J27" s="122">
        <v>3000</v>
      </c>
      <c r="K27" s="122">
        <v>3000</v>
      </c>
      <c r="L27" s="124">
        <v>3000</v>
      </c>
      <c r="M27" s="124">
        <v>3000</v>
      </c>
      <c r="N27" s="124">
        <v>3000</v>
      </c>
      <c r="O27" s="124">
        <v>3000</v>
      </c>
      <c r="P27" s="124">
        <v>3000</v>
      </c>
      <c r="Q27" s="124">
        <v>3000</v>
      </c>
      <c r="R27" s="124">
        <v>3000</v>
      </c>
      <c r="S27" s="124">
        <v>3000</v>
      </c>
      <c r="T27" s="110"/>
      <c r="U27" s="20">
        <v>36000</v>
      </c>
      <c r="V27" s="99"/>
      <c r="X27" s="100">
        <v>3000</v>
      </c>
    </row>
    <row r="28" spans="2:28" ht="14.1" customHeight="1">
      <c r="B28" s="120">
        <v>24</v>
      </c>
      <c r="C28" s="97"/>
      <c r="D28" s="98"/>
      <c r="E28" s="121" t="s">
        <v>56</v>
      </c>
      <c r="F28" s="122"/>
      <c r="G28" s="122"/>
      <c r="H28" s="123">
        <v>3000</v>
      </c>
      <c r="I28" s="124">
        <v>3000</v>
      </c>
      <c r="J28" s="122">
        <v>3000</v>
      </c>
      <c r="K28" s="122">
        <v>3000</v>
      </c>
      <c r="L28" s="124">
        <v>3000</v>
      </c>
      <c r="M28" s="124">
        <v>3000</v>
      </c>
      <c r="N28" s="124">
        <v>3000</v>
      </c>
      <c r="O28" s="124">
        <v>3000</v>
      </c>
      <c r="P28" s="124">
        <v>3000</v>
      </c>
      <c r="Q28" s="124">
        <v>3000</v>
      </c>
      <c r="R28" s="124">
        <v>3000</v>
      </c>
      <c r="S28" s="124">
        <v>3000</v>
      </c>
      <c r="T28" s="110"/>
      <c r="U28" s="20">
        <v>36000</v>
      </c>
      <c r="V28" s="99"/>
      <c r="X28" s="100">
        <v>3000</v>
      </c>
    </row>
    <row r="29" spans="2:28" ht="14.1" customHeight="1">
      <c r="B29" s="120">
        <v>25</v>
      </c>
      <c r="C29" s="97"/>
      <c r="D29" s="98"/>
      <c r="E29" s="121" t="s">
        <v>57</v>
      </c>
      <c r="F29" s="122"/>
      <c r="G29" s="122"/>
      <c r="H29" s="123">
        <v>3000</v>
      </c>
      <c r="I29" s="124">
        <v>3000</v>
      </c>
      <c r="J29" s="122">
        <v>3000</v>
      </c>
      <c r="K29" s="122">
        <v>3000</v>
      </c>
      <c r="L29" s="124">
        <v>3000</v>
      </c>
      <c r="M29" s="124">
        <v>3000</v>
      </c>
      <c r="N29" s="124">
        <v>3000</v>
      </c>
      <c r="O29" s="124">
        <v>3000</v>
      </c>
      <c r="P29" s="124">
        <v>3000</v>
      </c>
      <c r="Q29" s="124">
        <v>3000</v>
      </c>
      <c r="R29" s="124">
        <v>3000</v>
      </c>
      <c r="S29" s="124">
        <v>3000</v>
      </c>
      <c r="T29" s="110"/>
      <c r="U29" s="20">
        <v>36000</v>
      </c>
      <c r="V29" s="99"/>
      <c r="X29" s="100">
        <v>3000</v>
      </c>
    </row>
    <row r="30" spans="2:28" ht="14.1" customHeight="1">
      <c r="B30" s="120">
        <v>26</v>
      </c>
      <c r="C30" s="97"/>
      <c r="D30" s="98"/>
      <c r="E30" s="121" t="s">
        <v>58</v>
      </c>
      <c r="F30" s="122"/>
      <c r="G30" s="122"/>
      <c r="H30" s="123">
        <v>3000</v>
      </c>
      <c r="I30" s="124">
        <v>3000</v>
      </c>
      <c r="J30" s="122">
        <v>3000</v>
      </c>
      <c r="K30" s="122">
        <v>3000</v>
      </c>
      <c r="L30" s="124">
        <v>3000</v>
      </c>
      <c r="M30" s="124">
        <v>3000</v>
      </c>
      <c r="N30" s="124">
        <v>3000</v>
      </c>
      <c r="O30" s="124">
        <v>3000</v>
      </c>
      <c r="P30" s="124">
        <v>3000</v>
      </c>
      <c r="Q30" s="124">
        <v>3000</v>
      </c>
      <c r="R30" s="124">
        <v>3000</v>
      </c>
      <c r="S30" s="124">
        <v>3000</v>
      </c>
      <c r="T30" s="110"/>
      <c r="U30" s="20">
        <v>36000</v>
      </c>
      <c r="V30" s="99"/>
      <c r="X30" s="100">
        <v>3000</v>
      </c>
    </row>
    <row r="31" spans="2:28" ht="14.1" customHeight="1">
      <c r="B31" s="120">
        <v>27</v>
      </c>
      <c r="C31" s="97"/>
      <c r="D31" s="98"/>
      <c r="E31" s="121" t="s">
        <v>59</v>
      </c>
      <c r="F31" s="122"/>
      <c r="G31" s="122"/>
      <c r="H31" s="123">
        <v>3000</v>
      </c>
      <c r="I31" s="124">
        <v>3000</v>
      </c>
      <c r="J31" s="122">
        <v>3000</v>
      </c>
      <c r="K31" s="122">
        <v>3000</v>
      </c>
      <c r="L31" s="124">
        <v>3000</v>
      </c>
      <c r="M31" s="124">
        <v>3000</v>
      </c>
      <c r="N31" s="124">
        <v>3000</v>
      </c>
      <c r="O31" s="124">
        <v>3000</v>
      </c>
      <c r="P31" s="124">
        <v>3000</v>
      </c>
      <c r="Q31" s="124">
        <v>3000</v>
      </c>
      <c r="R31" s="124">
        <v>3000</v>
      </c>
      <c r="S31" s="124">
        <v>3000</v>
      </c>
      <c r="T31" s="110"/>
      <c r="U31" s="20">
        <v>36000</v>
      </c>
      <c r="V31" s="99"/>
      <c r="X31" s="100">
        <v>3000</v>
      </c>
    </row>
    <row r="32" spans="2:28" ht="14.1" customHeight="1">
      <c r="B32" s="120">
        <v>28</v>
      </c>
      <c r="C32" s="97"/>
      <c r="D32" s="98"/>
      <c r="E32" s="121" t="s">
        <v>60</v>
      </c>
      <c r="F32" s="122"/>
      <c r="G32" s="122"/>
      <c r="H32" s="123">
        <v>3000</v>
      </c>
      <c r="I32" s="124">
        <v>3000</v>
      </c>
      <c r="J32" s="122">
        <v>3000</v>
      </c>
      <c r="K32" s="122">
        <v>3000</v>
      </c>
      <c r="L32" s="124">
        <v>3000</v>
      </c>
      <c r="M32" s="124">
        <v>3000</v>
      </c>
      <c r="N32" s="124">
        <v>3000</v>
      </c>
      <c r="O32" s="124">
        <v>3000</v>
      </c>
      <c r="P32" s="124">
        <v>3000</v>
      </c>
      <c r="Q32" s="124">
        <v>3000</v>
      </c>
      <c r="R32" s="124">
        <v>3000</v>
      </c>
      <c r="S32" s="124">
        <v>3000</v>
      </c>
      <c r="T32" s="110"/>
      <c r="U32" s="20">
        <v>36000</v>
      </c>
      <c r="V32" s="99"/>
      <c r="X32" s="100">
        <v>3000</v>
      </c>
    </row>
    <row r="33" spans="2:24" ht="14.1" customHeight="1">
      <c r="B33" s="120">
        <v>29</v>
      </c>
      <c r="C33" s="97"/>
      <c r="D33" s="98"/>
      <c r="E33" s="121" t="s">
        <v>61</v>
      </c>
      <c r="F33" s="122"/>
      <c r="G33" s="122"/>
      <c r="H33" s="123">
        <v>3000</v>
      </c>
      <c r="I33" s="124">
        <v>3000</v>
      </c>
      <c r="J33" s="122">
        <v>3000</v>
      </c>
      <c r="K33" s="122">
        <v>3000</v>
      </c>
      <c r="L33" s="124">
        <v>3000</v>
      </c>
      <c r="M33" s="124">
        <v>3000</v>
      </c>
      <c r="N33" s="124">
        <v>3000</v>
      </c>
      <c r="O33" s="124">
        <v>3000</v>
      </c>
      <c r="P33" s="124">
        <v>3000</v>
      </c>
      <c r="Q33" s="124">
        <v>3000</v>
      </c>
      <c r="R33" s="124">
        <v>3000</v>
      </c>
      <c r="S33" s="124">
        <v>3000</v>
      </c>
      <c r="T33" s="110"/>
      <c r="U33" s="20">
        <v>36000</v>
      </c>
      <c r="V33" s="99"/>
      <c r="X33" s="100">
        <v>3000</v>
      </c>
    </row>
    <row r="34" spans="2:24" ht="14.1" customHeight="1">
      <c r="B34" s="120">
        <v>30</v>
      </c>
      <c r="C34" s="97"/>
      <c r="D34" s="98"/>
      <c r="E34" s="121" t="s">
        <v>62</v>
      </c>
      <c r="F34" s="122"/>
      <c r="G34" s="122"/>
      <c r="H34" s="123">
        <v>3000</v>
      </c>
      <c r="I34" s="124">
        <v>3000</v>
      </c>
      <c r="J34" s="122">
        <v>3000</v>
      </c>
      <c r="K34" s="122">
        <v>3000</v>
      </c>
      <c r="L34" s="124">
        <v>3000</v>
      </c>
      <c r="M34" s="124">
        <v>3000</v>
      </c>
      <c r="N34" s="124">
        <v>3000</v>
      </c>
      <c r="O34" s="124">
        <v>3000</v>
      </c>
      <c r="P34" s="124">
        <v>3000</v>
      </c>
      <c r="Q34" s="124">
        <v>3000</v>
      </c>
      <c r="R34" s="124">
        <v>3000</v>
      </c>
      <c r="S34" s="124">
        <v>3000</v>
      </c>
      <c r="T34" s="110"/>
      <c r="U34" s="20">
        <v>36000</v>
      </c>
      <c r="V34" s="99"/>
      <c r="X34" s="100">
        <v>3000</v>
      </c>
    </row>
    <row r="35" spans="2:24" ht="14.1" customHeight="1">
      <c r="B35" s="120">
        <v>31</v>
      </c>
      <c r="C35" s="97"/>
      <c r="D35" s="98"/>
      <c r="E35" s="121" t="s">
        <v>63</v>
      </c>
      <c r="F35" s="122"/>
      <c r="G35" s="122"/>
      <c r="H35" s="123">
        <v>3000</v>
      </c>
      <c r="I35" s="124">
        <v>3000</v>
      </c>
      <c r="J35" s="122">
        <v>3000</v>
      </c>
      <c r="K35" s="122">
        <v>3000</v>
      </c>
      <c r="L35" s="124">
        <v>3000</v>
      </c>
      <c r="M35" s="124">
        <v>3000</v>
      </c>
      <c r="N35" s="124">
        <v>3000</v>
      </c>
      <c r="O35" s="124">
        <v>3000</v>
      </c>
      <c r="P35" s="124">
        <v>3000</v>
      </c>
      <c r="Q35" s="124">
        <v>3000</v>
      </c>
      <c r="R35" s="124">
        <v>3000</v>
      </c>
      <c r="S35" s="124">
        <v>3000</v>
      </c>
      <c r="T35" s="110"/>
      <c r="U35" s="20">
        <v>36000</v>
      </c>
      <c r="V35" s="99"/>
      <c r="X35" s="100">
        <v>3000</v>
      </c>
    </row>
    <row r="36" spans="2:24" ht="14.1" customHeight="1">
      <c r="B36" s="120">
        <v>32</v>
      </c>
      <c r="C36" s="97"/>
      <c r="D36" s="98"/>
      <c r="E36" s="121" t="s">
        <v>64</v>
      </c>
      <c r="F36" s="122"/>
      <c r="G36" s="122"/>
      <c r="H36" s="123">
        <v>3000</v>
      </c>
      <c r="I36" s="124">
        <v>3000</v>
      </c>
      <c r="J36" s="122">
        <v>3000</v>
      </c>
      <c r="K36" s="122">
        <v>3000</v>
      </c>
      <c r="L36" s="124">
        <v>3000</v>
      </c>
      <c r="M36" s="124">
        <v>3000</v>
      </c>
      <c r="N36" s="124">
        <v>3000</v>
      </c>
      <c r="O36" s="124">
        <v>3000</v>
      </c>
      <c r="P36" s="124">
        <v>3000</v>
      </c>
      <c r="Q36" s="124">
        <v>3000</v>
      </c>
      <c r="R36" s="124">
        <v>3000</v>
      </c>
      <c r="S36" s="124">
        <v>3000</v>
      </c>
      <c r="T36" s="110"/>
      <c r="U36" s="20">
        <v>36000</v>
      </c>
      <c r="V36" s="99"/>
      <c r="X36" s="100">
        <v>3000</v>
      </c>
    </row>
    <row r="37" spans="2:24" ht="14.1" customHeight="1">
      <c r="B37" s="91">
        <v>33</v>
      </c>
      <c r="C37" s="91"/>
      <c r="D37" s="101"/>
      <c r="E37" s="125" t="s">
        <v>69</v>
      </c>
      <c r="F37" s="122"/>
      <c r="G37" s="122"/>
      <c r="H37" s="126">
        <v>3000</v>
      </c>
      <c r="I37" s="122">
        <v>3000</v>
      </c>
      <c r="J37" s="122">
        <v>3000</v>
      </c>
      <c r="K37" s="122">
        <v>3000</v>
      </c>
      <c r="L37" s="127">
        <v>3000</v>
      </c>
      <c r="M37" s="127">
        <v>3000</v>
      </c>
      <c r="N37" s="124">
        <v>3000</v>
      </c>
      <c r="O37" s="124">
        <v>3000</v>
      </c>
      <c r="P37" s="124">
        <v>3000</v>
      </c>
      <c r="Q37" s="124">
        <v>3000</v>
      </c>
      <c r="R37" s="127">
        <v>3000</v>
      </c>
      <c r="S37" s="127">
        <v>3000</v>
      </c>
      <c r="T37" s="113"/>
      <c r="U37" s="22">
        <v>36000</v>
      </c>
      <c r="V37" s="99"/>
      <c r="X37" s="100">
        <v>3000</v>
      </c>
    </row>
    <row r="38" spans="2:24" ht="14.1" customHeight="1">
      <c r="B38" s="91">
        <v>34</v>
      </c>
      <c r="C38" s="91"/>
      <c r="D38" s="101"/>
      <c r="E38" s="125" t="s">
        <v>70</v>
      </c>
      <c r="F38" s="122"/>
      <c r="G38" s="122"/>
      <c r="H38" s="126">
        <v>3000</v>
      </c>
      <c r="I38" s="122">
        <v>3000</v>
      </c>
      <c r="J38" s="122">
        <v>3000</v>
      </c>
      <c r="K38" s="122">
        <v>3000</v>
      </c>
      <c r="L38" s="127">
        <v>3000</v>
      </c>
      <c r="M38" s="127">
        <v>3000</v>
      </c>
      <c r="N38" s="124">
        <v>3000</v>
      </c>
      <c r="O38" s="124">
        <v>3000</v>
      </c>
      <c r="P38" s="124">
        <v>3000</v>
      </c>
      <c r="Q38" s="124">
        <v>3000</v>
      </c>
      <c r="R38" s="127">
        <v>3000</v>
      </c>
      <c r="S38" s="127">
        <v>3000</v>
      </c>
      <c r="T38" s="113"/>
      <c r="U38" s="22">
        <v>36000</v>
      </c>
      <c r="V38" s="99"/>
      <c r="X38" s="100">
        <v>3000</v>
      </c>
    </row>
    <row r="39" spans="2:24" ht="14.1" customHeight="1">
      <c r="B39" s="91">
        <v>35</v>
      </c>
      <c r="C39" s="91"/>
      <c r="D39" s="101"/>
      <c r="E39" s="125" t="s">
        <v>71</v>
      </c>
      <c r="F39" s="122"/>
      <c r="G39" s="122"/>
      <c r="H39" s="126">
        <v>3000</v>
      </c>
      <c r="I39" s="122">
        <v>3000</v>
      </c>
      <c r="J39" s="122">
        <v>3000</v>
      </c>
      <c r="K39" s="122">
        <v>3000</v>
      </c>
      <c r="L39" s="127">
        <v>3000</v>
      </c>
      <c r="M39" s="127">
        <v>3000</v>
      </c>
      <c r="N39" s="124">
        <v>3000</v>
      </c>
      <c r="O39" s="124">
        <v>3000</v>
      </c>
      <c r="P39" s="124">
        <v>3000</v>
      </c>
      <c r="Q39" s="124">
        <v>3000</v>
      </c>
      <c r="R39" s="127">
        <v>3000</v>
      </c>
      <c r="S39" s="127">
        <v>3000</v>
      </c>
      <c r="T39" s="113"/>
      <c r="U39" s="22">
        <v>36000</v>
      </c>
      <c r="V39" s="99"/>
      <c r="X39" s="100">
        <v>3000</v>
      </c>
    </row>
    <row r="40" spans="2:24" ht="14.1" customHeight="1">
      <c r="B40" s="91">
        <v>36</v>
      </c>
      <c r="C40" s="91"/>
      <c r="D40" s="101"/>
      <c r="E40" s="125" t="s">
        <v>72</v>
      </c>
      <c r="F40" s="122"/>
      <c r="G40" s="122"/>
      <c r="H40" s="126">
        <v>3000</v>
      </c>
      <c r="I40" s="122">
        <v>3000</v>
      </c>
      <c r="J40" s="122">
        <v>3000</v>
      </c>
      <c r="K40" s="122">
        <v>3000</v>
      </c>
      <c r="L40" s="127">
        <v>3000</v>
      </c>
      <c r="M40" s="127">
        <v>3000</v>
      </c>
      <c r="N40" s="124">
        <v>3000</v>
      </c>
      <c r="O40" s="124">
        <v>3000</v>
      </c>
      <c r="P40" s="124">
        <v>3000</v>
      </c>
      <c r="Q40" s="124">
        <v>3000</v>
      </c>
      <c r="R40" s="127">
        <v>3000</v>
      </c>
      <c r="S40" s="127">
        <v>3000</v>
      </c>
      <c r="T40" s="113"/>
      <c r="U40" s="22">
        <v>36000</v>
      </c>
      <c r="V40" s="99"/>
      <c r="X40" s="100">
        <v>3000</v>
      </c>
    </row>
    <row r="41" spans="2:24" ht="14.1" customHeight="1">
      <c r="B41" s="91">
        <v>37</v>
      </c>
      <c r="C41" s="91"/>
      <c r="D41" s="101"/>
      <c r="E41" s="125" t="s">
        <v>34</v>
      </c>
      <c r="F41" s="122"/>
      <c r="G41" s="122"/>
      <c r="H41" s="126">
        <v>3000</v>
      </c>
      <c r="I41" s="122">
        <v>3000</v>
      </c>
      <c r="J41" s="122">
        <v>3000</v>
      </c>
      <c r="K41" s="122">
        <v>3000</v>
      </c>
      <c r="L41" s="127">
        <v>3000</v>
      </c>
      <c r="M41" s="127">
        <v>3000</v>
      </c>
      <c r="N41" s="124">
        <v>3000</v>
      </c>
      <c r="O41" s="124">
        <v>3000</v>
      </c>
      <c r="P41" s="124">
        <v>3000</v>
      </c>
      <c r="Q41" s="124">
        <v>3000</v>
      </c>
      <c r="R41" s="127">
        <v>3000</v>
      </c>
      <c r="S41" s="127">
        <v>3000</v>
      </c>
      <c r="T41" s="113"/>
      <c r="U41" s="22">
        <v>36000</v>
      </c>
      <c r="V41" s="99"/>
      <c r="X41" s="100">
        <v>3000</v>
      </c>
    </row>
    <row r="42" spans="2:24" ht="14.1" customHeight="1">
      <c r="B42" s="91">
        <v>38</v>
      </c>
      <c r="C42" s="91"/>
      <c r="D42" s="101"/>
      <c r="E42" s="125" t="s">
        <v>36</v>
      </c>
      <c r="F42" s="122"/>
      <c r="G42" s="122"/>
      <c r="H42" s="126">
        <v>3000</v>
      </c>
      <c r="I42" s="122">
        <v>3000</v>
      </c>
      <c r="J42" s="122">
        <v>3000</v>
      </c>
      <c r="K42" s="122">
        <v>3000</v>
      </c>
      <c r="L42" s="127">
        <v>3000</v>
      </c>
      <c r="M42" s="127">
        <v>3000</v>
      </c>
      <c r="N42" s="124">
        <v>3000</v>
      </c>
      <c r="O42" s="124">
        <v>3000</v>
      </c>
      <c r="P42" s="124">
        <v>3000</v>
      </c>
      <c r="Q42" s="124">
        <v>3000</v>
      </c>
      <c r="R42" s="127">
        <v>3000</v>
      </c>
      <c r="S42" s="127">
        <v>3000</v>
      </c>
      <c r="T42" s="113"/>
      <c r="U42" s="22">
        <v>36000</v>
      </c>
      <c r="V42" s="99"/>
      <c r="X42" s="100">
        <v>3000</v>
      </c>
    </row>
    <row r="43" spans="2:24" ht="14.1" customHeight="1">
      <c r="B43" s="91">
        <v>39</v>
      </c>
      <c r="C43" s="91"/>
      <c r="D43" s="101"/>
      <c r="E43" s="125" t="s">
        <v>35</v>
      </c>
      <c r="F43" s="122"/>
      <c r="G43" s="122"/>
      <c r="H43" s="126">
        <v>3000</v>
      </c>
      <c r="I43" s="122">
        <v>3000</v>
      </c>
      <c r="J43" s="122">
        <v>3000</v>
      </c>
      <c r="K43" s="122">
        <v>3000</v>
      </c>
      <c r="L43" s="127">
        <v>3000</v>
      </c>
      <c r="M43" s="127">
        <v>3000</v>
      </c>
      <c r="N43" s="124">
        <v>3000</v>
      </c>
      <c r="O43" s="124">
        <v>3000</v>
      </c>
      <c r="P43" s="124">
        <v>3000</v>
      </c>
      <c r="Q43" s="124">
        <v>3000</v>
      </c>
      <c r="R43" s="127">
        <v>3000</v>
      </c>
      <c r="S43" s="127">
        <v>3000</v>
      </c>
      <c r="T43" s="113"/>
      <c r="U43" s="22">
        <v>36000</v>
      </c>
      <c r="V43" s="99"/>
      <c r="X43" s="100">
        <v>3000</v>
      </c>
    </row>
    <row r="44" spans="2:24" ht="14.1" customHeight="1">
      <c r="B44" s="91">
        <v>40</v>
      </c>
      <c r="C44" s="91"/>
      <c r="D44" s="101"/>
      <c r="E44" s="125" t="s">
        <v>73</v>
      </c>
      <c r="F44" s="122"/>
      <c r="G44" s="122"/>
      <c r="H44" s="126">
        <v>3000</v>
      </c>
      <c r="I44" s="122">
        <v>3000</v>
      </c>
      <c r="J44" s="122">
        <v>3000</v>
      </c>
      <c r="K44" s="122">
        <v>3000</v>
      </c>
      <c r="L44" s="127">
        <v>3000</v>
      </c>
      <c r="M44" s="127">
        <v>3000</v>
      </c>
      <c r="N44" s="124">
        <v>3000</v>
      </c>
      <c r="O44" s="124">
        <v>3000</v>
      </c>
      <c r="P44" s="124">
        <v>3000</v>
      </c>
      <c r="Q44" s="124">
        <v>3000</v>
      </c>
      <c r="R44" s="127">
        <v>3000</v>
      </c>
      <c r="S44" s="127">
        <v>3000</v>
      </c>
      <c r="T44" s="113"/>
      <c r="U44" s="22">
        <v>36000</v>
      </c>
      <c r="V44" s="99"/>
      <c r="X44" s="100">
        <v>3000</v>
      </c>
    </row>
    <row r="45" spans="2:24" ht="14.1" customHeight="1">
      <c r="B45" s="91">
        <v>41</v>
      </c>
      <c r="C45" s="91"/>
      <c r="D45" s="101"/>
      <c r="E45" s="125" t="s">
        <v>74</v>
      </c>
      <c r="F45" s="122"/>
      <c r="G45" s="122"/>
      <c r="H45" s="126">
        <v>3000</v>
      </c>
      <c r="I45" s="122">
        <v>3000</v>
      </c>
      <c r="J45" s="122">
        <v>3000</v>
      </c>
      <c r="K45" s="122">
        <v>3000</v>
      </c>
      <c r="L45" s="127">
        <v>3000</v>
      </c>
      <c r="M45" s="127">
        <v>3000</v>
      </c>
      <c r="N45" s="124">
        <v>3000</v>
      </c>
      <c r="O45" s="124">
        <v>3000</v>
      </c>
      <c r="P45" s="124">
        <v>3000</v>
      </c>
      <c r="Q45" s="124">
        <v>3000</v>
      </c>
      <c r="R45" s="127">
        <v>3000</v>
      </c>
      <c r="S45" s="127">
        <v>3000</v>
      </c>
      <c r="T45" s="113"/>
      <c r="U45" s="22">
        <v>36000</v>
      </c>
      <c r="V45" s="99"/>
      <c r="X45" s="100">
        <v>3000</v>
      </c>
    </row>
    <row r="46" spans="2:24" ht="14.1" customHeight="1">
      <c r="B46" s="91">
        <v>42</v>
      </c>
      <c r="C46" s="120"/>
      <c r="D46" s="98"/>
      <c r="E46" s="128" t="s">
        <v>75</v>
      </c>
      <c r="F46" s="122"/>
      <c r="G46" s="122"/>
      <c r="H46" s="126">
        <v>3000</v>
      </c>
      <c r="I46" s="122">
        <v>3000</v>
      </c>
      <c r="J46" s="122">
        <v>3000</v>
      </c>
      <c r="K46" s="122">
        <v>3000</v>
      </c>
      <c r="L46" s="124">
        <v>3000</v>
      </c>
      <c r="M46" s="124">
        <v>3000</v>
      </c>
      <c r="N46" s="124">
        <v>3000</v>
      </c>
      <c r="O46" s="124">
        <v>3000</v>
      </c>
      <c r="P46" s="124">
        <v>3000</v>
      </c>
      <c r="Q46" s="124">
        <v>3000</v>
      </c>
      <c r="R46" s="124">
        <v>3000</v>
      </c>
      <c r="S46" s="124">
        <v>3000</v>
      </c>
      <c r="T46" s="110"/>
      <c r="U46" s="20">
        <v>36000</v>
      </c>
      <c r="V46" s="99"/>
      <c r="X46" s="100">
        <v>3000</v>
      </c>
    </row>
    <row r="47" spans="2:24" ht="14.1" customHeight="1">
      <c r="B47" s="91">
        <v>43</v>
      </c>
      <c r="C47" s="120"/>
      <c r="D47" s="98"/>
      <c r="E47" s="128" t="s">
        <v>76</v>
      </c>
      <c r="F47" s="122"/>
      <c r="G47" s="122"/>
      <c r="H47" s="126">
        <v>3000</v>
      </c>
      <c r="I47" s="122">
        <v>3000</v>
      </c>
      <c r="J47" s="122">
        <v>3000</v>
      </c>
      <c r="K47" s="122">
        <v>3000</v>
      </c>
      <c r="L47" s="124">
        <v>3000</v>
      </c>
      <c r="M47" s="124">
        <v>3000</v>
      </c>
      <c r="N47" s="124">
        <v>3000</v>
      </c>
      <c r="O47" s="124">
        <v>3000</v>
      </c>
      <c r="P47" s="124">
        <v>3000</v>
      </c>
      <c r="Q47" s="124">
        <v>3000</v>
      </c>
      <c r="R47" s="124">
        <v>3000</v>
      </c>
      <c r="S47" s="124">
        <v>3000</v>
      </c>
      <c r="T47" s="110"/>
      <c r="U47" s="20">
        <v>36000</v>
      </c>
      <c r="V47" s="99"/>
      <c r="X47" s="100">
        <v>3000</v>
      </c>
    </row>
    <row r="48" spans="2:24" ht="14.1" customHeight="1">
      <c r="B48" s="91">
        <v>44</v>
      </c>
      <c r="C48" s="120"/>
      <c r="D48" s="98"/>
      <c r="E48" s="128" t="s">
        <v>77</v>
      </c>
      <c r="F48" s="122"/>
      <c r="G48" s="122"/>
      <c r="H48" s="126">
        <v>3000</v>
      </c>
      <c r="I48" s="122">
        <v>3000</v>
      </c>
      <c r="J48" s="122">
        <v>3000</v>
      </c>
      <c r="K48" s="122">
        <v>3000</v>
      </c>
      <c r="L48" s="124">
        <v>3000</v>
      </c>
      <c r="M48" s="124">
        <v>3000</v>
      </c>
      <c r="N48" s="124">
        <v>3000</v>
      </c>
      <c r="O48" s="124">
        <v>3000</v>
      </c>
      <c r="P48" s="124">
        <v>3000</v>
      </c>
      <c r="Q48" s="124">
        <v>3000</v>
      </c>
      <c r="R48" s="124">
        <v>3000</v>
      </c>
      <c r="S48" s="124">
        <v>3000</v>
      </c>
      <c r="T48" s="110"/>
      <c r="U48" s="20">
        <v>36000</v>
      </c>
      <c r="V48" s="99"/>
      <c r="X48" s="100">
        <v>3000</v>
      </c>
    </row>
    <row r="49" spans="2:24" ht="14.1" customHeight="1">
      <c r="B49" s="91">
        <v>45</v>
      </c>
      <c r="C49" s="120"/>
      <c r="D49" s="98"/>
      <c r="E49" s="128" t="s">
        <v>78</v>
      </c>
      <c r="F49" s="122"/>
      <c r="G49" s="122"/>
      <c r="H49" s="126">
        <v>3000</v>
      </c>
      <c r="I49" s="122">
        <v>3000</v>
      </c>
      <c r="J49" s="122">
        <v>3000</v>
      </c>
      <c r="K49" s="122">
        <v>3000</v>
      </c>
      <c r="L49" s="124">
        <v>3000</v>
      </c>
      <c r="M49" s="124">
        <v>3000</v>
      </c>
      <c r="N49" s="124">
        <v>3000</v>
      </c>
      <c r="O49" s="124">
        <v>3000</v>
      </c>
      <c r="P49" s="124">
        <v>3000</v>
      </c>
      <c r="Q49" s="124">
        <v>3000</v>
      </c>
      <c r="R49" s="124">
        <v>3000</v>
      </c>
      <c r="S49" s="124">
        <v>3000</v>
      </c>
      <c r="T49" s="110"/>
      <c r="U49" s="20">
        <v>36000</v>
      </c>
      <c r="V49" s="99"/>
      <c r="X49" s="100">
        <v>3000</v>
      </c>
    </row>
    <row r="50" spans="2:24" ht="14.1" customHeight="1">
      <c r="B50" s="91">
        <v>46</v>
      </c>
      <c r="C50" s="91"/>
      <c r="D50" s="101"/>
      <c r="E50" s="125" t="s">
        <v>79</v>
      </c>
      <c r="F50" s="122"/>
      <c r="G50" s="122"/>
      <c r="H50" s="126">
        <v>3000</v>
      </c>
      <c r="I50" s="122">
        <v>3000</v>
      </c>
      <c r="J50" s="122">
        <v>3000</v>
      </c>
      <c r="K50" s="122">
        <v>3000</v>
      </c>
      <c r="L50" s="127">
        <v>3000</v>
      </c>
      <c r="M50" s="127">
        <v>3000</v>
      </c>
      <c r="N50" s="124">
        <v>3000</v>
      </c>
      <c r="O50" s="124">
        <v>3000</v>
      </c>
      <c r="P50" s="124">
        <v>3000</v>
      </c>
      <c r="Q50" s="124">
        <v>3000</v>
      </c>
      <c r="R50" s="127">
        <v>3000</v>
      </c>
      <c r="S50" s="127">
        <v>3000</v>
      </c>
      <c r="T50" s="113"/>
      <c r="U50" s="22">
        <v>36000</v>
      </c>
      <c r="V50" s="99"/>
      <c r="X50" s="100">
        <v>3000</v>
      </c>
    </row>
    <row r="51" spans="2:24" ht="14.1" customHeight="1">
      <c r="B51" s="91">
        <v>47</v>
      </c>
      <c r="C51" s="120"/>
      <c r="D51" s="98"/>
      <c r="E51" s="128" t="s">
        <v>34</v>
      </c>
      <c r="F51" s="122"/>
      <c r="G51" s="122"/>
      <c r="H51" s="126">
        <v>3000</v>
      </c>
      <c r="I51" s="122">
        <v>3000</v>
      </c>
      <c r="J51" s="122">
        <v>3000</v>
      </c>
      <c r="K51" s="122">
        <v>3000</v>
      </c>
      <c r="L51" s="124">
        <v>3000</v>
      </c>
      <c r="M51" s="124">
        <v>3000</v>
      </c>
      <c r="N51" s="124">
        <v>3000</v>
      </c>
      <c r="O51" s="124">
        <v>3000</v>
      </c>
      <c r="P51" s="124">
        <v>3000</v>
      </c>
      <c r="Q51" s="124">
        <v>3000</v>
      </c>
      <c r="R51" s="124">
        <v>3000</v>
      </c>
      <c r="S51" s="124">
        <v>3000</v>
      </c>
      <c r="T51" s="110"/>
      <c r="U51" s="20">
        <v>36000</v>
      </c>
      <c r="V51" s="99"/>
      <c r="X51" s="100">
        <v>3000</v>
      </c>
    </row>
    <row r="52" spans="2:24" ht="14.1" customHeight="1">
      <c r="B52" s="91">
        <v>48</v>
      </c>
      <c r="C52" s="120"/>
      <c r="D52" s="98"/>
      <c r="E52" s="128" t="s">
        <v>36</v>
      </c>
      <c r="F52" s="122"/>
      <c r="G52" s="122"/>
      <c r="H52" s="126">
        <v>3000</v>
      </c>
      <c r="I52" s="122">
        <v>3000</v>
      </c>
      <c r="J52" s="122">
        <v>3000</v>
      </c>
      <c r="K52" s="122">
        <v>3000</v>
      </c>
      <c r="L52" s="124">
        <v>3000</v>
      </c>
      <c r="M52" s="124">
        <v>3000</v>
      </c>
      <c r="N52" s="124">
        <v>3000</v>
      </c>
      <c r="O52" s="124">
        <v>3000</v>
      </c>
      <c r="P52" s="124">
        <v>3000</v>
      </c>
      <c r="Q52" s="124">
        <v>3000</v>
      </c>
      <c r="R52" s="124">
        <v>3000</v>
      </c>
      <c r="S52" s="124">
        <v>3000</v>
      </c>
      <c r="T52" s="110"/>
      <c r="U52" s="20">
        <v>36000</v>
      </c>
      <c r="V52" s="99"/>
      <c r="X52" s="100">
        <v>3000</v>
      </c>
    </row>
    <row r="53" spans="2:24" ht="14.1" customHeight="1">
      <c r="B53" s="91">
        <v>49</v>
      </c>
      <c r="C53" s="120"/>
      <c r="D53" s="98"/>
      <c r="E53" s="128" t="s">
        <v>35</v>
      </c>
      <c r="F53" s="122"/>
      <c r="G53" s="122"/>
      <c r="H53" s="126">
        <v>3000</v>
      </c>
      <c r="I53" s="122">
        <v>3000</v>
      </c>
      <c r="J53" s="122">
        <v>3000</v>
      </c>
      <c r="K53" s="122">
        <v>3000</v>
      </c>
      <c r="L53" s="124">
        <v>3000</v>
      </c>
      <c r="M53" s="124">
        <v>3000</v>
      </c>
      <c r="N53" s="124">
        <v>3000</v>
      </c>
      <c r="O53" s="124">
        <v>3000</v>
      </c>
      <c r="P53" s="124">
        <v>3000</v>
      </c>
      <c r="Q53" s="124">
        <v>3000</v>
      </c>
      <c r="R53" s="124">
        <v>3000</v>
      </c>
      <c r="S53" s="124">
        <v>3000</v>
      </c>
      <c r="T53" s="110"/>
      <c r="U53" s="20">
        <v>36000</v>
      </c>
      <c r="V53" s="99"/>
      <c r="X53" s="100">
        <v>3000</v>
      </c>
    </row>
    <row r="54" spans="2:24" ht="14.1" customHeight="1">
      <c r="B54" s="91">
        <v>50</v>
      </c>
      <c r="C54" s="120"/>
      <c r="D54" s="98"/>
      <c r="E54" s="128" t="s">
        <v>80</v>
      </c>
      <c r="F54" s="122"/>
      <c r="G54" s="122"/>
      <c r="H54" s="126">
        <v>3000</v>
      </c>
      <c r="I54" s="122">
        <v>3000</v>
      </c>
      <c r="J54" s="122">
        <v>3000</v>
      </c>
      <c r="K54" s="122">
        <v>3000</v>
      </c>
      <c r="L54" s="124">
        <v>3000</v>
      </c>
      <c r="M54" s="124">
        <v>3000</v>
      </c>
      <c r="N54" s="124">
        <v>3000</v>
      </c>
      <c r="O54" s="124">
        <v>3000</v>
      </c>
      <c r="P54" s="124">
        <v>3000</v>
      </c>
      <c r="Q54" s="124">
        <v>3000</v>
      </c>
      <c r="R54" s="124">
        <v>3000</v>
      </c>
      <c r="S54" s="124">
        <v>3000</v>
      </c>
      <c r="T54" s="110"/>
      <c r="U54" s="20">
        <v>36000</v>
      </c>
      <c r="V54" s="99"/>
      <c r="X54" s="100">
        <v>3000</v>
      </c>
    </row>
    <row r="55" spans="2:24" ht="14.1" customHeight="1">
      <c r="B55" s="102"/>
      <c r="C55" s="102"/>
      <c r="D55" s="103" t="s">
        <v>3</v>
      </c>
      <c r="E55" s="104"/>
      <c r="F55" s="18">
        <v>5000</v>
      </c>
      <c r="G55" s="18">
        <v>36000</v>
      </c>
      <c r="H55" s="19">
        <v>147000</v>
      </c>
      <c r="I55" s="22">
        <v>149000</v>
      </c>
      <c r="J55" s="22">
        <v>147000</v>
      </c>
      <c r="K55" s="22">
        <v>147000</v>
      </c>
      <c r="L55" s="22">
        <v>147000</v>
      </c>
      <c r="M55" s="22">
        <v>147000</v>
      </c>
      <c r="N55" s="20">
        <v>147000</v>
      </c>
      <c r="O55" s="20">
        <v>147000</v>
      </c>
      <c r="P55" s="20">
        <v>147000</v>
      </c>
      <c r="Q55" s="20">
        <v>147000</v>
      </c>
      <c r="R55" s="22">
        <v>147000</v>
      </c>
      <c r="S55" s="22">
        <v>147000</v>
      </c>
      <c r="T55" s="22">
        <v>0</v>
      </c>
      <c r="U55" s="22">
        <v>1807000</v>
      </c>
      <c r="V55" s="99"/>
      <c r="X55" s="100"/>
    </row>
    <row r="56" spans="2:24" ht="14.1" customHeight="1">
      <c r="H56" s="76">
        <v>49</v>
      </c>
      <c r="I56" s="76">
        <v>49</v>
      </c>
      <c r="J56" s="76">
        <v>49</v>
      </c>
      <c r="K56" s="76">
        <v>49</v>
      </c>
      <c r="L56" s="76">
        <v>49</v>
      </c>
      <c r="M56" s="76">
        <v>49</v>
      </c>
      <c r="N56" s="76">
        <v>49</v>
      </c>
      <c r="O56" s="76">
        <v>49</v>
      </c>
      <c r="P56" s="76">
        <v>49</v>
      </c>
      <c r="Q56" s="76">
        <v>49</v>
      </c>
      <c r="R56" s="76">
        <v>49</v>
      </c>
      <c r="S56" s="76">
        <v>49</v>
      </c>
      <c r="T56" s="76">
        <v>0</v>
      </c>
    </row>
    <row r="57" spans="2:24" ht="14.1" customHeight="1">
      <c r="F57" s="75"/>
      <c r="G57" s="75"/>
      <c r="H57" s="75"/>
      <c r="I57" s="75"/>
      <c r="J57" s="75"/>
      <c r="K57" s="119"/>
      <c r="L57" s="75"/>
      <c r="M57" s="119"/>
      <c r="N57" s="119"/>
      <c r="O57" s="119"/>
      <c r="P57" s="119"/>
      <c r="U57" s="75" t="s">
        <v>17</v>
      </c>
    </row>
    <row r="58" spans="2:24" ht="14.1" customHeight="1">
      <c r="F58" s="106"/>
      <c r="G58" s="106"/>
      <c r="H58" s="106"/>
      <c r="I58" s="106"/>
      <c r="J58" s="106"/>
      <c r="U58" s="106">
        <v>0</v>
      </c>
    </row>
  </sheetData>
  <mergeCells count="3">
    <mergeCell ref="B2:J2"/>
    <mergeCell ref="L2:M2"/>
    <mergeCell ref="X2:Y2"/>
  </mergeCells>
  <phoneticPr fontId="1"/>
  <dataValidations count="1">
    <dataValidation imeMode="off" allowBlank="1" showInputMessage="1" sqref="F5:T54"/>
  </dataValidations>
  <pageMargins left="0.31496062992125984" right="0.11811023622047245" top="0.35433070866141736" bottom="0.15748031496062992" header="0.19685039370078741" footer="0.19685039370078741"/>
  <pageSetup paperSize="9" orientation="landscape" r:id="rId1"/>
  <drawing r:id="rId2"/>
  <legacyDrawing r:id="rId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6</vt:i4>
      </vt:variant>
      <vt:variant>
        <vt:lpstr>名前付き一覧</vt:lpstr>
      </vt:variant>
      <vt:variant>
        <vt:i4>4</vt:i4>
      </vt:variant>
    </vt:vector>
  </HeadingPairs>
  <TitlesOfParts>
    <vt:vector size="10" baseType="lpstr">
      <vt:lpstr>基本事項</vt:lpstr>
      <vt:lpstr>領収証内訳</vt:lpstr>
      <vt:lpstr>領収証</vt:lpstr>
      <vt:lpstr>集金袋</vt:lpstr>
      <vt:lpstr>集金袋２</vt:lpstr>
      <vt:lpstr>記載例</vt:lpstr>
      <vt:lpstr>集金袋!Print_Area</vt:lpstr>
      <vt:lpstr>集金袋２!Print_Area</vt:lpstr>
      <vt:lpstr>領収証!Print_Area</vt:lpstr>
      <vt:lpstr>集金袋</vt:lpstr>
    </vt:vector>
  </TitlesOfParts>
  <Company>浜松市教育委員会</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浜松市教育委員会</dc:creator>
  <cp:lastModifiedBy>Windows ユーザー</cp:lastModifiedBy>
  <cp:lastPrinted>2026-07-06T11:03:36Z</cp:lastPrinted>
  <dcterms:created xsi:type="dcterms:W3CDTF">2020-09-14T06:07:29Z</dcterms:created>
  <dcterms:modified xsi:type="dcterms:W3CDTF">2026-07-15T07:22:55Z</dcterms:modified>
</cp:coreProperties>
</file>