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H4696\Desktop\補助金申請\"/>
    </mc:Choice>
  </mc:AlternateContent>
  <bookViews>
    <workbookView xWindow="480" yWindow="75" windowWidth="8460" windowHeight="7875" tabRatio="918"/>
  </bookViews>
  <sheets>
    <sheet name="基本" sheetId="2" r:id="rId1"/>
    <sheet name="領収書1" sheetId="3" r:id="rId2"/>
    <sheet name="領収書２" sheetId="5" r:id="rId3"/>
    <sheet name="支払調書" sheetId="1" r:id="rId4"/>
    <sheet name="記載例" sheetId="6" r:id="rId5"/>
  </sheets>
  <definedNames>
    <definedName name="_xlnm.Print_Area" localSheetId="0">基本!$A$1:$N$22</definedName>
    <definedName name="_xlnm.Print_Area" localSheetId="4">記載例!$A$1:$N$22</definedName>
    <definedName name="_xlnm.Print_Area" localSheetId="1">領収書1!$A$1:$J$13</definedName>
    <definedName name="_xlnm.Print_Area" localSheetId="2">領収書２!$A$1:$J$13</definedName>
  </definedNames>
  <calcPr calcId="162913"/>
</workbook>
</file>

<file path=xl/calcChain.xml><?xml version="1.0" encoding="utf-8"?>
<calcChain xmlns="http://schemas.openxmlformats.org/spreadsheetml/2006/main">
  <c r="E10" i="2" l="1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F9" i="2" l="1"/>
  <c r="E9" i="2"/>
  <c r="AZ21" i="6" l="1"/>
  <c r="AY21" i="6"/>
  <c r="AX21" i="6"/>
  <c r="AW21" i="6"/>
  <c r="AV21" i="6"/>
  <c r="K21" i="6"/>
  <c r="E21" i="6"/>
  <c r="AU21" i="6" s="1"/>
  <c r="K20" i="6"/>
  <c r="E20" i="6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AZ12" i="6"/>
  <c r="AY12" i="6"/>
  <c r="AX12" i="6"/>
  <c r="AW12" i="6"/>
  <c r="AV12" i="6"/>
  <c r="AU12" i="6"/>
  <c r="AT12" i="6"/>
  <c r="K12" i="6"/>
  <c r="E12" i="6"/>
  <c r="F12" i="6" s="1"/>
  <c r="J12" i="6" s="1"/>
  <c r="BG11" i="6"/>
  <c r="AZ11" i="6"/>
  <c r="AY11" i="6"/>
  <c r="AX11" i="6"/>
  <c r="AW11" i="6"/>
  <c r="AV11" i="6"/>
  <c r="AU11" i="6"/>
  <c r="AT11" i="6"/>
  <c r="K11" i="6"/>
  <c r="E11" i="6"/>
  <c r="F11" i="6" s="1"/>
  <c r="J11" i="6" s="1"/>
  <c r="BH11" i="6" s="1"/>
  <c r="AZ10" i="6"/>
  <c r="AY10" i="6"/>
  <c r="AX10" i="6"/>
  <c r="AW10" i="6"/>
  <c r="AV10" i="6"/>
  <c r="AU10" i="6"/>
  <c r="AT10" i="6"/>
  <c r="K10" i="6"/>
  <c r="E10" i="6"/>
  <c r="F10" i="6" s="1"/>
  <c r="J10" i="6" s="1"/>
  <c r="W9" i="6"/>
  <c r="U12" i="6" s="1"/>
  <c r="G9" i="6"/>
  <c r="K9" i="6" s="1"/>
  <c r="E9" i="6"/>
  <c r="I9" i="6" s="1"/>
  <c r="AX7" i="6"/>
  <c r="AW7" i="6"/>
  <c r="AV7" i="6"/>
  <c r="AU7" i="6"/>
  <c r="N7" i="6"/>
  <c r="AT7" i="6" s="1"/>
  <c r="U6" i="6"/>
  <c r="AY4" i="6"/>
  <c r="AX4" i="6"/>
  <c r="N4" i="6"/>
  <c r="W3" i="6"/>
  <c r="S3" i="6"/>
  <c r="W9" i="2"/>
  <c r="U12" i="2" s="1"/>
  <c r="U6" i="2"/>
  <c r="W3" i="2"/>
  <c r="S3" i="2"/>
  <c r="BI10" i="6" l="1"/>
  <c r="BH10" i="6"/>
  <c r="BG10" i="6"/>
  <c r="BF10" i="6"/>
  <c r="BD10" i="6"/>
  <c r="BC10" i="6"/>
  <c r="BE10" i="6"/>
  <c r="AZ9" i="6"/>
  <c r="AY9" i="6"/>
  <c r="AX9" i="6"/>
  <c r="AW9" i="6"/>
  <c r="AV9" i="6"/>
  <c r="AU9" i="6"/>
  <c r="AZ20" i="6"/>
  <c r="AX20" i="6"/>
  <c r="AW20" i="6"/>
  <c r="AV20" i="6"/>
  <c r="F20" i="6"/>
  <c r="J20" i="6" s="1"/>
  <c r="AY20" i="6"/>
  <c r="AU20" i="6"/>
  <c r="AT20" i="6"/>
  <c r="BI12" i="6"/>
  <c r="BH12" i="6"/>
  <c r="BG12" i="6"/>
  <c r="BF12" i="6"/>
  <c r="BE12" i="6"/>
  <c r="BC12" i="6"/>
  <c r="BD12" i="6"/>
  <c r="AW4" i="6"/>
  <c r="AV4" i="6"/>
  <c r="AU4" i="6"/>
  <c r="AT4" i="6"/>
  <c r="AS4" i="6"/>
  <c r="AR4" i="6"/>
  <c r="AQ4" i="6"/>
  <c r="AP4" i="6"/>
  <c r="AO4" i="6"/>
  <c r="AZ4" i="6"/>
  <c r="AN4" i="6"/>
  <c r="AT9" i="6"/>
  <c r="BF11" i="6"/>
  <c r="BE11" i="6"/>
  <c r="BD11" i="6"/>
  <c r="BC11" i="6"/>
  <c r="BI11" i="6"/>
  <c r="AR7" i="6"/>
  <c r="AY7" i="6"/>
  <c r="AN7" i="6"/>
  <c r="AZ7" i="6"/>
  <c r="AO7" i="6"/>
  <c r="AP7" i="6"/>
  <c r="F9" i="6"/>
  <c r="J9" i="6" s="1"/>
  <c r="F21" i="6"/>
  <c r="J21" i="6" s="1"/>
  <c r="AQ7" i="6"/>
  <c r="AS7" i="6"/>
  <c r="AT21" i="6"/>
  <c r="BC20" i="6" l="1"/>
  <c r="BI20" i="6"/>
  <c r="BG20" i="6"/>
  <c r="BE20" i="6"/>
  <c r="BH20" i="6"/>
  <c r="BF20" i="6"/>
  <c r="BD20" i="6"/>
  <c r="BI21" i="6"/>
  <c r="BH21" i="6"/>
  <c r="BG21" i="6"/>
  <c r="BF21" i="6"/>
  <c r="BE21" i="6"/>
  <c r="BD21" i="6"/>
  <c r="BC21" i="6"/>
  <c r="BF9" i="6"/>
  <c r="BE9" i="6"/>
  <c r="BD9" i="6"/>
  <c r="BC9" i="6"/>
  <c r="BI9" i="6"/>
  <c r="BG9" i="6"/>
  <c r="BH9" i="6"/>
  <c r="L1" i="5" l="1"/>
  <c r="L1" i="3"/>
  <c r="AJ2" i="1" l="1"/>
  <c r="AJ21" i="1" s="1"/>
  <c r="AP16" i="1"/>
  <c r="AP15" i="1"/>
  <c r="AP14" i="1"/>
  <c r="AP4" i="1"/>
  <c r="AP23" i="1" s="1"/>
  <c r="AP3" i="1"/>
  <c r="AP22" i="1" s="1"/>
  <c r="BI26" i="1"/>
  <c r="BH26" i="1"/>
  <c r="BG26" i="1"/>
  <c r="AP7" i="1"/>
  <c r="AP26" i="1" s="1"/>
  <c r="AJ7" i="1"/>
  <c r="AJ26" i="1" s="1"/>
  <c r="M1" i="5" l="1"/>
  <c r="N1" i="5" s="1"/>
  <c r="M1" i="3"/>
  <c r="E5" i="5"/>
  <c r="H3" i="5"/>
  <c r="C7" i="5"/>
  <c r="N1" i="3" l="1"/>
  <c r="C7" i="3"/>
  <c r="H3" i="3"/>
  <c r="G9" i="2" l="1"/>
  <c r="C8" i="5"/>
  <c r="C8" i="3"/>
  <c r="B2" i="1" l="1"/>
  <c r="B21" i="1" s="1"/>
  <c r="D12" i="5"/>
  <c r="D10" i="5"/>
  <c r="D12" i="3"/>
  <c r="D10" i="3"/>
  <c r="H4" i="1"/>
  <c r="H3" i="1"/>
  <c r="H7" i="1"/>
  <c r="H26" i="1" s="1"/>
  <c r="B7" i="1"/>
  <c r="B26" i="1" s="1"/>
  <c r="AA26" i="1"/>
  <c r="Z26" i="1"/>
  <c r="Y26" i="1"/>
  <c r="K21" i="2"/>
  <c r="K20" i="2"/>
  <c r="K12" i="2"/>
  <c r="K11" i="2"/>
  <c r="K10" i="2"/>
  <c r="N7" i="2"/>
  <c r="AQ7" i="2" s="1"/>
  <c r="N4" i="2"/>
  <c r="AY4" i="2" s="1"/>
  <c r="AZ4" i="2"/>
  <c r="B4" i="5"/>
  <c r="K9" i="2"/>
  <c r="H15" i="1"/>
  <c r="B4" i="3"/>
  <c r="H16" i="1"/>
  <c r="H14" i="1"/>
  <c r="AP33" i="1" s="1"/>
  <c r="J11" i="2"/>
  <c r="BG11" i="2" s="1"/>
  <c r="AY20" i="2"/>
  <c r="AY12" i="2"/>
  <c r="AT12" i="2"/>
  <c r="AU11" i="2"/>
  <c r="AT11" i="2"/>
  <c r="J12" i="2"/>
  <c r="BD12" i="2" s="1"/>
  <c r="AZ21" i="2"/>
  <c r="J21" i="2"/>
  <c r="BC21" i="2" s="1"/>
  <c r="AY21" i="2"/>
  <c r="AX21" i="2"/>
  <c r="J20" i="2"/>
  <c r="BI20" i="2" s="1"/>
  <c r="E5" i="3"/>
  <c r="BH21" i="2" l="1"/>
  <c r="AP4" i="2"/>
  <c r="AU4" i="2"/>
  <c r="AV4" i="2"/>
  <c r="AW4" i="2"/>
  <c r="AD15" i="1" s="1"/>
  <c r="AD34" i="1" s="1"/>
  <c r="BF12" i="2"/>
  <c r="BI12" i="2"/>
  <c r="BN15" i="1"/>
  <c r="BN34" i="1" s="1"/>
  <c r="AF15" i="1"/>
  <c r="AF34" i="1" s="1"/>
  <c r="BK15" i="1"/>
  <c r="BK34" i="1" s="1"/>
  <c r="AC15" i="1"/>
  <c r="AC34" i="1" s="1"/>
  <c r="AQ4" i="2"/>
  <c r="AO4" i="2"/>
  <c r="AX4" i="2"/>
  <c r="AS4" i="2"/>
  <c r="AT4" i="2"/>
  <c r="BG12" i="2"/>
  <c r="BJ15" i="1"/>
  <c r="BJ34" i="1" s="1"/>
  <c r="AB15" i="1"/>
  <c r="AB34" i="1" s="1"/>
  <c r="AG15" i="1"/>
  <c r="AG34" i="1" s="1"/>
  <c r="BO15" i="1"/>
  <c r="BO34" i="1" s="1"/>
  <c r="W15" i="1"/>
  <c r="W34" i="1" s="1"/>
  <c r="BE15" i="1"/>
  <c r="BE34" i="1" s="1"/>
  <c r="BL15" i="1"/>
  <c r="BL34" i="1" s="1"/>
  <c r="AR4" i="2"/>
  <c r="AN4" i="2"/>
  <c r="BF23" i="1"/>
  <c r="X4" i="1"/>
  <c r="H35" i="1"/>
  <c r="AP35" i="1"/>
  <c r="H34" i="1"/>
  <c r="AP34" i="1"/>
  <c r="BH11" i="2"/>
  <c r="BE11" i="2"/>
  <c r="BH20" i="2"/>
  <c r="BG20" i="2"/>
  <c r="BF20" i="2"/>
  <c r="BE20" i="2"/>
  <c r="AY7" i="2"/>
  <c r="BD21" i="2"/>
  <c r="BG21" i="2"/>
  <c r="AY11" i="2"/>
  <c r="AX10" i="2"/>
  <c r="BI21" i="2"/>
  <c r="AV11" i="2"/>
  <c r="BE21" i="2"/>
  <c r="BD20" i="2"/>
  <c r="BF21" i="2"/>
  <c r="BD11" i="2"/>
  <c r="BC20" i="2"/>
  <c r="BH12" i="2"/>
  <c r="AP7" i="2"/>
  <c r="AN7" i="2"/>
  <c r="AT7" i="2"/>
  <c r="AX7" i="2"/>
  <c r="AV7" i="2"/>
  <c r="AW7" i="2"/>
  <c r="AR7" i="2"/>
  <c r="AO7" i="2"/>
  <c r="AU7" i="2"/>
  <c r="AS7" i="2"/>
  <c r="AZ7" i="2"/>
  <c r="H23" i="1"/>
  <c r="AZ11" i="2"/>
  <c r="AX11" i="2"/>
  <c r="BC11" i="2"/>
  <c r="AX20" i="2"/>
  <c r="AW11" i="2"/>
  <c r="BI11" i="2"/>
  <c r="AU21" i="2"/>
  <c r="AZ12" i="2"/>
  <c r="AT20" i="2"/>
  <c r="AT21" i="2"/>
  <c r="BF11" i="2"/>
  <c r="BE12" i="2"/>
  <c r="AV21" i="2"/>
  <c r="AV12" i="2"/>
  <c r="BC12" i="2"/>
  <c r="AX12" i="2"/>
  <c r="AW21" i="2"/>
  <c r="AU20" i="2"/>
  <c r="AZ20" i="2"/>
  <c r="AW20" i="2"/>
  <c r="AW12" i="2"/>
  <c r="AU12" i="2"/>
  <c r="AV20" i="2"/>
  <c r="AV10" i="2"/>
  <c r="AT10" i="2"/>
  <c r="AW10" i="2"/>
  <c r="AZ10" i="2"/>
  <c r="AU10" i="2"/>
  <c r="H22" i="1"/>
  <c r="J9" i="2"/>
  <c r="I9" i="2"/>
  <c r="H33" i="1"/>
  <c r="BM15" i="1" l="1"/>
  <c r="BM34" i="1" s="1"/>
  <c r="AE15" i="1"/>
  <c r="AE34" i="1" s="1"/>
  <c r="BF15" i="1"/>
  <c r="BF34" i="1" s="1"/>
  <c r="X15" i="1"/>
  <c r="X34" i="1" s="1"/>
  <c r="AA15" i="1"/>
  <c r="AA34" i="1" s="1"/>
  <c r="BI15" i="1"/>
  <c r="BI34" i="1" s="1"/>
  <c r="U15" i="1"/>
  <c r="BC15" i="1"/>
  <c r="BH15" i="1"/>
  <c r="BH34" i="1" s="1"/>
  <c r="Z15" i="1"/>
  <c r="Z34" i="1" s="1"/>
  <c r="BG15" i="1"/>
  <c r="BG34" i="1" s="1"/>
  <c r="Y15" i="1"/>
  <c r="Y34" i="1" s="1"/>
  <c r="BD15" i="1"/>
  <c r="BD34" i="1" s="1"/>
  <c r="V15" i="1"/>
  <c r="V34" i="1" s="1"/>
  <c r="AB4" i="1"/>
  <c r="BJ23" i="1"/>
  <c r="Y4" i="1"/>
  <c r="BG23" i="1"/>
  <c r="BK23" i="1"/>
  <c r="AC4" i="1"/>
  <c r="BC23" i="1"/>
  <c r="U4" i="1"/>
  <c r="BM23" i="1"/>
  <c r="AE4" i="1"/>
  <c r="BH23" i="1"/>
  <c r="Z4" i="1"/>
  <c r="V4" i="1"/>
  <c r="BD23" i="1"/>
  <c r="BL23" i="1"/>
  <c r="AD4" i="1"/>
  <c r="BI23" i="1"/>
  <c r="AA4" i="1"/>
  <c r="W4" i="1"/>
  <c r="BE23" i="1"/>
  <c r="BN23" i="1"/>
  <c r="AF4" i="1"/>
  <c r="BO23" i="1"/>
  <c r="AG4" i="1"/>
  <c r="AY10" i="2"/>
  <c r="J10" i="2"/>
  <c r="AY9" i="2"/>
  <c r="BE7" i="1" s="1"/>
  <c r="BE26" i="1" s="1"/>
  <c r="AX9" i="2"/>
  <c r="BD7" i="1" s="1"/>
  <c r="BD26" i="1" s="1"/>
  <c r="AZ9" i="2"/>
  <c r="BF7" i="1" s="1"/>
  <c r="BF26" i="1" s="1"/>
  <c r="AV9" i="2"/>
  <c r="BB7" i="1" s="1"/>
  <c r="BB26" i="1" s="1"/>
  <c r="AU9" i="2"/>
  <c r="BA7" i="1" s="1"/>
  <c r="BA26" i="1" s="1"/>
  <c r="AW9" i="2"/>
  <c r="BC7" i="1" s="1"/>
  <c r="BC26" i="1" s="1"/>
  <c r="AT9" i="2"/>
  <c r="BG9" i="2"/>
  <c r="BM7" i="1" s="1"/>
  <c r="BM26" i="1" s="1"/>
  <c r="BH9" i="2"/>
  <c r="BN7" i="1" s="1"/>
  <c r="BN26" i="1" s="1"/>
  <c r="BI9" i="2"/>
  <c r="BO7" i="1" s="1"/>
  <c r="BO26" i="1" s="1"/>
  <c r="BD9" i="2"/>
  <c r="BC9" i="2"/>
  <c r="BF9" i="2"/>
  <c r="BL7" i="1" s="1"/>
  <c r="BL26" i="1" s="1"/>
  <c r="BE9" i="2"/>
  <c r="AC7" i="1" l="1"/>
  <c r="AC26" i="1" s="1"/>
  <c r="BK7" i="1"/>
  <c r="BK26" i="1" s="1"/>
  <c r="BJ7" i="1"/>
  <c r="BJ26" i="1" s="1"/>
  <c r="AB7" i="1"/>
  <c r="AB26" i="1" s="1"/>
  <c r="BC34" i="1"/>
  <c r="U34" i="1"/>
  <c r="BE10" i="2"/>
  <c r="BG10" i="2"/>
  <c r="BH10" i="2"/>
  <c r="BD10" i="2"/>
  <c r="BF10" i="2"/>
  <c r="BC10" i="2"/>
  <c r="BI10" i="2"/>
  <c r="AD7" i="1"/>
  <c r="AD26" i="1" s="1"/>
  <c r="S7" i="1"/>
  <c r="S26" i="1" s="1"/>
  <c r="AE7" i="1"/>
  <c r="AE26" i="1" s="1"/>
  <c r="T7" i="1"/>
  <c r="T26" i="1" s="1"/>
  <c r="X7" i="1"/>
  <c r="X26" i="1" s="1"/>
  <c r="AF7" i="1"/>
  <c r="AF26" i="1" s="1"/>
  <c r="AG7" i="1"/>
  <c r="AG26" i="1" s="1"/>
  <c r="U7" i="1"/>
  <c r="U26" i="1" s="1"/>
  <c r="V7" i="1"/>
  <c r="V26" i="1" s="1"/>
  <c r="W7" i="1"/>
  <c r="W26" i="1" s="1"/>
</calcChain>
</file>

<file path=xl/comments1.xml><?xml version="1.0" encoding="utf-8"?>
<comments xmlns="http://schemas.openxmlformats.org/spreadsheetml/2006/main">
  <authors>
    <author>Windows ユーザー</author>
  </authors>
  <commentList>
    <comment ref="G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手取りの額を入力してください
</t>
        </r>
      </text>
    </comment>
    <comment ref="H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R8.9.10もしくは2026/9/10のように入力してください</t>
        </r>
      </text>
    </comment>
    <comment ref="L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発行する報酬月をプルダウンで選択</t>
        </r>
      </text>
    </comment>
  </commentList>
</comments>
</file>

<file path=xl/sharedStrings.xml><?xml version="1.0" encoding="utf-8"?>
<sst xmlns="http://schemas.openxmlformats.org/spreadsheetml/2006/main" count="260" uniqueCount="77">
  <si>
    <t>内</t>
    <rPh sb="0" eb="1">
      <t>ウチ</t>
    </rPh>
    <phoneticPr fontId="2"/>
  </si>
  <si>
    <t>円</t>
    <rPh sb="0" eb="1">
      <t>エン</t>
    </rPh>
    <phoneticPr fontId="2"/>
  </si>
  <si>
    <t>住所（居所）
又は所在地</t>
    <phoneticPr fontId="2"/>
  </si>
  <si>
    <t>住所（居所）
又は所在地</t>
    <phoneticPr fontId="2"/>
  </si>
  <si>
    <t>氏名又は
名    称</t>
    <phoneticPr fontId="2"/>
  </si>
  <si>
    <t>個人番号又は
法 人 番 号</t>
    <rPh sb="0" eb="4">
      <t>コジンバンゴウ</t>
    </rPh>
    <rPh sb="4" eb="5">
      <t>マタ</t>
    </rPh>
    <rPh sb="7" eb="8">
      <t>ホウ</t>
    </rPh>
    <rPh sb="9" eb="10">
      <t>ジン</t>
    </rPh>
    <rPh sb="11" eb="12">
      <t>バン</t>
    </rPh>
    <rPh sb="13" eb="14">
      <t>ゴウ</t>
    </rPh>
    <phoneticPr fontId="2"/>
  </si>
  <si>
    <t>支　払　金　額</t>
    <rPh sb="0" eb="1">
      <t>ササ</t>
    </rPh>
    <rPh sb="2" eb="3">
      <t>バライ</t>
    </rPh>
    <rPh sb="4" eb="5">
      <t>キン</t>
    </rPh>
    <rPh sb="6" eb="7">
      <t>ガク</t>
    </rPh>
    <phoneticPr fontId="2"/>
  </si>
  <si>
    <t>細　　　　目</t>
    <rPh sb="0" eb="1">
      <t>ホソ</t>
    </rPh>
    <rPh sb="5" eb="6">
      <t>メ</t>
    </rPh>
    <phoneticPr fontId="2"/>
  </si>
  <si>
    <t>区　　分</t>
    <phoneticPr fontId="2"/>
  </si>
  <si>
    <t>源泉徴収税額</t>
    <rPh sb="0" eb="6">
      <t>ゲンセンチョウシュウゼイガク</t>
    </rPh>
    <phoneticPr fontId="2"/>
  </si>
  <si>
    <t>千</t>
    <rPh sb="0" eb="1">
      <t>セン</t>
    </rPh>
    <phoneticPr fontId="2"/>
  </si>
  <si>
    <t>支払者</t>
    <phoneticPr fontId="2"/>
  </si>
  <si>
    <t>支払を
受ける者</t>
    <phoneticPr fontId="2"/>
  </si>
  <si>
    <t>個人番号又は
法 人 番 号</t>
    <phoneticPr fontId="2"/>
  </si>
  <si>
    <t>整　理　欄</t>
    <rPh sb="0" eb="1">
      <t>タダシ</t>
    </rPh>
    <rPh sb="2" eb="3">
      <t>リ</t>
    </rPh>
    <rPh sb="4" eb="5">
      <t>ラン</t>
    </rPh>
    <phoneticPr fontId="2"/>
  </si>
  <si>
    <t>　①</t>
    <phoneticPr fontId="2"/>
  </si>
  <si>
    <t>　②</t>
    <phoneticPr fontId="2"/>
  </si>
  <si>
    <t>（摘要）　</t>
    <phoneticPr fontId="2"/>
  </si>
  <si>
    <t>住所</t>
    <rPh sb="0" eb="2">
      <t>ジュウショ</t>
    </rPh>
    <phoneticPr fontId="2"/>
  </si>
  <si>
    <t>電話番号</t>
    <rPh sb="0" eb="2">
      <t>デンワ</t>
    </rPh>
    <rPh sb="2" eb="4">
      <t>バンゴウ</t>
    </rPh>
    <phoneticPr fontId="2"/>
  </si>
  <si>
    <t>支払者</t>
    <rPh sb="0" eb="2">
      <t>シハライ</t>
    </rPh>
    <rPh sb="2" eb="3">
      <t>シャ</t>
    </rPh>
    <phoneticPr fontId="2"/>
  </si>
  <si>
    <t>支払を受ける者</t>
    <rPh sb="0" eb="2">
      <t>シハライ</t>
    </rPh>
    <rPh sb="3" eb="4">
      <t>ウ</t>
    </rPh>
    <rPh sb="6" eb="7">
      <t>モノ</t>
    </rPh>
    <phoneticPr fontId="2"/>
  </si>
  <si>
    <t>氏名</t>
    <rPh sb="0" eb="2">
      <t>シメイ</t>
    </rPh>
    <phoneticPr fontId="2"/>
  </si>
  <si>
    <t>支払額</t>
    <rPh sb="0" eb="2">
      <t>シハライ</t>
    </rPh>
    <rPh sb="2" eb="3">
      <t>ガク</t>
    </rPh>
    <phoneticPr fontId="2"/>
  </si>
  <si>
    <t>源泉徴収額</t>
    <rPh sb="0" eb="2">
      <t>ゲンセン</t>
    </rPh>
    <rPh sb="2" eb="4">
      <t>チョウシュウ</t>
    </rPh>
    <rPh sb="4" eb="5">
      <t>ガク</t>
    </rPh>
    <phoneticPr fontId="2"/>
  </si>
  <si>
    <t>手取り額</t>
    <rPh sb="0" eb="2">
      <t>テド</t>
    </rPh>
    <rPh sb="3" eb="4">
      <t>ガク</t>
    </rPh>
    <phoneticPr fontId="2"/>
  </si>
  <si>
    <t>領　 収　 証</t>
  </si>
  <si>
    <t>―</t>
    <phoneticPr fontId="2"/>
  </si>
  <si>
    <t>￥</t>
    <phoneticPr fontId="2"/>
  </si>
  <si>
    <t>印</t>
    <rPh sb="0" eb="1">
      <t>イン</t>
    </rPh>
    <phoneticPr fontId="2"/>
  </si>
  <si>
    <t>区 分</t>
    <rPh sb="0" eb="1">
      <t>ク</t>
    </rPh>
    <rPh sb="2" eb="3">
      <t>ブン</t>
    </rPh>
    <phoneticPr fontId="2"/>
  </si>
  <si>
    <t>細 目</t>
    <rPh sb="0" eb="1">
      <t>ホソ</t>
    </rPh>
    <rPh sb="2" eb="3">
      <t>メ</t>
    </rPh>
    <phoneticPr fontId="2"/>
  </si>
  <si>
    <t>領収書・支払調書作成</t>
    <rPh sb="0" eb="3">
      <t>リョウシュウショ</t>
    </rPh>
    <rPh sb="4" eb="6">
      <t>シハラ</t>
    </rPh>
    <rPh sb="6" eb="8">
      <t>チョウショ</t>
    </rPh>
    <rPh sb="8" eb="10">
      <t>サクセイ</t>
    </rPh>
    <phoneticPr fontId="2"/>
  </si>
  <si>
    <t>法人番号</t>
    <rPh sb="0" eb="2">
      <t>ホウジン</t>
    </rPh>
    <rPh sb="2" eb="4">
      <t>バンゴウ</t>
    </rPh>
    <phoneticPr fontId="2"/>
  </si>
  <si>
    <t>個人番号</t>
    <rPh sb="0" eb="2">
      <t>コジン</t>
    </rPh>
    <rPh sb="2" eb="4">
      <t>バンゴウ</t>
    </rPh>
    <phoneticPr fontId="2"/>
  </si>
  <si>
    <t>領収日</t>
    <rPh sb="0" eb="3">
      <t>リョウシュウビ</t>
    </rPh>
    <phoneticPr fontId="2"/>
  </si>
  <si>
    <t>年度</t>
    <rPh sb="0" eb="2">
      <t>ネンド</t>
    </rPh>
    <phoneticPr fontId="2"/>
  </si>
  <si>
    <t>講師料</t>
    <rPh sb="0" eb="2">
      <t>コウシ</t>
    </rPh>
    <rPh sb="2" eb="3">
      <t>リョウ</t>
    </rPh>
    <phoneticPr fontId="2"/>
  </si>
  <si>
    <t>〇〇中学校▲▲クラブ</t>
    <phoneticPr fontId="2"/>
  </si>
  <si>
    <t>浜松市□□区〇〇町１－２</t>
    <phoneticPr fontId="2"/>
  </si>
  <si>
    <t>０９０－１２３－４５６７</t>
    <phoneticPr fontId="2"/>
  </si>
  <si>
    <t>指導者料</t>
    <rPh sb="0" eb="3">
      <t>シドウシャ</t>
    </rPh>
    <rPh sb="3" eb="4">
      <t>リョウ</t>
    </rPh>
    <phoneticPr fontId="2"/>
  </si>
  <si>
    <t>４月分報酬</t>
    <rPh sb="1" eb="3">
      <t>ガツブン</t>
    </rPh>
    <rPh sb="3" eb="5">
      <t>ホウシュウ</t>
    </rPh>
    <phoneticPr fontId="2"/>
  </si>
  <si>
    <t>５月分報酬</t>
    <rPh sb="1" eb="3">
      <t>ガツブン</t>
    </rPh>
    <rPh sb="3" eb="5">
      <t>ホウシュウ</t>
    </rPh>
    <phoneticPr fontId="2"/>
  </si>
  <si>
    <t>６月分報酬</t>
    <rPh sb="1" eb="3">
      <t>ガツブン</t>
    </rPh>
    <rPh sb="3" eb="5">
      <t>ホウシュウ</t>
    </rPh>
    <phoneticPr fontId="2"/>
  </si>
  <si>
    <t>７月分報酬</t>
    <rPh sb="1" eb="3">
      <t>ガツブン</t>
    </rPh>
    <rPh sb="3" eb="5">
      <t>ホウシュウ</t>
    </rPh>
    <phoneticPr fontId="2"/>
  </si>
  <si>
    <t>８月分報酬</t>
    <rPh sb="1" eb="3">
      <t>ガツブン</t>
    </rPh>
    <rPh sb="3" eb="5">
      <t>ホウシュウ</t>
    </rPh>
    <phoneticPr fontId="2"/>
  </si>
  <si>
    <t>９月分報酬</t>
    <rPh sb="1" eb="3">
      <t>ガツブン</t>
    </rPh>
    <rPh sb="3" eb="5">
      <t>ホウシュウ</t>
    </rPh>
    <phoneticPr fontId="2"/>
  </si>
  <si>
    <t>１０月分報酬</t>
    <rPh sb="2" eb="4">
      <t>ガツブン</t>
    </rPh>
    <rPh sb="4" eb="6">
      <t>ホウシュウ</t>
    </rPh>
    <phoneticPr fontId="2"/>
  </si>
  <si>
    <t>１１月分報酬</t>
    <rPh sb="2" eb="4">
      <t>ガツブン</t>
    </rPh>
    <rPh sb="4" eb="6">
      <t>ホウシュウ</t>
    </rPh>
    <phoneticPr fontId="2"/>
  </si>
  <si>
    <t>１月分報酬</t>
    <rPh sb="1" eb="3">
      <t>ガツブン</t>
    </rPh>
    <rPh sb="3" eb="5">
      <t>ホウシュウ</t>
    </rPh>
    <phoneticPr fontId="2"/>
  </si>
  <si>
    <t>２月分報酬</t>
    <rPh sb="1" eb="3">
      <t>ガツブン</t>
    </rPh>
    <rPh sb="3" eb="5">
      <t>ホウシュウ</t>
    </rPh>
    <phoneticPr fontId="2"/>
  </si>
  <si>
    <t>３月分報酬</t>
    <rPh sb="1" eb="3">
      <t>ガツブン</t>
    </rPh>
    <rPh sb="3" eb="5">
      <t>ホウシュウ</t>
    </rPh>
    <phoneticPr fontId="2"/>
  </si>
  <si>
    <t>E</t>
    <phoneticPr fontId="2"/>
  </si>
  <si>
    <t>F</t>
    <phoneticPr fontId="2"/>
  </si>
  <si>
    <t>H</t>
    <phoneticPr fontId="2"/>
  </si>
  <si>
    <t>あいうえお</t>
    <phoneticPr fontId="2"/>
  </si>
  <si>
    <t>浜松市中央区１－２－３</t>
    <rPh sb="0" eb="3">
      <t>ハママツシ</t>
    </rPh>
    <rPh sb="3" eb="6">
      <t>チュウオウク</t>
    </rPh>
    <phoneticPr fontId="2"/>
  </si>
  <si>
    <t>１2月分報酬</t>
    <rPh sb="2" eb="4">
      <t>ガツブン</t>
    </rPh>
    <rPh sb="4" eb="6">
      <t>ホウシュウ</t>
    </rPh>
    <phoneticPr fontId="2"/>
  </si>
  <si>
    <t>D</t>
    <phoneticPr fontId="2"/>
  </si>
  <si>
    <t>G</t>
    <phoneticPr fontId="2"/>
  </si>
  <si>
    <t>発行する領収書</t>
    <rPh sb="0" eb="2">
      <t>ハッコウ</t>
    </rPh>
    <rPh sb="4" eb="6">
      <t>リョウシュウ</t>
    </rPh>
    <rPh sb="6" eb="7">
      <t>ショ</t>
    </rPh>
    <phoneticPr fontId="2"/>
  </si>
  <si>
    <t>４枚ある支払調書のうち、左上の個人番号が記載されたものが税務署提出用です</t>
    <rPh sb="1" eb="2">
      <t>マイ</t>
    </rPh>
    <rPh sb="4" eb="8">
      <t>シハライチョウショ</t>
    </rPh>
    <rPh sb="12" eb="14">
      <t>ヒダリウエ</t>
    </rPh>
    <rPh sb="15" eb="19">
      <t>コジンバンゴウ</t>
    </rPh>
    <rPh sb="20" eb="22">
      <t>キサイ</t>
    </rPh>
    <rPh sb="28" eb="31">
      <t>ゼイムショ</t>
    </rPh>
    <rPh sb="31" eb="34">
      <t>テイシュツヨウ</t>
    </rPh>
    <phoneticPr fontId="2"/>
  </si>
  <si>
    <t>Ver.1.0</t>
    <phoneticPr fontId="2"/>
  </si>
  <si>
    <t>－（</t>
    <phoneticPr fontId="29"/>
  </si>
  <si>
    <t>×</t>
    <phoneticPr fontId="29"/>
  </si>
  <si>
    <t>）＝</t>
    <phoneticPr fontId="29"/>
  </si>
  <si>
    <t>↑支払額（銀行からおろす額）</t>
    <rPh sb="1" eb="3">
      <t>シハライ</t>
    </rPh>
    <rPh sb="3" eb="4">
      <t>ガク</t>
    </rPh>
    <rPh sb="5" eb="7">
      <t>ギンコウ</t>
    </rPh>
    <rPh sb="12" eb="13">
      <t>ガク</t>
    </rPh>
    <phoneticPr fontId="29"/>
  </si>
  <si>
    <t>…</t>
    <phoneticPr fontId="29"/>
  </si>
  <si>
    <t>↑講師に渡す額</t>
    <rPh sb="1" eb="3">
      <t>コウシ</t>
    </rPh>
    <rPh sb="4" eb="5">
      <t>ワタ</t>
    </rPh>
    <rPh sb="6" eb="7">
      <t>ガク</t>
    </rPh>
    <phoneticPr fontId="29"/>
  </si>
  <si>
    <t>←税額</t>
    <rPh sb="1" eb="3">
      <t>ゼイガク</t>
    </rPh>
    <phoneticPr fontId="29"/>
  </si>
  <si>
    <t>÷（</t>
    <phoneticPr fontId="29"/>
  </si>
  <si>
    <t>－</t>
    <phoneticPr fontId="29"/>
  </si>
  <si>
    <t>）％＝</t>
    <phoneticPr fontId="29"/>
  </si>
  <si>
    <t>支払額（銀行からおろす額）↑</t>
    <rPh sb="0" eb="2">
      <t>シハライ</t>
    </rPh>
    <rPh sb="2" eb="3">
      <t>ガク</t>
    </rPh>
    <rPh sb="4" eb="6">
      <t>ギンコウ</t>
    </rPh>
    <rPh sb="11" eb="12">
      <t>ガク</t>
    </rPh>
    <phoneticPr fontId="29"/>
  </si>
  <si>
    <t>算出例</t>
    <rPh sb="0" eb="3">
      <t>サンシュツレイ</t>
    </rPh>
    <phoneticPr fontId="2"/>
  </si>
  <si>
    <t>Ver.2.1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</si>
</sst>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 "/>
    <numFmt numFmtId="177" formatCode="m/d;@"/>
    <numFmt numFmtId="178" formatCode="#,###"/>
    <numFmt numFmtId="179" formatCode="###"/>
    <numFmt numFmtId="180" formatCode="####"/>
    <numFmt numFmtId="181" formatCode="#,###\ &quot;円&quot;"/>
    <numFmt numFmtId="182" formatCode="[$-411]ge\.m\.d;@"/>
    <numFmt numFmtId="183" formatCode="[$-411]ggge&quot;年&quot;m&quot;月&quot;d&quot;日&quot;;@"/>
    <numFmt numFmtId="184" formatCode="#"/>
  </numFmts>
  <fonts count="33"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Ｐゴシック"/>
      <family val="3"/>
      <charset val="128"/>
    </font>
    <font>
      <sz val="16"/>
      <name val="ＭＳ 明朝"/>
      <family val="1"/>
      <charset val="128"/>
    </font>
    <font>
      <sz val="15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9"/>
      <name val="ＭＳ 明朝"/>
      <family val="1"/>
      <charset val="128"/>
    </font>
    <font>
      <sz val="12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明朝"/>
      <family val="1"/>
      <charset val="128"/>
    </font>
    <font>
      <sz val="10"/>
      <name val="ＭＳ Ｐ明朝"/>
      <family val="1"/>
      <charset val="128"/>
    </font>
    <font>
      <sz val="10"/>
      <color indexed="64"/>
      <name val="ＭＳ 明朝"/>
      <family val="1"/>
      <charset val="128"/>
    </font>
    <font>
      <sz val="12"/>
      <color indexed="64"/>
      <name val="HG正楷書体-PRO"/>
      <family val="4"/>
      <charset val="128"/>
    </font>
    <font>
      <sz val="24"/>
      <color indexed="64"/>
      <name val="HG正楷書体-PRO"/>
      <family val="4"/>
      <charset val="128"/>
    </font>
    <font>
      <sz val="16"/>
      <name val="HG正楷書体-PRO"/>
      <family val="4"/>
      <charset val="128"/>
    </font>
    <font>
      <sz val="28"/>
      <color indexed="64"/>
      <name val="HG正楷書体-PRO"/>
      <family val="4"/>
      <charset val="128"/>
    </font>
    <font>
      <sz val="10"/>
      <color indexed="64"/>
      <name val="HG正楷書体-PRO"/>
      <family val="4"/>
      <charset val="128"/>
    </font>
    <font>
      <sz val="12"/>
      <color indexed="8"/>
      <name val="HG正楷書体-PRO"/>
      <family val="4"/>
      <charset val="128"/>
    </font>
    <font>
      <sz val="14"/>
      <name val="ＭＳ Ｐゴシック"/>
      <family val="3"/>
      <charset val="128"/>
    </font>
    <font>
      <sz val="12"/>
      <name val="HG正楷書体-PRO"/>
      <family val="4"/>
      <charset val="128"/>
    </font>
    <font>
      <sz val="14"/>
      <name val="HG正楷書体-PRO"/>
      <family val="4"/>
      <charset val="128"/>
    </font>
    <font>
      <sz val="14"/>
      <color indexed="64"/>
      <name val="HG正楷書体-PRO"/>
      <family val="4"/>
      <charset val="128"/>
    </font>
    <font>
      <sz val="11"/>
      <color theme="9" tint="0.79998168889431442"/>
      <name val="ＭＳ Ｐゴシック"/>
      <family val="3"/>
      <charset val="128"/>
    </font>
    <font>
      <sz val="24"/>
      <color theme="9" tint="0.79998168889431442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HGｺﾞｼｯｸM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 style="thin">
        <color indexed="64"/>
      </diagonal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27" fillId="0" borderId="0" applyFon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7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distributed" vertical="center" justifyLastLine="1"/>
    </xf>
    <xf numFmtId="0" fontId="5" fillId="3" borderId="1" xfId="0" applyFont="1" applyFill="1" applyBorder="1" applyAlignment="1">
      <alignment horizontal="left" vertical="top" indent="1"/>
    </xf>
    <xf numFmtId="0" fontId="5" fillId="3" borderId="2" xfId="0" applyFont="1" applyFill="1" applyBorder="1" applyAlignment="1">
      <alignment horizontal="right" vertical="top"/>
    </xf>
    <xf numFmtId="0" fontId="5" fillId="3" borderId="1" xfId="0" applyFont="1" applyFill="1" applyBorder="1" applyAlignment="1">
      <alignment horizontal="right" vertical="top"/>
    </xf>
    <xf numFmtId="0" fontId="7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5" fillId="3" borderId="3" xfId="0" applyFont="1" applyFill="1" applyBorder="1" applyAlignment="1">
      <alignment horizontal="left" vertical="top" indent="1"/>
    </xf>
    <xf numFmtId="0" fontId="5" fillId="3" borderId="2" xfId="0" applyFont="1" applyFill="1" applyBorder="1" applyAlignment="1">
      <alignment horizontal="right" vertical="center" justifyLastLine="1"/>
    </xf>
    <xf numFmtId="0" fontId="5" fillId="2" borderId="4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right" vertical="top"/>
    </xf>
    <xf numFmtId="0" fontId="6" fillId="3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distributed" vertical="center" justifyLastLine="1"/>
    </xf>
    <xf numFmtId="0" fontId="5" fillId="3" borderId="0" xfId="0" applyFont="1" applyFill="1" applyBorder="1" applyAlignment="1">
      <alignment horizontal="distributed" vertical="center" wrapText="1" justifyLastLine="1"/>
    </xf>
    <xf numFmtId="0" fontId="0" fillId="2" borderId="0" xfId="0" applyFill="1" applyBorder="1" applyAlignment="1">
      <alignment horizontal="distributed" vertical="center" wrapText="1" justifyLastLine="1"/>
    </xf>
    <xf numFmtId="0" fontId="6" fillId="3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0" fontId="6" fillId="3" borderId="0" xfId="0" applyFont="1" applyFill="1" applyBorder="1" applyAlignment="1">
      <alignment horizontal="left" vertical="center" indent="2"/>
    </xf>
    <xf numFmtId="0" fontId="0" fillId="0" borderId="0" xfId="0" applyBorder="1">
      <alignment vertical="center"/>
    </xf>
    <xf numFmtId="0" fontId="11" fillId="3" borderId="7" xfId="0" applyFont="1" applyFill="1" applyBorder="1" applyAlignment="1">
      <alignment horizontal="center"/>
    </xf>
    <xf numFmtId="3" fontId="11" fillId="3" borderId="8" xfId="0" applyNumberFormat="1" applyFont="1" applyFill="1" applyBorder="1" applyAlignment="1">
      <alignment horizontal="center"/>
    </xf>
    <xf numFmtId="3" fontId="11" fillId="3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3" fontId="11" fillId="3" borderId="11" xfId="0" applyNumberFormat="1" applyFont="1" applyFill="1" applyBorder="1" applyAlignment="1">
      <alignment horizontal="center"/>
    </xf>
    <xf numFmtId="3" fontId="11" fillId="3" borderId="12" xfId="0" applyNumberFormat="1" applyFont="1" applyFill="1" applyBorder="1" applyAlignment="1">
      <alignment horizontal="center"/>
    </xf>
    <xf numFmtId="0" fontId="12" fillId="0" borderId="0" xfId="0" applyFont="1" applyAlignment="1" applyProtection="1">
      <protection locked="0"/>
    </xf>
    <xf numFmtId="0" fontId="17" fillId="0" borderId="0" xfId="0" applyFont="1" applyBorder="1" applyAlignment="1">
      <alignment horizontal="centerContinuous" vertical="center"/>
    </xf>
    <xf numFmtId="0" fontId="13" fillId="0" borderId="0" xfId="0" applyFont="1" applyBorder="1" applyAlignment="1">
      <alignment horizontal="centerContinuous"/>
    </xf>
    <xf numFmtId="0" fontId="13" fillId="0" borderId="0" xfId="0" applyFont="1" applyBorder="1" applyAlignment="1"/>
    <xf numFmtId="0" fontId="12" fillId="0" borderId="0" xfId="0" applyFont="1" applyBorder="1" applyAlignment="1" applyProtection="1">
      <protection locked="0"/>
    </xf>
    <xf numFmtId="0" fontId="18" fillId="0" borderId="0" xfId="0" applyFont="1" applyBorder="1" applyAlignment="1" applyProtection="1">
      <alignment horizontal="left"/>
      <protection locked="0"/>
    </xf>
    <xf numFmtId="179" fontId="12" fillId="0" borderId="0" xfId="0" applyNumberFormat="1" applyFont="1" applyBorder="1" applyAlignment="1" applyProtection="1">
      <protection locked="0"/>
    </xf>
    <xf numFmtId="0" fontId="14" fillId="0" borderId="0" xfId="0" applyFont="1" applyBorder="1" applyAlignment="1"/>
    <xf numFmtId="179" fontId="15" fillId="0" borderId="0" xfId="0" applyNumberFormat="1" applyFont="1" applyBorder="1" applyAlignment="1"/>
    <xf numFmtId="0" fontId="8" fillId="0" borderId="0" xfId="0" applyFont="1" applyBorder="1" applyAlignment="1">
      <alignment horizontal="left" vertical="center" indent="2"/>
    </xf>
    <xf numFmtId="0" fontId="0" fillId="0" borderId="0" xfId="0" applyBorder="1" applyAlignment="1">
      <alignment vertical="center"/>
    </xf>
    <xf numFmtId="3" fontId="16" fillId="0" borderId="0" xfId="0" applyNumberFormat="1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Continuous"/>
    </xf>
    <xf numFmtId="3" fontId="16" fillId="0" borderId="0" xfId="0" applyNumberFormat="1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center"/>
    </xf>
    <xf numFmtId="0" fontId="6" fillId="0" borderId="0" xfId="0" applyFont="1" applyBorder="1" applyAlignment="1"/>
    <xf numFmtId="0" fontId="13" fillId="0" borderId="0" xfId="0" applyFont="1" applyBorder="1" applyAlignment="1">
      <alignment horizontal="left" vertical="center" indent="4"/>
    </xf>
    <xf numFmtId="3" fontId="16" fillId="0" borderId="8" xfId="0" applyNumberFormat="1" applyFont="1" applyFill="1" applyBorder="1" applyAlignment="1">
      <alignment horizontal="right" vertical="center"/>
    </xf>
    <xf numFmtId="0" fontId="13" fillId="0" borderId="8" xfId="0" applyFont="1" applyFill="1" applyBorder="1" applyAlignment="1">
      <alignment horizontal="left" vertical="center"/>
    </xf>
    <xf numFmtId="184" fontId="6" fillId="3" borderId="21" xfId="0" applyNumberFormat="1" applyFont="1" applyFill="1" applyBorder="1" applyAlignment="1">
      <alignment horizontal="center" vertical="center"/>
    </xf>
    <xf numFmtId="184" fontId="1" fillId="3" borderId="22" xfId="0" applyNumberFormat="1" applyFont="1" applyFill="1" applyBorder="1" applyAlignment="1">
      <alignment horizontal="center" vertical="center"/>
    </xf>
    <xf numFmtId="184" fontId="1" fillId="2" borderId="23" xfId="0" applyNumberFormat="1" applyFont="1" applyFill="1" applyBorder="1" applyAlignment="1">
      <alignment horizontal="center" vertical="center"/>
    </xf>
    <xf numFmtId="184" fontId="1" fillId="2" borderId="24" xfId="0" applyNumberFormat="1" applyFont="1" applyFill="1" applyBorder="1" applyAlignment="1">
      <alignment horizontal="center" vertical="center"/>
    </xf>
    <xf numFmtId="184" fontId="1" fillId="2" borderId="22" xfId="0" applyNumberFormat="1" applyFont="1" applyFill="1" applyBorder="1" applyAlignment="1">
      <alignment horizontal="center" vertical="center"/>
    </xf>
    <xf numFmtId="0" fontId="0" fillId="0" borderId="26" xfId="0" applyFill="1" applyBorder="1">
      <alignment vertical="center"/>
    </xf>
    <xf numFmtId="0" fontId="6" fillId="3" borderId="5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 indent="1"/>
    </xf>
    <xf numFmtId="0" fontId="5" fillId="3" borderId="2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180" fontId="11" fillId="3" borderId="8" xfId="0" applyNumberFormat="1" applyFont="1" applyFill="1" applyBorder="1" applyAlignment="1">
      <alignment horizontal="center"/>
    </xf>
    <xf numFmtId="180" fontId="11" fillId="3" borderId="9" xfId="0" applyNumberFormat="1" applyFont="1" applyFill="1" applyBorder="1" applyAlignment="1">
      <alignment horizontal="center"/>
    </xf>
    <xf numFmtId="180" fontId="11" fillId="2" borderId="8" xfId="0" applyNumberFormat="1" applyFont="1" applyFill="1" applyBorder="1" applyAlignment="1">
      <alignment horizontal="center"/>
    </xf>
    <xf numFmtId="180" fontId="11" fillId="2" borderId="13" xfId="0" applyNumberFormat="1" applyFont="1" applyFill="1" applyBorder="1" applyAlignment="1">
      <alignment horizontal="center"/>
    </xf>
    <xf numFmtId="180" fontId="11" fillId="3" borderId="7" xfId="0" applyNumberFormat="1" applyFont="1" applyFill="1" applyBorder="1" applyAlignment="1">
      <alignment horizontal="center"/>
    </xf>
    <xf numFmtId="180" fontId="11" fillId="2" borderId="14" xfId="0" applyNumberFormat="1" applyFont="1" applyFill="1" applyBorder="1" applyAlignment="1">
      <alignment horizontal="center"/>
    </xf>
    <xf numFmtId="180" fontId="11" fillId="3" borderId="11" xfId="0" applyNumberFormat="1" applyFont="1" applyFill="1" applyBorder="1" applyAlignment="1">
      <alignment horizontal="center"/>
    </xf>
    <xf numFmtId="180" fontId="11" fillId="3" borderId="12" xfId="0" applyNumberFormat="1" applyFont="1" applyFill="1" applyBorder="1" applyAlignment="1">
      <alignment horizontal="center"/>
    </xf>
    <xf numFmtId="180" fontId="11" fillId="2" borderId="11" xfId="0" applyNumberFormat="1" applyFont="1" applyFill="1" applyBorder="1" applyAlignment="1">
      <alignment horizontal="center"/>
    </xf>
    <xf numFmtId="180" fontId="11" fillId="2" borderId="15" xfId="0" applyNumberFormat="1" applyFont="1" applyFill="1" applyBorder="1" applyAlignment="1">
      <alignment horizontal="center"/>
    </xf>
    <xf numFmtId="180" fontId="11" fillId="3" borderId="10" xfId="0" applyNumberFormat="1" applyFont="1" applyFill="1" applyBorder="1" applyAlignment="1">
      <alignment horizontal="center"/>
    </xf>
    <xf numFmtId="180" fontId="11" fillId="2" borderId="16" xfId="0" applyNumberFormat="1" applyFont="1" applyFill="1" applyBorder="1" applyAlignment="1">
      <alignment horizontal="center"/>
    </xf>
    <xf numFmtId="0" fontId="13" fillId="0" borderId="0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17" xfId="0" applyBorder="1">
      <alignment vertical="center"/>
    </xf>
    <xf numFmtId="176" fontId="0" fillId="0" borderId="63" xfId="0" applyNumberFormat="1" applyFill="1" applyBorder="1" applyAlignment="1">
      <alignment vertical="center" shrinkToFit="1"/>
    </xf>
    <xf numFmtId="182" fontId="0" fillId="0" borderId="69" xfId="0" applyNumberFormat="1" applyFill="1" applyBorder="1">
      <alignment vertical="center"/>
    </xf>
    <xf numFmtId="0" fontId="0" fillId="0" borderId="0" xfId="0" applyFill="1">
      <alignment vertical="center"/>
    </xf>
    <xf numFmtId="0" fontId="25" fillId="0" borderId="0" xfId="0" applyFont="1" applyFill="1">
      <alignment vertical="center"/>
    </xf>
    <xf numFmtId="0" fontId="26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56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29" xfId="0" applyFill="1" applyBorder="1">
      <alignment vertical="center"/>
    </xf>
    <xf numFmtId="0" fontId="0" fillId="0" borderId="20" xfId="0" applyFill="1" applyBorder="1">
      <alignment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horizontal="center" vertical="center"/>
    </xf>
    <xf numFmtId="0" fontId="0" fillId="0" borderId="25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56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/>
    <xf numFmtId="178" fontId="0" fillId="0" borderId="4" xfId="0" applyNumberFormat="1" applyFill="1" applyBorder="1">
      <alignment vertical="center"/>
    </xf>
    <xf numFmtId="178" fontId="0" fillId="0" borderId="61" xfId="0" applyNumberFormat="1" applyFill="1" applyBorder="1">
      <alignment vertical="center"/>
    </xf>
    <xf numFmtId="3" fontId="0" fillId="0" borderId="26" xfId="0" applyNumberFormat="1" applyFill="1" applyBorder="1">
      <alignment vertical="center"/>
    </xf>
    <xf numFmtId="0" fontId="23" fillId="0" borderId="0" xfId="0" applyFont="1" applyFill="1" applyAlignment="1"/>
    <xf numFmtId="178" fontId="0" fillId="0" borderId="67" xfId="0" applyNumberFormat="1" applyFill="1" applyBorder="1">
      <alignment vertical="center"/>
    </xf>
    <xf numFmtId="178" fontId="0" fillId="0" borderId="68" xfId="0" applyNumberFormat="1" applyFill="1" applyBorder="1">
      <alignment vertical="center"/>
    </xf>
    <xf numFmtId="178" fontId="0" fillId="0" borderId="38" xfId="0" applyNumberFormat="1" applyFill="1" applyBorder="1">
      <alignment vertical="center"/>
    </xf>
    <xf numFmtId="178" fontId="0" fillId="0" borderId="39" xfId="0" applyNumberFormat="1" applyFill="1" applyBorder="1">
      <alignment vertical="center"/>
    </xf>
    <xf numFmtId="178" fontId="0" fillId="0" borderId="22" xfId="0" applyNumberFormat="1" applyFill="1" applyBorder="1">
      <alignment vertical="center"/>
    </xf>
    <xf numFmtId="178" fontId="0" fillId="0" borderId="24" xfId="0" applyNumberFormat="1" applyFill="1" applyBorder="1">
      <alignment vertical="center"/>
    </xf>
    <xf numFmtId="0" fontId="0" fillId="4" borderId="17" xfId="0" applyFill="1" applyBorder="1" applyAlignment="1" applyProtection="1">
      <alignment vertical="center" shrinkToFit="1"/>
      <protection locked="0"/>
    </xf>
    <xf numFmtId="176" fontId="0" fillId="4" borderId="17" xfId="0" applyNumberFormat="1" applyFill="1" applyBorder="1" applyAlignment="1" applyProtection="1">
      <alignment vertical="center" shrinkToFit="1"/>
      <protection locked="0"/>
    </xf>
    <xf numFmtId="0" fontId="0" fillId="4" borderId="26" xfId="0" applyFill="1" applyBorder="1" applyProtection="1">
      <alignment vertical="center"/>
      <protection locked="0"/>
    </xf>
    <xf numFmtId="0" fontId="0" fillId="4" borderId="64" xfId="0" applyFill="1" applyBorder="1" applyProtection="1">
      <alignment vertical="center"/>
      <protection locked="0"/>
    </xf>
    <xf numFmtId="0" fontId="0" fillId="4" borderId="32" xfId="0" applyFill="1" applyBorder="1" applyProtection="1">
      <alignment vertical="center"/>
      <protection locked="0"/>
    </xf>
    <xf numFmtId="0" fontId="0" fillId="4" borderId="34" xfId="0" applyFill="1" applyBorder="1" applyProtection="1">
      <alignment vertical="center"/>
      <protection locked="0"/>
    </xf>
    <xf numFmtId="0" fontId="0" fillId="4" borderId="65" xfId="0" applyFill="1" applyBorder="1" applyProtection="1">
      <alignment vertical="center"/>
      <protection locked="0"/>
    </xf>
    <xf numFmtId="0" fontId="0" fillId="4" borderId="66" xfId="0" applyFont="1" applyFill="1" applyBorder="1" applyProtection="1">
      <alignment vertical="center"/>
      <protection locked="0"/>
    </xf>
    <xf numFmtId="0" fontId="0" fillId="4" borderId="19" xfId="0" applyFill="1" applyBorder="1" applyProtection="1">
      <alignment vertical="center"/>
      <protection locked="0"/>
    </xf>
    <xf numFmtId="0" fontId="0" fillId="4" borderId="33" xfId="0" applyFont="1" applyFill="1" applyBorder="1" applyProtection="1">
      <alignment vertical="center"/>
      <protection locked="0"/>
    </xf>
    <xf numFmtId="0" fontId="0" fillId="4" borderId="37" xfId="0" applyFill="1" applyBorder="1" applyProtection="1">
      <alignment vertical="center"/>
      <protection locked="0"/>
    </xf>
    <xf numFmtId="0" fontId="0" fillId="4" borderId="35" xfId="0" applyFont="1" applyFill="1" applyBorder="1" applyProtection="1">
      <alignment vertical="center"/>
      <protection locked="0"/>
    </xf>
    <xf numFmtId="3" fontId="0" fillId="4" borderId="64" xfId="0" applyNumberFormat="1" applyFill="1" applyBorder="1" applyProtection="1">
      <alignment vertical="center"/>
      <protection locked="0"/>
    </xf>
    <xf numFmtId="182" fontId="0" fillId="4" borderId="68" xfId="0" applyNumberFormat="1" applyFill="1" applyBorder="1" applyProtection="1">
      <alignment vertical="center"/>
      <protection locked="0"/>
    </xf>
    <xf numFmtId="3" fontId="0" fillId="4" borderId="32" xfId="0" applyNumberFormat="1" applyFill="1" applyBorder="1" applyProtection="1">
      <alignment vertical="center"/>
      <protection locked="0"/>
    </xf>
    <xf numFmtId="182" fontId="0" fillId="4" borderId="39" xfId="0" applyNumberFormat="1" applyFill="1" applyBorder="1" applyProtection="1">
      <alignment vertical="center"/>
      <protection locked="0"/>
    </xf>
    <xf numFmtId="3" fontId="0" fillId="4" borderId="34" xfId="0" applyNumberFormat="1" applyFill="1" applyBorder="1" applyProtection="1">
      <alignment vertical="center"/>
      <protection locked="0"/>
    </xf>
    <xf numFmtId="182" fontId="0" fillId="4" borderId="24" xfId="0" applyNumberFormat="1" applyFill="1" applyBorder="1" applyProtection="1">
      <alignment vertical="center"/>
      <protection locked="0"/>
    </xf>
    <xf numFmtId="0" fontId="0" fillId="4" borderId="17" xfId="0" applyFill="1" applyBorder="1" applyProtection="1">
      <alignment vertical="center"/>
      <protection locked="0"/>
    </xf>
    <xf numFmtId="0" fontId="2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28" fillId="0" borderId="0" xfId="0" quotePrefix="1" applyFont="1" applyAlignment="1">
      <alignment horizontal="center" vertical="center"/>
    </xf>
    <xf numFmtId="38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28" fillId="0" borderId="0" xfId="0" applyFont="1" applyAlignment="1">
      <alignment vertical="center" textRotation="255"/>
    </xf>
    <xf numFmtId="0" fontId="28" fillId="0" borderId="0" xfId="0" applyNumberFormat="1" applyFont="1" applyAlignment="1">
      <alignment horizontal="center" vertical="center"/>
    </xf>
    <xf numFmtId="38" fontId="28" fillId="0" borderId="0" xfId="0" applyNumberFormat="1" applyFont="1" applyAlignment="1">
      <alignment horizontal="center" vertical="center" shrinkToFit="1"/>
    </xf>
    <xf numFmtId="0" fontId="28" fillId="0" borderId="20" xfId="0" applyFont="1" applyBorder="1" applyAlignment="1">
      <alignment horizontal="center" vertical="center" shrinkToFit="1"/>
    </xf>
    <xf numFmtId="38" fontId="28" fillId="0" borderId="20" xfId="0" applyNumberFormat="1" applyFont="1" applyBorder="1" applyAlignment="1">
      <alignment horizontal="center" vertical="center" shrinkToFit="1"/>
    </xf>
    <xf numFmtId="38" fontId="28" fillId="0" borderId="20" xfId="1" applyFont="1" applyBorder="1" applyAlignment="1">
      <alignment horizontal="center" vertical="center" shrinkToFit="1"/>
    </xf>
    <xf numFmtId="38" fontId="28" fillId="5" borderId="17" xfId="1" applyFont="1" applyFill="1" applyBorder="1" applyAlignment="1" applyProtection="1">
      <alignment horizontal="center" vertical="center" shrinkToFit="1"/>
      <protection locked="0"/>
    </xf>
    <xf numFmtId="0" fontId="30" fillId="4" borderId="17" xfId="0" applyFont="1" applyFill="1" applyBorder="1" applyAlignment="1" applyProtection="1">
      <alignment vertical="center" shrinkToFit="1"/>
      <protection locked="0"/>
    </xf>
    <xf numFmtId="176" fontId="30" fillId="4" borderId="17" xfId="0" applyNumberFormat="1" applyFont="1" applyFill="1" applyBorder="1" applyAlignment="1" applyProtection="1">
      <alignment vertical="center" shrinkToFit="1"/>
      <protection locked="0"/>
    </xf>
    <xf numFmtId="0" fontId="30" fillId="4" borderId="26" xfId="0" applyFont="1" applyFill="1" applyBorder="1" applyProtection="1">
      <alignment vertical="center"/>
      <protection locked="0"/>
    </xf>
    <xf numFmtId="0" fontId="30" fillId="4" borderId="64" xfId="0" applyFont="1" applyFill="1" applyBorder="1" applyProtection="1">
      <alignment vertical="center"/>
      <protection locked="0"/>
    </xf>
    <xf numFmtId="0" fontId="30" fillId="4" borderId="65" xfId="0" applyFont="1" applyFill="1" applyBorder="1" applyProtection="1">
      <alignment vertical="center"/>
      <protection locked="0"/>
    </xf>
    <xf numFmtId="0" fontId="30" fillId="4" borderId="66" xfId="0" applyFont="1" applyFill="1" applyBorder="1" applyProtection="1">
      <alignment vertical="center"/>
      <protection locked="0"/>
    </xf>
    <xf numFmtId="0" fontId="30" fillId="4" borderId="32" xfId="0" applyFont="1" applyFill="1" applyBorder="1" applyProtection="1">
      <alignment vertical="center"/>
      <protection locked="0"/>
    </xf>
    <xf numFmtId="0" fontId="30" fillId="4" borderId="19" xfId="0" applyFont="1" applyFill="1" applyBorder="1" applyProtection="1">
      <alignment vertical="center"/>
      <protection locked="0"/>
    </xf>
    <xf numFmtId="0" fontId="30" fillId="4" borderId="33" xfId="0" applyFont="1" applyFill="1" applyBorder="1" applyProtection="1">
      <alignment vertical="center"/>
      <protection locked="0"/>
    </xf>
    <xf numFmtId="0" fontId="30" fillId="4" borderId="34" xfId="0" applyFont="1" applyFill="1" applyBorder="1" applyProtection="1">
      <alignment vertical="center"/>
      <protection locked="0"/>
    </xf>
    <xf numFmtId="0" fontId="30" fillId="4" borderId="37" xfId="0" applyFont="1" applyFill="1" applyBorder="1" applyProtection="1">
      <alignment vertical="center"/>
      <protection locked="0"/>
    </xf>
    <xf numFmtId="0" fontId="30" fillId="4" borderId="35" xfId="0" applyFont="1" applyFill="1" applyBorder="1" applyProtection="1">
      <alignment vertical="center"/>
      <protection locked="0"/>
    </xf>
    <xf numFmtId="3" fontId="30" fillId="4" borderId="64" xfId="0" applyNumberFormat="1" applyFont="1" applyFill="1" applyBorder="1" applyProtection="1">
      <alignment vertical="center"/>
      <protection locked="0"/>
    </xf>
    <xf numFmtId="182" fontId="30" fillId="4" borderId="68" xfId="0" applyNumberFormat="1" applyFont="1" applyFill="1" applyBorder="1" applyProtection="1">
      <alignment vertical="center"/>
      <protection locked="0"/>
    </xf>
    <xf numFmtId="3" fontId="30" fillId="4" borderId="32" xfId="0" applyNumberFormat="1" applyFont="1" applyFill="1" applyBorder="1" applyProtection="1">
      <alignment vertical="center"/>
      <protection locked="0"/>
    </xf>
    <xf numFmtId="182" fontId="30" fillId="4" borderId="39" xfId="0" applyNumberFormat="1" applyFont="1" applyFill="1" applyBorder="1" applyProtection="1">
      <alignment vertical="center"/>
      <protection locked="0"/>
    </xf>
    <xf numFmtId="3" fontId="30" fillId="4" borderId="34" xfId="0" applyNumberFormat="1" applyFont="1" applyFill="1" applyBorder="1" applyProtection="1">
      <alignment vertical="center"/>
      <protection locked="0"/>
    </xf>
    <xf numFmtId="182" fontId="30" fillId="4" borderId="24" xfId="0" applyNumberFormat="1" applyFont="1" applyFill="1" applyBorder="1" applyProtection="1">
      <alignment vertical="center"/>
      <protection locked="0"/>
    </xf>
    <xf numFmtId="0" fontId="30" fillId="4" borderId="17" xfId="0" applyFont="1" applyFill="1" applyBorder="1" applyProtection="1">
      <alignment vertical="center"/>
      <protection locked="0"/>
    </xf>
    <xf numFmtId="0" fontId="25" fillId="0" borderId="70" xfId="0" applyFont="1" applyFill="1" applyBorder="1" applyAlignment="1">
      <alignment vertical="center" wrapText="1"/>
    </xf>
    <xf numFmtId="0" fontId="0" fillId="0" borderId="71" xfId="0" applyBorder="1" applyAlignment="1">
      <alignment vertical="center"/>
    </xf>
    <xf numFmtId="0" fontId="0" fillId="0" borderId="72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4" xfId="0" applyBorder="1" applyAlignment="1">
      <alignment vertical="center"/>
    </xf>
    <xf numFmtId="0" fontId="0" fillId="0" borderId="75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7" xfId="0" applyBorder="1" applyAlignment="1">
      <alignment vertical="center"/>
    </xf>
    <xf numFmtId="0" fontId="28" fillId="0" borderId="0" xfId="0" applyFont="1" applyAlignment="1">
      <alignment horizontal="right" vertical="center" shrinkToFit="1"/>
    </xf>
    <xf numFmtId="0" fontId="0" fillId="0" borderId="0" xfId="0" applyAlignment="1">
      <alignment horizontal="right" vertical="center" shrinkToFit="1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vertical="center" wrapText="1"/>
    </xf>
    <xf numFmtId="0" fontId="0" fillId="0" borderId="43" xfId="0" applyFill="1" applyBorder="1" applyAlignment="1">
      <alignment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4" borderId="27" xfId="0" applyFill="1" applyBorder="1" applyAlignment="1" applyProtection="1">
      <alignment vertical="center" shrinkToFit="1"/>
      <protection locked="0"/>
    </xf>
    <xf numFmtId="0" fontId="0" fillId="4" borderId="25" xfId="0" applyFill="1" applyBorder="1" applyAlignment="1" applyProtection="1">
      <alignment vertical="center" shrinkToFit="1"/>
      <protection locked="0"/>
    </xf>
    <xf numFmtId="0" fontId="0" fillId="4" borderId="27" xfId="0" applyFill="1" applyBorder="1" applyAlignment="1" applyProtection="1">
      <alignment vertical="center"/>
      <protection locked="0"/>
    </xf>
    <xf numFmtId="0" fontId="0" fillId="4" borderId="18" xfId="0" applyFill="1" applyBorder="1" applyAlignment="1" applyProtection="1">
      <alignment vertical="center"/>
      <protection locked="0"/>
    </xf>
    <xf numFmtId="0" fontId="0" fillId="4" borderId="27" xfId="0" applyFont="1" applyFill="1" applyBorder="1" applyAlignment="1" applyProtection="1">
      <alignment horizontal="center" vertical="center"/>
      <protection locked="0"/>
    </xf>
    <xf numFmtId="0" fontId="0" fillId="4" borderId="18" xfId="0" applyFont="1" applyFill="1" applyBorder="1" applyAlignment="1" applyProtection="1">
      <alignment horizontal="center" vertical="center"/>
      <protection locked="0"/>
    </xf>
    <xf numFmtId="0" fontId="0" fillId="4" borderId="25" xfId="0" applyFill="1" applyBorder="1" applyAlignment="1" applyProtection="1">
      <alignment vertical="center"/>
      <protection locked="0"/>
    </xf>
    <xf numFmtId="0" fontId="0" fillId="4" borderId="29" xfId="0" applyFill="1" applyBorder="1" applyAlignment="1" applyProtection="1">
      <alignment vertical="center" shrinkToFit="1"/>
      <protection locked="0"/>
    </xf>
    <xf numFmtId="0" fontId="0" fillId="4" borderId="57" xfId="0" applyFill="1" applyBorder="1" applyAlignment="1" applyProtection="1">
      <alignment vertical="center"/>
      <protection locked="0"/>
    </xf>
    <xf numFmtId="0" fontId="0" fillId="4" borderId="28" xfId="0" applyFill="1" applyBorder="1" applyAlignment="1" applyProtection="1">
      <alignment vertical="center"/>
      <protection locked="0"/>
    </xf>
    <xf numFmtId="0" fontId="20" fillId="0" borderId="0" xfId="0" applyFont="1" applyBorder="1" applyAlignment="1">
      <alignment horizontal="right" vertical="center"/>
    </xf>
    <xf numFmtId="178" fontId="13" fillId="0" borderId="0" xfId="0" applyNumberFormat="1" applyFont="1" applyBorder="1" applyAlignment="1">
      <alignment horizontal="left" vertical="center" indent="1" shrinkToFit="1"/>
    </xf>
    <xf numFmtId="178" fontId="0" fillId="0" borderId="0" xfId="0" applyNumberFormat="1" applyBorder="1" applyAlignment="1">
      <alignment horizontal="left" vertical="center" indent="1" shrinkToFit="1"/>
    </xf>
    <xf numFmtId="178" fontId="0" fillId="0" borderId="0" xfId="0" applyNumberFormat="1" applyAlignment="1">
      <alignment horizontal="left" vertical="center" indent="1" shrinkToFit="1"/>
    </xf>
    <xf numFmtId="181" fontId="20" fillId="0" borderId="0" xfId="0" applyNumberFormat="1" applyFont="1" applyBorder="1" applyAlignment="1">
      <alignment horizontal="left" vertical="center" indent="7" shrinkToFit="1"/>
    </xf>
    <xf numFmtId="0" fontId="8" fillId="0" borderId="0" xfId="0" applyFont="1" applyAlignment="1">
      <alignment horizontal="left" vertical="center" indent="7"/>
    </xf>
    <xf numFmtId="0" fontId="14" fillId="0" borderId="0" xfId="0" applyFont="1" applyBorder="1" applyAlignment="1">
      <alignment horizontal="center"/>
    </xf>
    <xf numFmtId="179" fontId="12" fillId="0" borderId="0" xfId="0" applyNumberFormat="1" applyFont="1" applyBorder="1" applyAlignment="1" applyProtection="1">
      <alignment shrinkToFit="1"/>
      <protection locked="0"/>
    </xf>
    <xf numFmtId="3" fontId="16" fillId="0" borderId="8" xfId="0" applyNumberFormat="1" applyFont="1" applyFill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183" fontId="21" fillId="0" borderId="0" xfId="0" applyNumberFormat="1" applyFont="1" applyBorder="1" applyAlignment="1"/>
    <xf numFmtId="183" fontId="19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left" vertical="center" indent="1" shrinkToFit="1"/>
    </xf>
    <xf numFmtId="0" fontId="19" fillId="0" borderId="0" xfId="0" applyFont="1" applyBorder="1" applyAlignment="1">
      <alignment horizontal="left" vertical="center" indent="1" shrinkToFit="1"/>
    </xf>
    <xf numFmtId="180" fontId="12" fillId="0" borderId="0" xfId="0" applyNumberFormat="1" applyFont="1" applyBorder="1" applyAlignment="1" applyProtection="1">
      <alignment vertical="center"/>
      <protection locked="0"/>
    </xf>
    <xf numFmtId="0" fontId="13" fillId="0" borderId="0" xfId="0" applyFont="1" applyBorder="1" applyAlignment="1"/>
    <xf numFmtId="0" fontId="0" fillId="0" borderId="0" xfId="0" applyBorder="1" applyAlignment="1"/>
    <xf numFmtId="179" fontId="7" fillId="0" borderId="0" xfId="0" applyNumberFormat="1" applyFont="1" applyBorder="1" applyAlignment="1" applyProtection="1">
      <protection locked="0"/>
    </xf>
    <xf numFmtId="178" fontId="12" fillId="0" borderId="0" xfId="0" applyNumberFormat="1" applyFont="1" applyBorder="1" applyAlignment="1" applyProtection="1">
      <alignment horizontal="left" vertical="center" indent="1" shrinkToFit="1"/>
      <protection locked="0"/>
    </xf>
    <xf numFmtId="0" fontId="0" fillId="0" borderId="0" xfId="0" applyAlignment="1">
      <alignment horizontal="left" vertical="center" indent="1" shrinkToFit="1"/>
    </xf>
    <xf numFmtId="0" fontId="11" fillId="2" borderId="45" xfId="0" applyFont="1" applyFill="1" applyBorder="1" applyAlignment="1">
      <alignment horizontal="left"/>
    </xf>
    <xf numFmtId="0" fontId="11" fillId="2" borderId="8" xfId="0" applyFont="1" applyFill="1" applyBorder="1" applyAlignment="1">
      <alignment horizontal="left"/>
    </xf>
    <xf numFmtId="0" fontId="11" fillId="2" borderId="13" xfId="0" applyFont="1" applyFill="1" applyBorder="1" applyAlignment="1">
      <alignment horizontal="left"/>
    </xf>
    <xf numFmtId="3" fontId="11" fillId="3" borderId="7" xfId="0" applyNumberFormat="1" applyFont="1" applyFill="1" applyBorder="1" applyAlignment="1">
      <alignment horizontal="left" shrinkToFit="1"/>
    </xf>
    <xf numFmtId="3" fontId="11" fillId="3" borderId="8" xfId="0" applyNumberFormat="1" applyFont="1" applyFill="1" applyBorder="1" applyAlignment="1">
      <alignment horizontal="left" shrinkToFit="1"/>
    </xf>
    <xf numFmtId="3" fontId="11" fillId="3" borderId="13" xfId="0" applyNumberFormat="1" applyFont="1" applyFill="1" applyBorder="1" applyAlignment="1">
      <alignment horizontal="left" shrinkToFit="1"/>
    </xf>
    <xf numFmtId="0" fontId="10" fillId="3" borderId="47" xfId="0" applyFont="1" applyFill="1" applyBorder="1" applyAlignment="1">
      <alignment horizontal="center" vertical="center" justifyLastLine="1"/>
    </xf>
    <xf numFmtId="0" fontId="10" fillId="3" borderId="30" xfId="0" applyFont="1" applyFill="1" applyBorder="1" applyAlignment="1">
      <alignment horizontal="center" vertical="center" justifyLastLine="1"/>
    </xf>
    <xf numFmtId="0" fontId="2" fillId="2" borderId="30" xfId="0" applyFont="1" applyFill="1" applyBorder="1" applyAlignment="1">
      <alignment horizontal="left" vertical="center"/>
    </xf>
    <xf numFmtId="0" fontId="11" fillId="2" borderId="45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13" xfId="0" applyFont="1" applyFill="1" applyBorder="1" applyAlignment="1">
      <alignment horizontal="left" vertical="center"/>
    </xf>
    <xf numFmtId="3" fontId="11" fillId="3" borderId="7" xfId="0" applyNumberFormat="1" applyFont="1" applyFill="1" applyBorder="1" applyAlignment="1">
      <alignment horizontal="left" vertical="center" shrinkToFit="1"/>
    </xf>
    <xf numFmtId="3" fontId="11" fillId="3" borderId="8" xfId="0" applyNumberFormat="1" applyFont="1" applyFill="1" applyBorder="1" applyAlignment="1">
      <alignment horizontal="left" vertical="center" shrinkToFit="1"/>
    </xf>
    <xf numFmtId="3" fontId="11" fillId="3" borderId="13" xfId="0" applyNumberFormat="1" applyFont="1" applyFill="1" applyBorder="1" applyAlignment="1">
      <alignment horizontal="left" vertical="center" shrinkToFit="1"/>
    </xf>
    <xf numFmtId="0" fontId="1" fillId="3" borderId="49" xfId="0" applyFont="1" applyFill="1" applyBorder="1" applyAlignment="1">
      <alignment horizontal="center" vertical="center" justifyLastLine="1"/>
    </xf>
    <xf numFmtId="0" fontId="1" fillId="3" borderId="50" xfId="0" applyFont="1" applyFill="1" applyBorder="1" applyAlignment="1">
      <alignment horizontal="center" vertical="center" justifyLastLine="1"/>
    </xf>
    <xf numFmtId="0" fontId="1" fillId="2" borderId="51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180" fontId="1" fillId="3" borderId="37" xfId="0" applyNumberFormat="1" applyFont="1" applyFill="1" applyBorder="1" applyAlignment="1">
      <alignment horizontal="left" vertical="center" shrinkToFit="1"/>
    </xf>
    <xf numFmtId="180" fontId="1" fillId="3" borderId="46" xfId="0" applyNumberFormat="1" applyFont="1" applyFill="1" applyBorder="1" applyAlignment="1">
      <alignment horizontal="left" vertical="center" shrinkToFit="1"/>
    </xf>
    <xf numFmtId="180" fontId="1" fillId="3" borderId="22" xfId="0" applyNumberFormat="1" applyFont="1" applyFill="1" applyBorder="1" applyAlignment="1">
      <alignment horizontal="left" vertical="center" shrinkToFit="1"/>
    </xf>
    <xf numFmtId="0" fontId="10" fillId="3" borderId="37" xfId="0" applyFont="1" applyFill="1" applyBorder="1" applyAlignment="1">
      <alignment horizontal="center" vertical="center" wrapText="1"/>
    </xf>
    <xf numFmtId="0" fontId="10" fillId="3" borderId="46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184" fontId="1" fillId="3" borderId="41" xfId="0" applyNumberFormat="1" applyFont="1" applyFill="1" applyBorder="1" applyAlignment="1">
      <alignment horizontal="center" vertical="center"/>
    </xf>
    <xf numFmtId="184" fontId="1" fillId="3" borderId="60" xfId="0" applyNumberFormat="1" applyFont="1" applyFill="1" applyBorder="1" applyAlignment="1">
      <alignment horizontal="center" vertical="center"/>
    </xf>
    <xf numFmtId="0" fontId="10" fillId="3" borderId="51" xfId="0" applyFont="1" applyFill="1" applyBorder="1" applyAlignment="1">
      <alignment horizontal="center" vertical="center" wrapText="1"/>
    </xf>
    <xf numFmtId="0" fontId="10" fillId="3" borderId="51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5" fillId="3" borderId="52" xfId="0" applyFont="1" applyFill="1" applyBorder="1" applyAlignment="1">
      <alignment horizontal="center" vertical="center" wrapText="1" justifyLastLine="1"/>
    </xf>
    <xf numFmtId="0" fontId="5" fillId="3" borderId="51" xfId="0" applyFont="1" applyFill="1" applyBorder="1" applyAlignment="1">
      <alignment horizontal="center" vertical="center" wrapText="1" justifyLastLine="1"/>
    </xf>
    <xf numFmtId="0" fontId="5" fillId="3" borderId="53" xfId="0" applyFont="1" applyFill="1" applyBorder="1" applyAlignment="1">
      <alignment horizontal="center" vertical="center" wrapText="1" justifyLastLine="1"/>
    </xf>
    <xf numFmtId="0" fontId="5" fillId="3" borderId="23" xfId="0" applyFont="1" applyFill="1" applyBorder="1" applyAlignment="1">
      <alignment horizontal="center" vertical="center" wrapText="1" justifyLastLine="1"/>
    </xf>
    <xf numFmtId="178" fontId="1" fillId="3" borderId="36" xfId="0" applyNumberFormat="1" applyFont="1" applyFill="1" applyBorder="1" applyAlignment="1">
      <alignment horizontal="left" vertical="center"/>
    </xf>
    <xf numFmtId="178" fontId="1" fillId="3" borderId="54" xfId="0" applyNumberFormat="1" applyFont="1" applyFill="1" applyBorder="1" applyAlignment="1">
      <alignment horizontal="left" vertical="center"/>
    </xf>
    <xf numFmtId="178" fontId="1" fillId="3" borderId="31" xfId="0" applyNumberFormat="1" applyFont="1" applyFill="1" applyBorder="1" applyAlignment="1">
      <alignment horizontal="left" vertical="center"/>
    </xf>
    <xf numFmtId="0" fontId="11" fillId="2" borderId="55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11" fillId="2" borderId="15" xfId="0" applyFont="1" applyFill="1" applyBorder="1" applyAlignment="1">
      <alignment horizontal="left" vertical="center"/>
    </xf>
    <xf numFmtId="3" fontId="11" fillId="3" borderId="10" xfId="0" applyNumberFormat="1" applyFont="1" applyFill="1" applyBorder="1" applyAlignment="1">
      <alignment horizontal="left" vertical="center" shrinkToFit="1"/>
    </xf>
    <xf numFmtId="3" fontId="11" fillId="3" borderId="11" xfId="0" applyNumberFormat="1" applyFont="1" applyFill="1" applyBorder="1" applyAlignment="1">
      <alignment horizontal="left" vertical="center" shrinkToFit="1"/>
    </xf>
    <xf numFmtId="3" fontId="11" fillId="3" borderId="15" xfId="0" applyNumberFormat="1" applyFont="1" applyFill="1" applyBorder="1" applyAlignment="1">
      <alignment horizontal="left" vertical="center" shrinkToFit="1"/>
    </xf>
    <xf numFmtId="177" fontId="5" fillId="3" borderId="27" xfId="0" applyNumberFormat="1" applyFont="1" applyFill="1" applyBorder="1" applyAlignment="1">
      <alignment horizontal="left" vertical="top"/>
    </xf>
    <xf numFmtId="177" fontId="5" fillId="3" borderId="25" xfId="0" applyNumberFormat="1" applyFont="1" applyFill="1" applyBorder="1" applyAlignment="1">
      <alignment horizontal="left" vertical="top"/>
    </xf>
    <xf numFmtId="177" fontId="5" fillId="3" borderId="18" xfId="0" applyNumberFormat="1" applyFont="1" applyFill="1" applyBorder="1" applyAlignment="1">
      <alignment horizontal="left" vertical="top"/>
    </xf>
    <xf numFmtId="0" fontId="5" fillId="3" borderId="26" xfId="0" applyFont="1" applyFill="1" applyBorder="1" applyAlignment="1">
      <alignment horizontal="center" vertical="center" justifyLastLine="1"/>
    </xf>
    <xf numFmtId="0" fontId="5" fillId="3" borderId="29" xfId="0" applyFont="1" applyFill="1" applyBorder="1" applyAlignment="1">
      <alignment horizontal="center" vertical="center" justifyLastLine="1"/>
    </xf>
    <xf numFmtId="0" fontId="5" fillId="3" borderId="56" xfId="0" applyFont="1" applyFill="1" applyBorder="1" applyAlignment="1">
      <alignment horizontal="center" vertical="center" justifyLastLine="1"/>
    </xf>
    <xf numFmtId="0" fontId="5" fillId="3" borderId="0" xfId="0" applyFont="1" applyFill="1" applyBorder="1" applyAlignment="1">
      <alignment horizontal="center" vertical="center" justifyLastLine="1"/>
    </xf>
    <xf numFmtId="0" fontId="5" fillId="3" borderId="55" xfId="0" applyFont="1" applyFill="1" applyBorder="1" applyAlignment="1">
      <alignment horizontal="center" vertical="center" justifyLastLine="1"/>
    </xf>
    <xf numFmtId="0" fontId="5" fillId="3" borderId="11" xfId="0" applyFont="1" applyFill="1" applyBorder="1" applyAlignment="1">
      <alignment horizontal="center" vertical="center" justifyLastLine="1"/>
    </xf>
    <xf numFmtId="0" fontId="1" fillId="3" borderId="36" xfId="0" applyFont="1" applyFill="1" applyBorder="1" applyAlignment="1">
      <alignment horizontal="left" vertical="center" justifyLastLine="1"/>
    </xf>
    <xf numFmtId="0" fontId="1" fillId="3" borderId="54" xfId="0" applyFont="1" applyFill="1" applyBorder="1" applyAlignment="1">
      <alignment horizontal="left" vertical="center" justifyLastLine="1"/>
    </xf>
    <xf numFmtId="0" fontId="1" fillId="3" borderId="31" xfId="0" applyFont="1" applyFill="1" applyBorder="1" applyAlignment="1">
      <alignment horizontal="left" vertical="center" justifyLastLine="1"/>
    </xf>
    <xf numFmtId="0" fontId="10" fillId="3" borderId="20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80" fontId="1" fillId="3" borderId="36" xfId="0" applyNumberFormat="1" applyFont="1" applyFill="1" applyBorder="1" applyAlignment="1">
      <alignment horizontal="left" vertical="center"/>
    </xf>
    <xf numFmtId="180" fontId="1" fillId="3" borderId="54" xfId="0" applyNumberFormat="1" applyFont="1" applyFill="1" applyBorder="1" applyAlignment="1">
      <alignment horizontal="left" vertical="center"/>
    </xf>
    <xf numFmtId="180" fontId="1" fillId="3" borderId="31" xfId="0" applyNumberFormat="1" applyFont="1" applyFill="1" applyBorder="1" applyAlignment="1">
      <alignment horizontal="left" vertical="center"/>
    </xf>
    <xf numFmtId="184" fontId="1" fillId="3" borderId="61" xfId="0" applyNumberFormat="1" applyFont="1" applyFill="1" applyBorder="1" applyAlignment="1">
      <alignment horizontal="center" vertical="center"/>
    </xf>
    <xf numFmtId="184" fontId="1" fillId="3" borderId="62" xfId="0" applyNumberFormat="1" applyFont="1" applyFill="1" applyBorder="1" applyAlignment="1">
      <alignment horizontal="center" vertical="center"/>
    </xf>
    <xf numFmtId="184" fontId="1" fillId="3" borderId="58" xfId="0" applyNumberFormat="1" applyFont="1" applyFill="1" applyBorder="1" applyAlignment="1">
      <alignment horizontal="center" vertical="center"/>
    </xf>
    <xf numFmtId="184" fontId="1" fillId="3" borderId="59" xfId="0" applyNumberFormat="1" applyFont="1" applyFill="1" applyBorder="1" applyAlignment="1">
      <alignment horizontal="center" vertical="center"/>
    </xf>
    <xf numFmtId="178" fontId="1" fillId="3" borderId="37" xfId="0" applyNumberFormat="1" applyFont="1" applyFill="1" applyBorder="1" applyAlignment="1">
      <alignment horizontal="left" vertical="center" shrinkToFit="1"/>
    </xf>
    <xf numFmtId="178" fontId="1" fillId="3" borderId="46" xfId="0" applyNumberFormat="1" applyFont="1" applyFill="1" applyBorder="1" applyAlignment="1">
      <alignment horizontal="left" vertical="center" shrinkToFit="1"/>
    </xf>
    <xf numFmtId="178" fontId="1" fillId="3" borderId="22" xfId="0" applyNumberFormat="1" applyFont="1" applyFill="1" applyBorder="1" applyAlignment="1">
      <alignment horizontal="left" vertical="center" shrinkToFit="1"/>
    </xf>
    <xf numFmtId="0" fontId="2" fillId="2" borderId="48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184" fontId="6" fillId="3" borderId="6" xfId="0" applyNumberFormat="1" applyFont="1" applyFill="1" applyBorder="1" applyAlignment="1">
      <alignment horizontal="center" vertical="center"/>
    </xf>
    <xf numFmtId="184" fontId="6" fillId="3" borderId="16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10" fillId="3" borderId="10" xfId="0" applyFont="1" applyFill="1" applyBorder="1" applyAlignment="1">
      <alignment horizontal="right" vertical="center"/>
    </xf>
    <xf numFmtId="0" fontId="10" fillId="3" borderId="11" xfId="0" applyFont="1" applyFill="1" applyBorder="1" applyAlignment="1">
      <alignment horizontal="right" vertical="center"/>
    </xf>
    <xf numFmtId="0" fontId="11" fillId="2" borderId="55" xfId="0" applyFont="1" applyFill="1" applyBorder="1" applyAlignment="1">
      <alignment horizontal="left"/>
    </xf>
    <xf numFmtId="0" fontId="11" fillId="2" borderId="11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3" fontId="11" fillId="3" borderId="10" xfId="0" applyNumberFormat="1" applyFont="1" applyFill="1" applyBorder="1" applyAlignment="1">
      <alignment horizontal="left" shrinkToFit="1"/>
    </xf>
    <xf numFmtId="3" fontId="11" fillId="3" borderId="11" xfId="0" applyNumberFormat="1" applyFont="1" applyFill="1" applyBorder="1" applyAlignment="1">
      <alignment horizontal="left" shrinkToFit="1"/>
    </xf>
    <xf numFmtId="3" fontId="11" fillId="3" borderId="15" xfId="0" applyNumberFormat="1" applyFont="1" applyFill="1" applyBorder="1" applyAlignment="1">
      <alignment horizontal="left" shrinkToFit="1"/>
    </xf>
    <xf numFmtId="0" fontId="30" fillId="4" borderId="57" xfId="0" applyFont="1" applyFill="1" applyBorder="1" applyAlignment="1" applyProtection="1">
      <alignment vertical="center"/>
      <protection locked="0"/>
    </xf>
    <xf numFmtId="0" fontId="30" fillId="4" borderId="28" xfId="0" applyFont="1" applyFill="1" applyBorder="1" applyAlignment="1" applyProtection="1">
      <alignment vertical="center"/>
      <protection locked="0"/>
    </xf>
    <xf numFmtId="0" fontId="30" fillId="4" borderId="27" xfId="0" applyFont="1" applyFill="1" applyBorder="1" applyAlignment="1" applyProtection="1">
      <alignment horizontal="center" vertical="center"/>
      <protection locked="0"/>
    </xf>
    <xf numFmtId="0" fontId="30" fillId="4" borderId="18" xfId="0" applyFont="1" applyFill="1" applyBorder="1" applyAlignment="1" applyProtection="1">
      <alignment horizontal="center" vertical="center"/>
      <protection locked="0"/>
    </xf>
    <xf numFmtId="0" fontId="30" fillId="4" borderId="27" xfId="0" applyFont="1" applyFill="1" applyBorder="1" applyAlignment="1" applyProtection="1">
      <alignment vertical="center"/>
      <protection locked="0"/>
    </xf>
    <xf numFmtId="0" fontId="30" fillId="4" borderId="18" xfId="0" applyFont="1" applyFill="1" applyBorder="1" applyAlignment="1" applyProtection="1">
      <alignment vertical="center"/>
      <protection locked="0"/>
    </xf>
    <xf numFmtId="0" fontId="30" fillId="4" borderId="25" xfId="0" applyFont="1" applyFill="1" applyBorder="1" applyAlignment="1" applyProtection="1">
      <alignment vertical="center"/>
      <protection locked="0"/>
    </xf>
    <xf numFmtId="0" fontId="30" fillId="4" borderId="27" xfId="0" applyFont="1" applyFill="1" applyBorder="1" applyAlignment="1" applyProtection="1">
      <alignment vertical="center" shrinkToFit="1"/>
      <protection locked="0"/>
    </xf>
    <xf numFmtId="0" fontId="30" fillId="4" borderId="25" xfId="0" applyFont="1" applyFill="1" applyBorder="1" applyAlignment="1" applyProtection="1">
      <alignment vertical="center" shrinkToFit="1"/>
      <protection locked="0"/>
    </xf>
    <xf numFmtId="0" fontId="30" fillId="4" borderId="29" xfId="0" applyFont="1" applyFill="1" applyBorder="1" applyAlignment="1" applyProtection="1">
      <alignment vertical="center" shrinkToFit="1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342900</xdr:colOff>
      <xdr:row>2</xdr:row>
      <xdr:rowOff>219075</xdr:rowOff>
    </xdr:from>
    <xdr:to>
      <xdr:col>20</xdr:col>
      <xdr:colOff>342900</xdr:colOff>
      <xdr:row>4</xdr:row>
      <xdr:rowOff>38100</xdr:rowOff>
    </xdr:to>
    <xdr:cxnSp macro="">
      <xdr:nvCxnSpPr>
        <xdr:cNvPr id="3" name="直線矢印コネクタ 2"/>
        <xdr:cNvCxnSpPr/>
      </xdr:nvCxnSpPr>
      <xdr:spPr>
        <a:xfrm>
          <a:off x="10915650" y="6953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9</xdr:row>
      <xdr:rowOff>142875</xdr:rowOff>
    </xdr:from>
    <xdr:to>
      <xdr:col>20</xdr:col>
      <xdr:colOff>304800</xdr:colOff>
      <xdr:row>10</xdr:row>
      <xdr:rowOff>180975</xdr:rowOff>
    </xdr:to>
    <xdr:cxnSp macro="">
      <xdr:nvCxnSpPr>
        <xdr:cNvPr id="5" name="直線矢印コネクタ 4"/>
        <xdr:cNvCxnSpPr/>
      </xdr:nvCxnSpPr>
      <xdr:spPr>
        <a:xfrm>
          <a:off x="10877550" y="2009775"/>
          <a:ext cx="0" cy="238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342900</xdr:colOff>
      <xdr:row>2</xdr:row>
      <xdr:rowOff>219075</xdr:rowOff>
    </xdr:from>
    <xdr:to>
      <xdr:col>20</xdr:col>
      <xdr:colOff>342900</xdr:colOff>
      <xdr:row>4</xdr:row>
      <xdr:rowOff>38100</xdr:rowOff>
    </xdr:to>
    <xdr:cxnSp macro="">
      <xdr:nvCxnSpPr>
        <xdr:cNvPr id="2" name="直線矢印コネクタ 1"/>
        <xdr:cNvCxnSpPr/>
      </xdr:nvCxnSpPr>
      <xdr:spPr>
        <a:xfrm>
          <a:off x="10915650" y="6953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9</xdr:row>
      <xdr:rowOff>142875</xdr:rowOff>
    </xdr:from>
    <xdr:to>
      <xdr:col>20</xdr:col>
      <xdr:colOff>304800</xdr:colOff>
      <xdr:row>10</xdr:row>
      <xdr:rowOff>180975</xdr:rowOff>
    </xdr:to>
    <xdr:cxnSp macro="">
      <xdr:nvCxnSpPr>
        <xdr:cNvPr id="3" name="直線矢印コネクタ 2"/>
        <xdr:cNvCxnSpPr/>
      </xdr:nvCxnSpPr>
      <xdr:spPr>
        <a:xfrm>
          <a:off x="10877550" y="2009775"/>
          <a:ext cx="0" cy="238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323851</xdr:colOff>
      <xdr:row>0</xdr:row>
      <xdr:rowOff>38100</xdr:rowOff>
    </xdr:from>
    <xdr:ext cx="1143000" cy="514350"/>
    <xdr:sp macro="" textlink="">
      <xdr:nvSpPr>
        <xdr:cNvPr id="4" name="テキスト ボックス 3"/>
        <xdr:cNvSpPr txBox="1"/>
      </xdr:nvSpPr>
      <xdr:spPr>
        <a:xfrm>
          <a:off x="7477126" y="38100"/>
          <a:ext cx="1143000" cy="5143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ja-JP" altLang="en-US" sz="2400" b="1">
              <a:solidFill>
                <a:srgbClr val="FF0000"/>
              </a:solidFill>
            </a:rPr>
            <a:t>記載例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/>
  </sheetPr>
  <dimension ref="A1:BI23"/>
  <sheetViews>
    <sheetView showGridLines="0" tabSelected="1" workbookViewId="0">
      <selection activeCell="H19" sqref="H19"/>
    </sheetView>
  </sheetViews>
  <sheetFormatPr defaultRowHeight="13.5"/>
  <cols>
    <col min="1" max="1" width="1.125" style="83" customWidth="1"/>
    <col min="2" max="2" width="10.75" style="83" customWidth="1"/>
    <col min="3" max="3" width="10.625" style="83" customWidth="1"/>
    <col min="4" max="4" width="17.125" style="83" customWidth="1"/>
    <col min="5" max="8" width="10.625" style="83" customWidth="1"/>
    <col min="9" max="9" width="1.25" style="83" customWidth="1"/>
    <col min="10" max="11" width="1" style="83" customWidth="1"/>
    <col min="12" max="12" width="8.5" style="83" customWidth="1"/>
    <col min="13" max="13" width="11.75" style="83" customWidth="1"/>
    <col min="14" max="14" width="1.375" style="83" customWidth="1"/>
    <col min="15" max="15" width="6.75" style="83" customWidth="1"/>
    <col min="16" max="16" width="1" style="83" customWidth="1"/>
    <col min="17" max="17" width="8.25" customWidth="1"/>
    <col min="18" max="18" width="6" customWidth="1"/>
    <col min="19" max="19" width="5.625" customWidth="1"/>
    <col min="20" max="20" width="4.125" customWidth="1"/>
    <col min="21" max="21" width="7.25" customWidth="1"/>
    <col min="22" max="22" width="4" customWidth="1"/>
    <col min="24" max="24" width="4.375" customWidth="1"/>
    <col min="39" max="39" width="9" style="83"/>
    <col min="40" max="50" width="5.625" style="83" customWidth="1"/>
    <col min="51" max="51" width="6.25" style="83" customWidth="1"/>
    <col min="52" max="61" width="5.625" style="83" customWidth="1"/>
    <col min="62" max="16384" width="9" style="83"/>
  </cols>
  <sheetData>
    <row r="1" spans="1:61" ht="19.5" customHeight="1" thickBot="1">
      <c r="B1" s="84" t="s">
        <v>32</v>
      </c>
      <c r="E1" s="85" t="s">
        <v>76</v>
      </c>
      <c r="M1" s="86"/>
      <c r="N1" s="86"/>
      <c r="Q1" t="s">
        <v>75</v>
      </c>
      <c r="AN1" s="86"/>
      <c r="AO1" s="86"/>
      <c r="AP1" s="86"/>
      <c r="AQ1" s="86"/>
      <c r="AR1" s="86"/>
      <c r="AS1" s="86"/>
      <c r="AT1" s="86"/>
      <c r="AU1" s="86"/>
    </row>
    <row r="2" spans="1:61" ht="18" customHeight="1" thickBot="1">
      <c r="B2" s="178" t="s">
        <v>20</v>
      </c>
      <c r="C2" s="87" t="s">
        <v>22</v>
      </c>
      <c r="D2" s="186"/>
      <c r="E2" s="187"/>
      <c r="F2" s="187"/>
      <c r="G2" s="187"/>
      <c r="H2" s="187"/>
      <c r="I2" s="88"/>
      <c r="J2" s="86"/>
      <c r="L2" s="131"/>
      <c r="M2" s="86" t="s">
        <v>36</v>
      </c>
      <c r="N2" s="86"/>
      <c r="AN2" s="89"/>
      <c r="AO2" s="89"/>
      <c r="AP2" s="89"/>
      <c r="AQ2" s="89"/>
      <c r="AR2" s="90"/>
      <c r="AS2" s="90"/>
      <c r="AT2" s="90"/>
      <c r="AU2" s="86"/>
    </row>
    <row r="3" spans="1:61" ht="18" customHeight="1" thickBot="1">
      <c r="B3" s="179"/>
      <c r="C3" s="87" t="s">
        <v>18</v>
      </c>
      <c r="D3" s="186"/>
      <c r="E3" s="193"/>
      <c r="F3" s="187"/>
      <c r="G3" s="187"/>
      <c r="H3" s="187"/>
      <c r="I3" s="88"/>
      <c r="J3" s="86"/>
      <c r="Q3" s="145"/>
      <c r="R3" s="134" t="s">
        <v>64</v>
      </c>
      <c r="S3" s="141">
        <f>Q3</f>
        <v>0</v>
      </c>
      <c r="T3" s="136" t="s">
        <v>65</v>
      </c>
      <c r="U3" s="137">
        <v>0.1021</v>
      </c>
      <c r="V3" s="136" t="s">
        <v>66</v>
      </c>
      <c r="W3" s="144">
        <f>ROUNDUP(Q3-(Q3*U3),0)</f>
        <v>0</v>
      </c>
      <c r="X3" s="138"/>
    </row>
    <row r="4" spans="1:61" ht="18" customHeight="1" thickBot="1">
      <c r="B4" s="180"/>
      <c r="C4" s="87" t="s">
        <v>19</v>
      </c>
      <c r="D4" s="113"/>
      <c r="E4" s="57"/>
      <c r="F4" s="91"/>
      <c r="G4" s="91"/>
      <c r="H4" s="91"/>
      <c r="I4" s="86"/>
      <c r="J4" s="86"/>
      <c r="L4" s="92" t="s">
        <v>33</v>
      </c>
      <c r="M4" s="81"/>
      <c r="N4" s="93">
        <f>LEN(M4)</f>
        <v>0</v>
      </c>
      <c r="Q4" s="138" t="s">
        <v>67</v>
      </c>
      <c r="R4" s="138"/>
      <c r="S4" s="138"/>
      <c r="T4" s="138"/>
      <c r="U4" s="139"/>
      <c r="V4" s="138"/>
      <c r="W4" s="176" t="s">
        <v>69</v>
      </c>
      <c r="X4" s="177"/>
      <c r="AN4" s="94">
        <f>IF($N4&lt;13,0,MID($M4,$N4-12,1))</f>
        <v>0</v>
      </c>
      <c r="AO4" s="94">
        <f>IF($N4&lt;12,0,MID($M4,$N4-11,1))</f>
        <v>0</v>
      </c>
      <c r="AP4" s="94">
        <f>IF($N4&lt;11,0,MID($M4,$N4-10,1))</f>
        <v>0</v>
      </c>
      <c r="AQ4" s="94">
        <f>IF($N4&lt;10,0,MID($M4,$N4-9,1))</f>
        <v>0</v>
      </c>
      <c r="AR4" s="94">
        <f>IF($N4&lt;9,0,MID($M4,$N4-8,1))</f>
        <v>0</v>
      </c>
      <c r="AS4" s="94">
        <f>IF($N4&lt;8,0,MID($M4,$N4-7,1))</f>
        <v>0</v>
      </c>
      <c r="AT4" s="94">
        <f>IF($N4&lt;7,0,MID($M4,$N4-6,1))</f>
        <v>0</v>
      </c>
      <c r="AU4" s="94">
        <f>IF($N4&lt;6,0,MID($M4,$N4-5,1))</f>
        <v>0</v>
      </c>
      <c r="AV4" s="94">
        <f>IF($N4&lt;5,0,MID($M4,$N4-4,1))</f>
        <v>0</v>
      </c>
      <c r="AW4" s="94">
        <f>IF($N4&lt;4,0,MID($M4,$N4-3,1))</f>
        <v>0</v>
      </c>
      <c r="AX4" s="94">
        <f>IF($N4&lt;3,0,MID($M4,$N4-2,1))</f>
        <v>0</v>
      </c>
      <c r="AY4" s="94">
        <f>IF($N4&lt;2,0,MID($M4,$N4-1,1))</f>
        <v>0</v>
      </c>
      <c r="AZ4" s="94">
        <f>IF($N4&lt;1,0,MID($M4,$N4,1))</f>
        <v>0</v>
      </c>
      <c r="BA4" s="93"/>
      <c r="BB4" s="93"/>
      <c r="BC4" s="93"/>
      <c r="BD4" s="93"/>
      <c r="BE4" s="93"/>
      <c r="BF4" s="93"/>
      <c r="BG4" s="93"/>
      <c r="BH4" s="93"/>
      <c r="BI4" s="93"/>
    </row>
    <row r="5" spans="1:61" ht="3.75" customHeight="1" thickBot="1">
      <c r="B5" s="183"/>
      <c r="C5" s="183"/>
      <c r="D5" s="95"/>
      <c r="E5" s="96"/>
      <c r="F5" s="86"/>
      <c r="G5" s="86"/>
      <c r="H5" s="86"/>
      <c r="I5" s="86"/>
      <c r="J5" s="86"/>
      <c r="N5" s="93"/>
      <c r="Q5" s="138"/>
      <c r="R5" s="138"/>
      <c r="S5" s="138"/>
      <c r="T5" s="138"/>
      <c r="U5" s="139" t="s">
        <v>68</v>
      </c>
      <c r="V5" s="138"/>
      <c r="W5" s="138"/>
      <c r="X5" s="138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</row>
    <row r="6" spans="1:61" ht="18" customHeight="1" thickBot="1">
      <c r="B6" s="181" t="s">
        <v>21</v>
      </c>
      <c r="C6" s="87" t="s">
        <v>22</v>
      </c>
      <c r="D6" s="188"/>
      <c r="E6" s="189"/>
      <c r="F6" s="87" t="s">
        <v>34</v>
      </c>
      <c r="G6" s="114"/>
      <c r="I6" s="86"/>
      <c r="J6" s="86"/>
      <c r="N6" s="93"/>
      <c r="Q6" s="138"/>
      <c r="R6" s="138"/>
      <c r="S6" s="138"/>
      <c r="T6" s="138"/>
      <c r="U6" s="142">
        <f>ROUNDDOWN(Q3*U3,0)</f>
        <v>0</v>
      </c>
      <c r="V6" s="138" t="s">
        <v>70</v>
      </c>
      <c r="W6" s="138"/>
      <c r="X6" s="138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</row>
    <row r="7" spans="1:61" ht="18" customHeight="1" thickBot="1">
      <c r="B7" s="182"/>
      <c r="C7" s="87" t="s">
        <v>18</v>
      </c>
      <c r="D7" s="188"/>
      <c r="E7" s="192"/>
      <c r="F7" s="192"/>
      <c r="G7" s="192"/>
      <c r="H7" s="192"/>
      <c r="I7" s="97"/>
      <c r="J7" s="98"/>
      <c r="N7" s="93">
        <f>LEN(G6)</f>
        <v>0</v>
      </c>
      <c r="Q7" s="138"/>
      <c r="R7" s="138"/>
      <c r="S7" s="138"/>
      <c r="T7" s="138"/>
      <c r="U7" s="138"/>
      <c r="V7" s="138"/>
      <c r="W7" s="138"/>
      <c r="X7" s="138"/>
      <c r="AN7" s="94">
        <f>IF($N7&lt;13,0,MID($G6,$N7-12,1))</f>
        <v>0</v>
      </c>
      <c r="AO7" s="94">
        <f>IF($N7&lt;12,0,MID($G6,$N7-11,1))</f>
        <v>0</v>
      </c>
      <c r="AP7" s="94">
        <f>IF($N7&lt;11,0,MID($G6,$N7-10,1))</f>
        <v>0</v>
      </c>
      <c r="AQ7" s="94">
        <f>IF($N7&lt;10,0,MID($G6,$N7-9,1))</f>
        <v>0</v>
      </c>
      <c r="AR7" s="94">
        <f>IF($N7&lt;9,0,MID($G6,$N7-8,1))</f>
        <v>0</v>
      </c>
      <c r="AS7" s="94">
        <f>IF($N7&lt;8,0,MID($G6,$N7-7,1))</f>
        <v>0</v>
      </c>
      <c r="AT7" s="94">
        <f>IF($N7&lt;7,0,MID($G6,$N7-6,1))</f>
        <v>0</v>
      </c>
      <c r="AU7" s="94">
        <f>IF($N7&lt;6,0,MID($G6,$N7-5,1))</f>
        <v>0</v>
      </c>
      <c r="AV7" s="94">
        <f>IF($N7&lt;5,0,MID($G6,$N7-4,1))</f>
        <v>0</v>
      </c>
      <c r="AW7" s="94">
        <f>IF($N7&lt;4,0,MID($G6,$N7-3,1))</f>
        <v>0</v>
      </c>
      <c r="AX7" s="94">
        <f>IF($N7&lt;3,0,MID($G6,$N7-2,1))</f>
        <v>0</v>
      </c>
      <c r="AY7" s="94">
        <f>IF($N7&lt;2,0,MID($G6,$N7-1,1))</f>
        <v>0</v>
      </c>
      <c r="AZ7" s="94">
        <f>IF($N7&lt;1,0,MID($G6,$N7,1))</f>
        <v>0</v>
      </c>
      <c r="BA7" s="93"/>
      <c r="BB7" s="93"/>
      <c r="BC7" s="93"/>
      <c r="BD7" s="93"/>
      <c r="BE7" s="93"/>
      <c r="BF7" s="93"/>
      <c r="BG7" s="93"/>
      <c r="BH7" s="93"/>
      <c r="BI7" s="93"/>
    </row>
    <row r="8" spans="1:61" ht="18" customHeight="1" thickBot="1">
      <c r="B8" s="87" t="s">
        <v>30</v>
      </c>
      <c r="C8" s="184" t="s">
        <v>31</v>
      </c>
      <c r="D8" s="185"/>
      <c r="E8" s="99" t="s">
        <v>23</v>
      </c>
      <c r="F8" s="99" t="s">
        <v>24</v>
      </c>
      <c r="G8" s="100" t="s">
        <v>25</v>
      </c>
      <c r="H8" s="100" t="s">
        <v>35</v>
      </c>
      <c r="I8" s="101"/>
      <c r="J8" s="101"/>
      <c r="L8" s="102" t="s">
        <v>61</v>
      </c>
      <c r="M8" s="101"/>
      <c r="N8" s="93"/>
      <c r="Q8" s="138"/>
      <c r="R8" s="138"/>
      <c r="S8" s="138"/>
      <c r="T8" s="138"/>
      <c r="U8" s="138"/>
      <c r="V8" s="138"/>
      <c r="W8" s="138"/>
      <c r="X8" s="138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</row>
    <row r="9" spans="1:61" ht="15.95" customHeight="1" thickBot="1">
      <c r="B9" s="115" t="s">
        <v>37</v>
      </c>
      <c r="C9" s="194" t="s">
        <v>41</v>
      </c>
      <c r="D9" s="195"/>
      <c r="E9" s="103">
        <f>SUM(E10:E21)</f>
        <v>0</v>
      </c>
      <c r="F9" s="104">
        <f>SUM(F10:F21)</f>
        <v>0</v>
      </c>
      <c r="G9" s="105">
        <f>SUM(G10:G21)</f>
        <v>0</v>
      </c>
      <c r="H9" s="82"/>
      <c r="I9" s="106">
        <f t="shared" ref="I9:K21" si="0">LEN(E9)</f>
        <v>1</v>
      </c>
      <c r="J9" s="106">
        <f t="shared" si="0"/>
        <v>1</v>
      </c>
      <c r="K9" s="106">
        <f t="shared" si="0"/>
        <v>1</v>
      </c>
      <c r="L9" s="190" t="s">
        <v>47</v>
      </c>
      <c r="M9" s="191"/>
      <c r="N9" s="93"/>
      <c r="Q9" s="145"/>
      <c r="R9" s="134" t="s">
        <v>71</v>
      </c>
      <c r="S9" s="135">
        <v>100</v>
      </c>
      <c r="T9" s="136" t="s">
        <v>72</v>
      </c>
      <c r="U9" s="140">
        <v>10.210000000000001</v>
      </c>
      <c r="V9" s="136" t="s">
        <v>73</v>
      </c>
      <c r="W9" s="144">
        <f>ROUNDDOWN(Q9/(1-0.1021),0)</f>
        <v>0</v>
      </c>
      <c r="X9" s="138"/>
      <c r="AN9" s="93"/>
      <c r="AO9" s="93"/>
      <c r="AP9" s="93"/>
      <c r="AQ9" s="93"/>
      <c r="AR9" s="93"/>
      <c r="AS9" s="93"/>
      <c r="AT9" s="94">
        <f t="shared" ref="AT9:AT21" si="1">IF($I9&lt;7,0,MID($E9,$I9-6,1))</f>
        <v>0</v>
      </c>
      <c r="AU9" s="94">
        <f t="shared" ref="AU9:AU21" si="2">IF($I9&lt;6,0,MID($E9,$I9-5,1))</f>
        <v>0</v>
      </c>
      <c r="AV9" s="94">
        <f t="shared" ref="AV9:AV21" si="3">IF($I9&lt;5,0,MID($E9,$I9-4,1))</f>
        <v>0</v>
      </c>
      <c r="AW9" s="94">
        <f t="shared" ref="AW9:AW21" si="4">IF($I9&lt;4,0,MID($E9,$I9-3,1))</f>
        <v>0</v>
      </c>
      <c r="AX9" s="94">
        <f t="shared" ref="AX9:AX21" si="5">IF($I9&lt;3,0,MID($E9,$I9-2,1))</f>
        <v>0</v>
      </c>
      <c r="AY9" s="94">
        <f t="shared" ref="AY9:AY21" si="6">IF($I9&lt;2,0,MID($E9,$I9-1,1))</f>
        <v>0</v>
      </c>
      <c r="AZ9" s="94" t="str">
        <f t="shared" ref="AZ9:AZ21" si="7">IF($I9&lt;1,0,MID($E9,$I9,1))</f>
        <v>0</v>
      </c>
      <c r="BA9" s="93"/>
      <c r="BB9" s="93"/>
      <c r="BC9" s="94">
        <f t="shared" ref="BC9:BC21" si="8">IF($J9&lt;7,0,MID($F9,$J9-6,1))</f>
        <v>0</v>
      </c>
      <c r="BD9" s="94">
        <f t="shared" ref="BD9:BD21" si="9">IF($J9&lt;6,0,MID($F9,$J9-5,1))</f>
        <v>0</v>
      </c>
      <c r="BE9" s="94">
        <f t="shared" ref="BE9:BE21" si="10">IF($J9&lt;5,0,MID($F9,$J9-4,1))</f>
        <v>0</v>
      </c>
      <c r="BF9" s="94">
        <f t="shared" ref="BF9:BF21" si="11">IF($J9&lt;4,0,MID($F9,$J9-3,1))</f>
        <v>0</v>
      </c>
      <c r="BG9" s="94">
        <f t="shared" ref="BG9:BG21" si="12">IF($J9&lt;3,0,MID($F9,$J9-2,1))</f>
        <v>0</v>
      </c>
      <c r="BH9" s="94">
        <f t="shared" ref="BH9:BH21" si="13">IF($J9&lt;2,0,MID($F9,$J9-1,1))</f>
        <v>0</v>
      </c>
      <c r="BI9" s="94" t="str">
        <f t="shared" ref="BI9:BI21" si="14">IF($J9&lt;1,0,MID($F9,$J9,1))</f>
        <v>0</v>
      </c>
    </row>
    <row r="10" spans="1:61" ht="15.95" customHeight="1" thickTop="1" thickBot="1">
      <c r="A10" s="83">
        <v>1</v>
      </c>
      <c r="B10" s="116" t="s">
        <v>37</v>
      </c>
      <c r="C10" s="119" t="s">
        <v>41</v>
      </c>
      <c r="D10" s="120" t="s">
        <v>58</v>
      </c>
      <c r="E10" s="107">
        <f t="shared" ref="E10" si="15">INT(G10/0.8979)</f>
        <v>0</v>
      </c>
      <c r="F10" s="108">
        <f t="shared" ref="F10" si="16">E10-G10</f>
        <v>0</v>
      </c>
      <c r="G10" s="125"/>
      <c r="H10" s="126"/>
      <c r="I10" s="106">
        <v>1</v>
      </c>
      <c r="J10" s="106">
        <f t="shared" si="0"/>
        <v>1</v>
      </c>
      <c r="K10" s="106">
        <f t="shared" si="0"/>
        <v>0</v>
      </c>
      <c r="L10" s="106"/>
      <c r="M10" s="101"/>
      <c r="N10" s="93"/>
      <c r="Q10" s="138" t="s">
        <v>69</v>
      </c>
      <c r="R10" s="138"/>
      <c r="S10" s="138"/>
      <c r="T10" s="174" t="s">
        <v>74</v>
      </c>
      <c r="U10" s="175"/>
      <c r="V10" s="175"/>
      <c r="W10" s="175"/>
      <c r="X10" s="138"/>
      <c r="AN10" s="93"/>
      <c r="AO10" s="93"/>
      <c r="AP10" s="93"/>
      <c r="AQ10" s="93"/>
      <c r="AR10" s="93"/>
      <c r="AS10" s="93"/>
      <c r="AT10" s="94">
        <f t="shared" si="1"/>
        <v>0</v>
      </c>
      <c r="AU10" s="94">
        <f t="shared" si="2"/>
        <v>0</v>
      </c>
      <c r="AV10" s="94">
        <f t="shared" si="3"/>
        <v>0</v>
      </c>
      <c r="AW10" s="94">
        <f t="shared" si="4"/>
        <v>0</v>
      </c>
      <c r="AX10" s="94">
        <f t="shared" si="5"/>
        <v>0</v>
      </c>
      <c r="AY10" s="94">
        <f t="shared" si="6"/>
        <v>0</v>
      </c>
      <c r="AZ10" s="94" t="str">
        <f t="shared" si="7"/>
        <v>0</v>
      </c>
      <c r="BA10" s="93"/>
      <c r="BB10" s="93"/>
      <c r="BC10" s="94">
        <f t="shared" si="8"/>
        <v>0</v>
      </c>
      <c r="BD10" s="94">
        <f t="shared" si="9"/>
        <v>0</v>
      </c>
      <c r="BE10" s="94">
        <f t="shared" si="10"/>
        <v>0</v>
      </c>
      <c r="BF10" s="94">
        <f t="shared" si="11"/>
        <v>0</v>
      </c>
      <c r="BG10" s="94">
        <f t="shared" si="12"/>
        <v>0</v>
      </c>
      <c r="BH10" s="94">
        <f t="shared" si="13"/>
        <v>0</v>
      </c>
      <c r="BI10" s="94" t="str">
        <f t="shared" si="14"/>
        <v>0</v>
      </c>
    </row>
    <row r="11" spans="1:61" ht="15.95" customHeight="1" thickTop="1">
      <c r="A11" s="83">
        <v>2</v>
      </c>
      <c r="B11" s="117" t="s">
        <v>37</v>
      </c>
      <c r="C11" s="121" t="s">
        <v>41</v>
      </c>
      <c r="D11" s="122" t="s">
        <v>50</v>
      </c>
      <c r="E11" s="109">
        <f t="shared" ref="E11:E21" si="17">INT(G11/0.8979)</f>
        <v>0</v>
      </c>
      <c r="F11" s="110">
        <f t="shared" ref="F11:F21" si="18">E11-G11</f>
        <v>0</v>
      </c>
      <c r="G11" s="127"/>
      <c r="H11" s="128"/>
      <c r="I11" s="106">
        <v>2</v>
      </c>
      <c r="J11" s="106">
        <f t="shared" si="0"/>
        <v>1</v>
      </c>
      <c r="K11" s="106">
        <f t="shared" si="0"/>
        <v>0</v>
      </c>
      <c r="L11" s="165" t="s">
        <v>62</v>
      </c>
      <c r="M11" s="166"/>
      <c r="N11" s="166"/>
      <c r="O11" s="167"/>
      <c r="Q11" s="138"/>
      <c r="R11" s="138"/>
      <c r="S11" s="138"/>
      <c r="T11" s="138"/>
      <c r="U11" s="139"/>
      <c r="V11" s="138"/>
      <c r="W11" s="138"/>
      <c r="X11" s="138"/>
      <c r="AN11" s="132"/>
      <c r="AO11" s="133"/>
      <c r="AP11" s="133"/>
      <c r="AQ11" s="93"/>
      <c r="AR11" s="93"/>
      <c r="AS11" s="93"/>
      <c r="AT11" s="94">
        <f t="shared" si="1"/>
        <v>0</v>
      </c>
      <c r="AU11" s="94">
        <f t="shared" si="2"/>
        <v>0</v>
      </c>
      <c r="AV11" s="94">
        <f t="shared" si="3"/>
        <v>0</v>
      </c>
      <c r="AW11" s="94">
        <f t="shared" si="4"/>
        <v>0</v>
      </c>
      <c r="AX11" s="94">
        <f t="shared" si="5"/>
        <v>0</v>
      </c>
      <c r="AY11" s="94" t="str">
        <f t="shared" si="6"/>
        <v>0</v>
      </c>
      <c r="AZ11" s="94" t="str">
        <f t="shared" si="7"/>
        <v/>
      </c>
      <c r="BA11" s="93"/>
      <c r="BB11" s="93"/>
      <c r="BC11" s="94">
        <f t="shared" si="8"/>
        <v>0</v>
      </c>
      <c r="BD11" s="94">
        <f t="shared" si="9"/>
        <v>0</v>
      </c>
      <c r="BE11" s="94">
        <f t="shared" si="10"/>
        <v>0</v>
      </c>
      <c r="BF11" s="94">
        <f t="shared" si="11"/>
        <v>0</v>
      </c>
      <c r="BG11" s="94">
        <f t="shared" si="12"/>
        <v>0</v>
      </c>
      <c r="BH11" s="94">
        <f t="shared" si="13"/>
        <v>0</v>
      </c>
      <c r="BI11" s="94" t="str">
        <f t="shared" si="14"/>
        <v>0</v>
      </c>
    </row>
    <row r="12" spans="1:61" ht="15.95" customHeight="1">
      <c r="A12" s="83">
        <v>3</v>
      </c>
      <c r="B12" s="117" t="s">
        <v>37</v>
      </c>
      <c r="C12" s="121" t="s">
        <v>41</v>
      </c>
      <c r="D12" s="122" t="s">
        <v>51</v>
      </c>
      <c r="E12" s="109">
        <f t="shared" si="17"/>
        <v>0</v>
      </c>
      <c r="F12" s="110">
        <f t="shared" si="18"/>
        <v>0</v>
      </c>
      <c r="G12" s="127"/>
      <c r="H12" s="128"/>
      <c r="I12" s="106">
        <v>3</v>
      </c>
      <c r="J12" s="106">
        <f t="shared" si="0"/>
        <v>1</v>
      </c>
      <c r="K12" s="106">
        <f t="shared" si="0"/>
        <v>0</v>
      </c>
      <c r="L12" s="168"/>
      <c r="M12" s="169"/>
      <c r="N12" s="169"/>
      <c r="O12" s="170"/>
      <c r="Q12" s="138"/>
      <c r="R12" s="138"/>
      <c r="S12" s="138"/>
      <c r="T12" s="138"/>
      <c r="U12" s="143">
        <f>W9-Q9</f>
        <v>0</v>
      </c>
      <c r="V12" s="138" t="s">
        <v>70</v>
      </c>
      <c r="W12" s="138"/>
      <c r="X12" s="138"/>
      <c r="AN12" s="132"/>
      <c r="AO12" s="133"/>
      <c r="AP12" s="133"/>
      <c r="AQ12" s="93"/>
      <c r="AR12" s="93"/>
      <c r="AS12" s="93"/>
      <c r="AT12" s="94">
        <f t="shared" si="1"/>
        <v>0</v>
      </c>
      <c r="AU12" s="94">
        <f t="shared" si="2"/>
        <v>0</v>
      </c>
      <c r="AV12" s="94">
        <f t="shared" si="3"/>
        <v>0</v>
      </c>
      <c r="AW12" s="94">
        <f t="shared" si="4"/>
        <v>0</v>
      </c>
      <c r="AX12" s="94" t="str">
        <f t="shared" si="5"/>
        <v>0</v>
      </c>
      <c r="AY12" s="94" t="str">
        <f t="shared" si="6"/>
        <v/>
      </c>
      <c r="AZ12" s="94" t="str">
        <f t="shared" si="7"/>
        <v/>
      </c>
      <c r="BA12" s="93"/>
      <c r="BB12" s="93"/>
      <c r="BC12" s="94">
        <f t="shared" si="8"/>
        <v>0</v>
      </c>
      <c r="BD12" s="94">
        <f t="shared" si="9"/>
        <v>0</v>
      </c>
      <c r="BE12" s="94">
        <f t="shared" si="10"/>
        <v>0</v>
      </c>
      <c r="BF12" s="94">
        <f t="shared" si="11"/>
        <v>0</v>
      </c>
      <c r="BG12" s="94">
        <f t="shared" si="12"/>
        <v>0</v>
      </c>
      <c r="BH12" s="94">
        <f t="shared" si="13"/>
        <v>0</v>
      </c>
      <c r="BI12" s="94" t="str">
        <f t="shared" si="14"/>
        <v>0</v>
      </c>
    </row>
    <row r="13" spans="1:61" ht="15.95" customHeight="1">
      <c r="A13" s="83">
        <v>4</v>
      </c>
      <c r="B13" s="117" t="s">
        <v>37</v>
      </c>
      <c r="C13" s="121" t="s">
        <v>41</v>
      </c>
      <c r="D13" s="122" t="s">
        <v>52</v>
      </c>
      <c r="E13" s="109">
        <f t="shared" si="17"/>
        <v>0</v>
      </c>
      <c r="F13" s="110">
        <f t="shared" si="18"/>
        <v>0</v>
      </c>
      <c r="G13" s="127"/>
      <c r="H13" s="128"/>
      <c r="I13" s="106">
        <v>4</v>
      </c>
      <c r="J13" s="106"/>
      <c r="K13" s="106"/>
      <c r="L13" s="168"/>
      <c r="M13" s="169"/>
      <c r="N13" s="169"/>
      <c r="O13" s="170"/>
      <c r="AN13" s="132"/>
      <c r="AO13" s="133"/>
      <c r="AP13" s="133"/>
      <c r="AQ13" s="93"/>
      <c r="AR13" s="93"/>
      <c r="AS13" s="93"/>
      <c r="AT13" s="94"/>
      <c r="AU13" s="94"/>
      <c r="AV13" s="94"/>
      <c r="AW13" s="94"/>
      <c r="AX13" s="94"/>
      <c r="AY13" s="94"/>
      <c r="AZ13" s="94"/>
      <c r="BA13" s="93"/>
      <c r="BB13" s="93"/>
      <c r="BC13" s="94"/>
      <c r="BD13" s="94"/>
      <c r="BE13" s="94"/>
      <c r="BF13" s="94"/>
      <c r="BG13" s="94"/>
      <c r="BH13" s="94"/>
      <c r="BI13" s="94"/>
    </row>
    <row r="14" spans="1:61" ht="15.95" customHeight="1">
      <c r="A14" s="83">
        <v>5</v>
      </c>
      <c r="B14" s="117" t="s">
        <v>37</v>
      </c>
      <c r="C14" s="121" t="s">
        <v>41</v>
      </c>
      <c r="D14" s="122" t="s">
        <v>42</v>
      </c>
      <c r="E14" s="109">
        <f t="shared" si="17"/>
        <v>0</v>
      </c>
      <c r="F14" s="110">
        <f t="shared" si="18"/>
        <v>0</v>
      </c>
      <c r="G14" s="127"/>
      <c r="H14" s="128"/>
      <c r="I14" s="106">
        <v>5</v>
      </c>
      <c r="J14" s="106"/>
      <c r="K14" s="106"/>
      <c r="L14" s="168"/>
      <c r="M14" s="169"/>
      <c r="N14" s="169"/>
      <c r="O14" s="170"/>
      <c r="AN14" s="132"/>
      <c r="AO14" s="133"/>
      <c r="AP14" s="133"/>
      <c r="AQ14" s="93"/>
      <c r="AR14" s="93"/>
      <c r="AS14" s="93"/>
      <c r="AT14" s="94"/>
      <c r="AU14" s="94"/>
      <c r="AV14" s="94"/>
      <c r="AW14" s="94"/>
      <c r="AX14" s="94"/>
      <c r="AY14" s="94"/>
      <c r="AZ14" s="94"/>
      <c r="BA14" s="93"/>
      <c r="BB14" s="93"/>
      <c r="BC14" s="94"/>
      <c r="BD14" s="94"/>
      <c r="BE14" s="94"/>
      <c r="BF14" s="94"/>
      <c r="BG14" s="94"/>
      <c r="BH14" s="94"/>
      <c r="BI14" s="94"/>
    </row>
    <row r="15" spans="1:61" ht="15.95" customHeight="1">
      <c r="A15" s="83">
        <v>6</v>
      </c>
      <c r="B15" s="117" t="s">
        <v>37</v>
      </c>
      <c r="C15" s="121" t="s">
        <v>41</v>
      </c>
      <c r="D15" s="122" t="s">
        <v>43</v>
      </c>
      <c r="E15" s="109">
        <f t="shared" si="17"/>
        <v>0</v>
      </c>
      <c r="F15" s="110">
        <f t="shared" si="18"/>
        <v>0</v>
      </c>
      <c r="G15" s="127"/>
      <c r="H15" s="128"/>
      <c r="I15" s="106">
        <v>6</v>
      </c>
      <c r="J15" s="106"/>
      <c r="K15" s="106"/>
      <c r="L15" s="168"/>
      <c r="M15" s="169"/>
      <c r="N15" s="169"/>
      <c r="O15" s="170"/>
      <c r="AN15" s="133"/>
      <c r="AO15" s="133"/>
      <c r="AP15" s="133"/>
      <c r="AQ15" s="93"/>
      <c r="AR15" s="93"/>
      <c r="AS15" s="93"/>
      <c r="AT15" s="94"/>
      <c r="AU15" s="94"/>
      <c r="AV15" s="94"/>
      <c r="AW15" s="94"/>
      <c r="AX15" s="94"/>
      <c r="AY15" s="94"/>
      <c r="AZ15" s="94"/>
      <c r="BA15" s="93"/>
      <c r="BB15" s="93"/>
      <c r="BC15" s="94"/>
      <c r="BD15" s="94"/>
      <c r="BE15" s="94"/>
      <c r="BF15" s="94"/>
      <c r="BG15" s="94"/>
      <c r="BH15" s="94"/>
      <c r="BI15" s="94"/>
    </row>
    <row r="16" spans="1:61" ht="15.95" customHeight="1">
      <c r="A16" s="83">
        <v>7</v>
      </c>
      <c r="B16" s="117" t="s">
        <v>37</v>
      </c>
      <c r="C16" s="121" t="s">
        <v>41</v>
      </c>
      <c r="D16" s="122" t="s">
        <v>44</v>
      </c>
      <c r="E16" s="109">
        <f t="shared" si="17"/>
        <v>0</v>
      </c>
      <c r="F16" s="110">
        <f t="shared" si="18"/>
        <v>0</v>
      </c>
      <c r="G16" s="127"/>
      <c r="H16" s="128"/>
      <c r="I16" s="106">
        <v>7</v>
      </c>
      <c r="J16" s="106"/>
      <c r="K16" s="106"/>
      <c r="L16" s="168"/>
      <c r="M16" s="169"/>
      <c r="N16" s="169"/>
      <c r="O16" s="170"/>
      <c r="AN16" s="133"/>
      <c r="AO16" s="133"/>
      <c r="AP16" s="133"/>
      <c r="AQ16" s="93"/>
      <c r="AR16" s="93"/>
      <c r="AS16" s="93"/>
      <c r="AT16" s="94"/>
      <c r="AU16" s="94"/>
      <c r="AV16" s="94"/>
      <c r="AW16" s="94"/>
      <c r="AX16" s="94"/>
      <c r="AY16" s="94"/>
      <c r="AZ16" s="94"/>
      <c r="BA16" s="93"/>
      <c r="BB16" s="93"/>
      <c r="BC16" s="94"/>
      <c r="BD16" s="94"/>
      <c r="BE16" s="94"/>
      <c r="BF16" s="94"/>
      <c r="BG16" s="94"/>
      <c r="BH16" s="94"/>
      <c r="BI16" s="94"/>
    </row>
    <row r="17" spans="1:61" ht="15.95" customHeight="1" thickBot="1">
      <c r="A17" s="83">
        <v>8</v>
      </c>
      <c r="B17" s="117" t="s">
        <v>37</v>
      </c>
      <c r="C17" s="121" t="s">
        <v>41</v>
      </c>
      <c r="D17" s="122" t="s">
        <v>45</v>
      </c>
      <c r="E17" s="109">
        <f t="shared" si="17"/>
        <v>0</v>
      </c>
      <c r="F17" s="110">
        <f t="shared" si="18"/>
        <v>0</v>
      </c>
      <c r="G17" s="127"/>
      <c r="H17" s="128"/>
      <c r="I17" s="106">
        <v>8</v>
      </c>
      <c r="J17" s="106"/>
      <c r="K17" s="106"/>
      <c r="L17" s="171"/>
      <c r="M17" s="172"/>
      <c r="N17" s="172"/>
      <c r="O17" s="173"/>
      <c r="AN17" s="93"/>
      <c r="AO17" s="93"/>
      <c r="AP17" s="93"/>
      <c r="AQ17" s="93"/>
      <c r="AR17" s="93"/>
      <c r="AS17" s="93"/>
      <c r="AT17" s="94"/>
      <c r="AU17" s="94"/>
      <c r="AV17" s="94"/>
      <c r="AW17" s="94"/>
      <c r="AX17" s="94"/>
      <c r="AY17" s="94"/>
      <c r="AZ17" s="94"/>
      <c r="BA17" s="93"/>
      <c r="BB17" s="93"/>
      <c r="BC17" s="94"/>
      <c r="BD17" s="94"/>
      <c r="BE17" s="94"/>
      <c r="BF17" s="94"/>
      <c r="BG17" s="94"/>
      <c r="BH17" s="94"/>
      <c r="BI17" s="94"/>
    </row>
    <row r="18" spans="1:61" ht="15.95" customHeight="1" thickTop="1">
      <c r="A18" s="83">
        <v>9</v>
      </c>
      <c r="B18" s="117" t="s">
        <v>37</v>
      </c>
      <c r="C18" s="121" t="s">
        <v>41</v>
      </c>
      <c r="D18" s="122" t="s">
        <v>46</v>
      </c>
      <c r="E18" s="109">
        <f t="shared" si="17"/>
        <v>0</v>
      </c>
      <c r="F18" s="110">
        <f t="shared" si="18"/>
        <v>0</v>
      </c>
      <c r="G18" s="127"/>
      <c r="H18" s="128"/>
      <c r="I18" s="106">
        <v>9</v>
      </c>
      <c r="J18" s="106"/>
      <c r="K18" s="106"/>
      <c r="L18" s="106"/>
      <c r="M18" s="101"/>
      <c r="N18" s="93"/>
      <c r="AN18" s="93"/>
      <c r="AO18" s="93"/>
      <c r="AP18" s="93"/>
      <c r="AQ18" s="93"/>
      <c r="AR18" s="93"/>
      <c r="AS18" s="93"/>
      <c r="AT18" s="94"/>
      <c r="AU18" s="94"/>
      <c r="AV18" s="94"/>
      <c r="AW18" s="94"/>
      <c r="AX18" s="94"/>
      <c r="AY18" s="94"/>
      <c r="AZ18" s="94"/>
      <c r="BA18" s="93"/>
      <c r="BB18" s="93"/>
      <c r="BC18" s="94"/>
      <c r="BD18" s="94"/>
      <c r="BE18" s="94"/>
      <c r="BF18" s="94"/>
      <c r="BG18" s="94"/>
      <c r="BH18" s="94"/>
      <c r="BI18" s="94"/>
    </row>
    <row r="19" spans="1:61" ht="15.95" customHeight="1">
      <c r="A19" s="83">
        <v>10</v>
      </c>
      <c r="B19" s="117" t="s">
        <v>37</v>
      </c>
      <c r="C19" s="121" t="s">
        <v>41</v>
      </c>
      <c r="D19" s="122" t="s">
        <v>47</v>
      </c>
      <c r="E19" s="109">
        <f t="shared" si="17"/>
        <v>0</v>
      </c>
      <c r="F19" s="110">
        <f t="shared" si="18"/>
        <v>0</v>
      </c>
      <c r="G19" s="127"/>
      <c r="H19" s="128"/>
      <c r="I19" s="106">
        <v>10</v>
      </c>
      <c r="J19" s="106"/>
      <c r="K19" s="106"/>
      <c r="L19" s="106"/>
      <c r="M19" s="101"/>
      <c r="N19" s="93"/>
      <c r="AN19" s="93"/>
      <c r="AO19" s="93"/>
      <c r="AP19" s="93"/>
      <c r="AQ19" s="93"/>
      <c r="AR19" s="93"/>
      <c r="AS19" s="93"/>
      <c r="AT19" s="94"/>
      <c r="AU19" s="94"/>
      <c r="AV19" s="94"/>
      <c r="AW19" s="94"/>
      <c r="AX19" s="94"/>
      <c r="AY19" s="94"/>
      <c r="AZ19" s="94"/>
      <c r="BA19" s="93"/>
      <c r="BB19" s="93"/>
      <c r="BC19" s="94"/>
      <c r="BD19" s="94"/>
      <c r="BE19" s="94"/>
      <c r="BF19" s="94"/>
      <c r="BG19" s="94"/>
      <c r="BH19" s="94"/>
      <c r="BI19" s="94"/>
    </row>
    <row r="20" spans="1:61" ht="15.95" customHeight="1">
      <c r="A20" s="83">
        <v>11</v>
      </c>
      <c r="B20" s="117" t="s">
        <v>37</v>
      </c>
      <c r="C20" s="121" t="s">
        <v>41</v>
      </c>
      <c r="D20" s="122" t="s">
        <v>48</v>
      </c>
      <c r="E20" s="109">
        <f t="shared" si="17"/>
        <v>0</v>
      </c>
      <c r="F20" s="110">
        <f t="shared" si="18"/>
        <v>0</v>
      </c>
      <c r="G20" s="127"/>
      <c r="H20" s="128"/>
      <c r="I20" s="106">
        <v>11</v>
      </c>
      <c r="J20" s="106">
        <f t="shared" si="0"/>
        <v>1</v>
      </c>
      <c r="K20" s="106">
        <f t="shared" si="0"/>
        <v>0</v>
      </c>
      <c r="L20" s="106"/>
      <c r="M20" s="101"/>
      <c r="N20" s="93"/>
      <c r="AN20" s="93"/>
      <c r="AO20" s="93"/>
      <c r="AP20" s="93"/>
      <c r="AQ20" s="93"/>
      <c r="AR20" s="93"/>
      <c r="AS20" s="93"/>
      <c r="AT20" s="94" t="str">
        <f t="shared" si="1"/>
        <v/>
      </c>
      <c r="AU20" s="94" t="str">
        <f t="shared" si="2"/>
        <v/>
      </c>
      <c r="AV20" s="94" t="str">
        <f t="shared" si="3"/>
        <v/>
      </c>
      <c r="AW20" s="94" t="str">
        <f t="shared" si="4"/>
        <v/>
      </c>
      <c r="AX20" s="94" t="str">
        <f t="shared" si="5"/>
        <v/>
      </c>
      <c r="AY20" s="94" t="str">
        <f t="shared" si="6"/>
        <v/>
      </c>
      <c r="AZ20" s="94" t="str">
        <f t="shared" si="7"/>
        <v/>
      </c>
      <c r="BA20" s="93"/>
      <c r="BB20" s="93"/>
      <c r="BC20" s="94">
        <f t="shared" si="8"/>
        <v>0</v>
      </c>
      <c r="BD20" s="94">
        <f t="shared" si="9"/>
        <v>0</v>
      </c>
      <c r="BE20" s="94">
        <f t="shared" si="10"/>
        <v>0</v>
      </c>
      <c r="BF20" s="94">
        <f t="shared" si="11"/>
        <v>0</v>
      </c>
      <c r="BG20" s="94">
        <f t="shared" si="12"/>
        <v>0</v>
      </c>
      <c r="BH20" s="94">
        <f t="shared" si="13"/>
        <v>0</v>
      </c>
      <c r="BI20" s="94" t="str">
        <f t="shared" si="14"/>
        <v>0</v>
      </c>
    </row>
    <row r="21" spans="1:61" ht="15.95" customHeight="1" thickBot="1">
      <c r="A21" s="83">
        <v>12</v>
      </c>
      <c r="B21" s="118" t="s">
        <v>37</v>
      </c>
      <c r="C21" s="123" t="s">
        <v>41</v>
      </c>
      <c r="D21" s="124" t="s">
        <v>49</v>
      </c>
      <c r="E21" s="111">
        <f t="shared" si="17"/>
        <v>0</v>
      </c>
      <c r="F21" s="112">
        <f t="shared" si="18"/>
        <v>0</v>
      </c>
      <c r="G21" s="129"/>
      <c r="H21" s="130"/>
      <c r="I21" s="106">
        <v>12</v>
      </c>
      <c r="J21" s="106">
        <f t="shared" si="0"/>
        <v>1</v>
      </c>
      <c r="K21" s="106">
        <f t="shared" si="0"/>
        <v>0</v>
      </c>
      <c r="L21" s="106"/>
      <c r="M21" s="101"/>
      <c r="N21" s="93"/>
      <c r="AN21" s="93"/>
      <c r="AO21" s="93"/>
      <c r="AP21" s="93"/>
      <c r="AQ21" s="93"/>
      <c r="AR21" s="93"/>
      <c r="AS21" s="93"/>
      <c r="AT21" s="94" t="str">
        <f t="shared" si="1"/>
        <v/>
      </c>
      <c r="AU21" s="94" t="str">
        <f t="shared" si="2"/>
        <v/>
      </c>
      <c r="AV21" s="94" t="str">
        <f t="shared" si="3"/>
        <v/>
      </c>
      <c r="AW21" s="94" t="str">
        <f t="shared" si="4"/>
        <v/>
      </c>
      <c r="AX21" s="94" t="str">
        <f t="shared" si="5"/>
        <v/>
      </c>
      <c r="AY21" s="94" t="str">
        <f t="shared" si="6"/>
        <v/>
      </c>
      <c r="AZ21" s="94" t="str">
        <f t="shared" si="7"/>
        <v/>
      </c>
      <c r="BA21" s="93"/>
      <c r="BB21" s="93"/>
      <c r="BC21" s="94">
        <f t="shared" si="8"/>
        <v>0</v>
      </c>
      <c r="BD21" s="94">
        <f t="shared" si="9"/>
        <v>0</v>
      </c>
      <c r="BE21" s="94">
        <f t="shared" si="10"/>
        <v>0</v>
      </c>
      <c r="BF21" s="94">
        <f t="shared" si="11"/>
        <v>0</v>
      </c>
      <c r="BG21" s="94">
        <f t="shared" si="12"/>
        <v>0</v>
      </c>
      <c r="BH21" s="94">
        <f t="shared" si="13"/>
        <v>0</v>
      </c>
      <c r="BI21" s="94" t="str">
        <f t="shared" si="14"/>
        <v>0</v>
      </c>
    </row>
    <row r="22" spans="1:61">
      <c r="N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</row>
    <row r="23" spans="1:61">
      <c r="N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</row>
  </sheetData>
  <sheetProtection sheet="1" objects="1" scenarios="1"/>
  <mergeCells count="13">
    <mergeCell ref="L11:O17"/>
    <mergeCell ref="T10:W10"/>
    <mergeCell ref="W4:X4"/>
    <mergeCell ref="B2:B4"/>
    <mergeCell ref="B6:B7"/>
    <mergeCell ref="B5:C5"/>
    <mergeCell ref="C8:D8"/>
    <mergeCell ref="D2:H2"/>
    <mergeCell ref="D6:E6"/>
    <mergeCell ref="L9:M9"/>
    <mergeCell ref="D7:H7"/>
    <mergeCell ref="D3:H3"/>
    <mergeCell ref="C9:D9"/>
  </mergeCells>
  <phoneticPr fontId="2"/>
  <dataValidations count="1">
    <dataValidation type="list" allowBlank="1" showInputMessage="1" showErrorMessage="1" sqref="L9:M9">
      <formula1>$D$10:$D$21</formula1>
    </dataValidation>
  </dataValidation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R14"/>
  <sheetViews>
    <sheetView workbookViewId="0">
      <selection activeCell="H12" sqref="H12"/>
    </sheetView>
  </sheetViews>
  <sheetFormatPr defaultRowHeight="13.5"/>
  <cols>
    <col min="1" max="1" width="2.125" customWidth="1"/>
    <col min="2" max="2" width="13.25" customWidth="1"/>
    <col min="3" max="3" width="16.125" customWidth="1"/>
    <col min="4" max="4" width="5.75" customWidth="1"/>
    <col min="5" max="5" width="10.75" customWidth="1"/>
    <col min="7" max="7" width="6" customWidth="1"/>
    <col min="8" max="8" width="22.375" customWidth="1"/>
    <col min="9" max="9" width="9.625" customWidth="1"/>
    <col min="10" max="10" width="1.375" customWidth="1"/>
    <col min="12" max="12" width="12" customWidth="1"/>
  </cols>
  <sheetData>
    <row r="1" spans="1:18" ht="20.25" customHeight="1">
      <c r="A1" s="26"/>
      <c r="B1" s="26"/>
      <c r="C1" s="26"/>
      <c r="D1" s="26"/>
      <c r="E1" s="26"/>
      <c r="F1" s="26"/>
      <c r="G1" s="26"/>
      <c r="H1" s="26"/>
      <c r="I1" s="26"/>
      <c r="J1" s="26"/>
      <c r="L1" s="26" t="str">
        <f>基本!L9</f>
        <v>９月分報酬</v>
      </c>
      <c r="M1">
        <f>VLOOKUP(L1,基本!D10:K21,6,FALSE)</f>
        <v>10</v>
      </c>
      <c r="N1">
        <f>M1+9</f>
        <v>19</v>
      </c>
      <c r="O1" t="s">
        <v>53</v>
      </c>
      <c r="P1" t="s">
        <v>54</v>
      </c>
      <c r="Q1" t="s">
        <v>55</v>
      </c>
      <c r="R1" t="s">
        <v>59</v>
      </c>
    </row>
    <row r="2" spans="1:18" ht="38.25" customHeight="1">
      <c r="A2" s="202" t="s">
        <v>26</v>
      </c>
      <c r="B2" s="169"/>
      <c r="C2" s="169"/>
      <c r="D2" s="169"/>
      <c r="E2" s="169"/>
      <c r="F2" s="169"/>
      <c r="G2" s="169"/>
      <c r="H2" s="169"/>
      <c r="I2" s="169"/>
      <c r="J2" s="26"/>
    </row>
    <row r="3" spans="1:18" ht="29.25" customHeight="1">
      <c r="A3" s="26"/>
      <c r="B3" s="26"/>
      <c r="C3" s="36"/>
      <c r="D3" s="40"/>
      <c r="E3" s="37"/>
      <c r="F3" s="36"/>
      <c r="G3" s="41"/>
      <c r="H3" s="206">
        <f ca="1">INDIRECT("基本!"&amp;$Q$1&amp;$N1)</f>
        <v>0</v>
      </c>
      <c r="I3" s="207"/>
      <c r="J3" s="26"/>
    </row>
    <row r="4" spans="1:18" ht="46.5" customHeight="1">
      <c r="A4" s="26"/>
      <c r="B4" s="208" t="str">
        <f>基本!D2&amp;"　様"</f>
        <v>　様</v>
      </c>
      <c r="C4" s="209"/>
      <c r="D4" s="209"/>
      <c r="E4" s="209"/>
      <c r="F4" s="209"/>
      <c r="G4" s="209"/>
      <c r="H4" s="210"/>
      <c r="I4" s="210"/>
      <c r="J4" s="26"/>
    </row>
    <row r="5" spans="1:18" ht="39.75" customHeight="1">
      <c r="A5" s="26"/>
      <c r="B5" s="26"/>
      <c r="C5" s="44"/>
      <c r="D5" s="50" t="s">
        <v>28</v>
      </c>
      <c r="E5" s="204">
        <f ca="1">INDIRECT("基本!"&amp;$O$1&amp;$N1)</f>
        <v>0</v>
      </c>
      <c r="F5" s="205"/>
      <c r="G5" s="51" t="s">
        <v>27</v>
      </c>
      <c r="H5" s="45"/>
      <c r="I5" s="45"/>
      <c r="J5" s="26"/>
    </row>
    <row r="6" spans="1:18" ht="11.25" customHeight="1">
      <c r="A6" s="26"/>
      <c r="B6" s="26"/>
      <c r="C6" s="44"/>
      <c r="D6" s="46"/>
      <c r="E6" s="44"/>
      <c r="F6" s="43"/>
      <c r="G6" s="47"/>
      <c r="H6" s="45"/>
      <c r="I6" s="45"/>
      <c r="J6" s="26"/>
    </row>
    <row r="7" spans="1:18" ht="19.5" customHeight="1">
      <c r="A7" s="26"/>
      <c r="B7" s="26"/>
      <c r="C7" s="49" t="str">
        <f ca="1">"　但し、"&amp;INDIRECT("基本!"&amp;$R$1&amp;$N1)&amp;"講師謝礼金として"</f>
        <v>　但し、９月分報酬講師謝礼金として</v>
      </c>
      <c r="D7" s="34"/>
      <c r="E7" s="35"/>
      <c r="F7" s="35"/>
      <c r="G7" s="35"/>
      <c r="H7" s="35"/>
      <c r="I7" s="35"/>
      <c r="J7" s="26"/>
    </row>
    <row r="8" spans="1:18" ht="21.75" customHeight="1">
      <c r="A8" s="26"/>
      <c r="B8" s="26"/>
      <c r="C8" s="200" t="str">
        <f ca="1">"(上記の金額に源泉徴収税　"&amp;INDIRECT("基本!"&amp;$P$1&amp;$N1)&amp;"円を含む）"</f>
        <v>(上記の金額に源泉徴収税　0円を含む）</v>
      </c>
      <c r="D8" s="201"/>
      <c r="E8" s="201"/>
      <c r="F8" s="201"/>
      <c r="G8" s="201"/>
      <c r="H8" s="201"/>
      <c r="I8" s="42"/>
      <c r="J8" s="26"/>
    </row>
    <row r="9" spans="1:18" ht="15.75" customHeight="1">
      <c r="A9" s="26"/>
      <c r="B9" s="26"/>
      <c r="C9" s="211"/>
      <c r="D9" s="212"/>
      <c r="E9" s="212"/>
      <c r="F9" s="212"/>
      <c r="G9" s="213"/>
      <c r="H9" s="213"/>
      <c r="I9" s="213"/>
      <c r="J9" s="26"/>
    </row>
    <row r="10" spans="1:18" ht="18" customHeight="1">
      <c r="A10" s="26"/>
      <c r="B10" s="196" t="s">
        <v>18</v>
      </c>
      <c r="C10" s="196"/>
      <c r="D10" s="197">
        <f>基本!D7</f>
        <v>0</v>
      </c>
      <c r="E10" s="198"/>
      <c r="F10" s="199"/>
      <c r="G10" s="199"/>
      <c r="H10" s="199"/>
      <c r="I10" s="199"/>
      <c r="J10" s="26"/>
    </row>
    <row r="11" spans="1:18" ht="8.25" customHeight="1">
      <c r="A11" s="26"/>
      <c r="B11" s="26"/>
      <c r="C11" s="36"/>
      <c r="D11" s="37"/>
      <c r="E11" s="37"/>
      <c r="F11" s="38"/>
      <c r="G11" s="39"/>
      <c r="H11" s="203"/>
      <c r="I11" s="203"/>
      <c r="J11" s="26"/>
    </row>
    <row r="12" spans="1:18" ht="17.25" customHeight="1">
      <c r="A12" s="26"/>
      <c r="B12" s="196" t="s">
        <v>22</v>
      </c>
      <c r="C12" s="196"/>
      <c r="D12" s="214">
        <f>基本!D6</f>
        <v>0</v>
      </c>
      <c r="E12" s="215"/>
      <c r="F12" s="215"/>
      <c r="G12" s="79" t="s">
        <v>29</v>
      </c>
      <c r="H12" s="78"/>
      <c r="I12" s="48"/>
      <c r="J12" s="26"/>
    </row>
    <row r="13" spans="1:18">
      <c r="A13" s="26"/>
      <c r="B13" s="26"/>
      <c r="C13" s="37"/>
      <c r="D13" s="37"/>
      <c r="E13" s="37"/>
      <c r="F13" s="37"/>
      <c r="G13" s="37"/>
      <c r="H13" s="37"/>
      <c r="I13" s="37"/>
      <c r="J13" s="26"/>
    </row>
    <row r="14" spans="1:18">
      <c r="C14" s="33"/>
      <c r="D14" s="33"/>
      <c r="E14" s="33"/>
      <c r="F14" s="33"/>
      <c r="G14" s="33"/>
      <c r="H14" s="33"/>
      <c r="I14" s="33"/>
    </row>
  </sheetData>
  <sheetProtection sheet="1" objects="1" scenarios="1"/>
  <mergeCells count="13">
    <mergeCell ref="B12:C12"/>
    <mergeCell ref="D10:I10"/>
    <mergeCell ref="C8:H8"/>
    <mergeCell ref="A2:I2"/>
    <mergeCell ref="H11:I11"/>
    <mergeCell ref="E5:F5"/>
    <mergeCell ref="H3:I3"/>
    <mergeCell ref="B4:G4"/>
    <mergeCell ref="B10:C10"/>
    <mergeCell ref="H4:I4"/>
    <mergeCell ref="C9:F9"/>
    <mergeCell ref="G9:I9"/>
    <mergeCell ref="D12:F12"/>
  </mergeCells>
  <phoneticPr fontId="2"/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S14"/>
  <sheetViews>
    <sheetView workbookViewId="0">
      <selection activeCell="H12" sqref="H12"/>
    </sheetView>
  </sheetViews>
  <sheetFormatPr defaultRowHeight="13.5"/>
  <cols>
    <col min="1" max="1" width="2.125" customWidth="1"/>
    <col min="2" max="2" width="13.25" customWidth="1"/>
    <col min="3" max="3" width="16.125" customWidth="1"/>
    <col min="4" max="4" width="5.75" customWidth="1"/>
    <col min="5" max="5" width="10.75" customWidth="1"/>
    <col min="7" max="7" width="6" customWidth="1"/>
    <col min="8" max="8" width="22.375" customWidth="1"/>
    <col min="9" max="9" width="9.625" customWidth="1"/>
    <col min="10" max="10" width="1.375" customWidth="1"/>
    <col min="12" max="12" width="11.625" customWidth="1"/>
  </cols>
  <sheetData>
    <row r="1" spans="1:19" ht="20.25" customHeight="1" thickBot="1">
      <c r="A1" s="26"/>
      <c r="B1" s="26"/>
      <c r="C1" s="26"/>
      <c r="D1" s="26"/>
      <c r="E1" s="26"/>
      <c r="F1" s="26"/>
      <c r="G1" s="26"/>
      <c r="H1" s="26"/>
      <c r="I1" s="26"/>
      <c r="J1" s="26"/>
      <c r="L1" s="80" t="str">
        <f>基本!L9</f>
        <v>９月分報酬</v>
      </c>
      <c r="M1">
        <f>VLOOKUP(L1,基本!D10:K21,6,FALSE)</f>
        <v>10</v>
      </c>
      <c r="N1">
        <f>M1+9</f>
        <v>19</v>
      </c>
      <c r="O1" t="s">
        <v>53</v>
      </c>
      <c r="P1" t="s">
        <v>54</v>
      </c>
      <c r="Q1" t="s">
        <v>55</v>
      </c>
      <c r="R1" t="s">
        <v>59</v>
      </c>
      <c r="S1" t="s">
        <v>60</v>
      </c>
    </row>
    <row r="2" spans="1:19" ht="38.25" customHeight="1">
      <c r="A2" s="202" t="s">
        <v>26</v>
      </c>
      <c r="B2" s="169"/>
      <c r="C2" s="169"/>
      <c r="D2" s="169"/>
      <c r="E2" s="169"/>
      <c r="F2" s="169"/>
      <c r="G2" s="169"/>
      <c r="H2" s="169"/>
      <c r="I2" s="169"/>
      <c r="J2" s="26"/>
    </row>
    <row r="3" spans="1:19" ht="29.25" customHeight="1">
      <c r="A3" s="26"/>
      <c r="B3" s="26"/>
      <c r="C3" s="36"/>
      <c r="D3" s="40"/>
      <c r="E3" s="37"/>
      <c r="F3" s="36"/>
      <c r="G3" s="41"/>
      <c r="H3" s="206">
        <f ca="1">INDIRECT("基本!"&amp;$Q$1&amp;$N1)</f>
        <v>0</v>
      </c>
      <c r="I3" s="207"/>
      <c r="J3" s="26"/>
    </row>
    <row r="4" spans="1:19" ht="46.5" customHeight="1">
      <c r="A4" s="26"/>
      <c r="B4" s="208" t="str">
        <f>基本!D2&amp;"　様"</f>
        <v>　様</v>
      </c>
      <c r="C4" s="209"/>
      <c r="D4" s="209"/>
      <c r="E4" s="209"/>
      <c r="F4" s="209"/>
      <c r="G4" s="209"/>
      <c r="H4" s="210"/>
      <c r="I4" s="210"/>
      <c r="J4" s="26"/>
    </row>
    <row r="5" spans="1:19" ht="39.75" customHeight="1">
      <c r="A5" s="26"/>
      <c r="B5" s="26"/>
      <c r="C5" s="44"/>
      <c r="D5" s="50" t="s">
        <v>28</v>
      </c>
      <c r="E5" s="204">
        <f ca="1">INDIRECT("基本!"&amp;$S$1&amp;$N1)</f>
        <v>0</v>
      </c>
      <c r="F5" s="205"/>
      <c r="G5" s="51" t="s">
        <v>27</v>
      </c>
      <c r="H5" s="45"/>
      <c r="I5" s="45"/>
      <c r="J5" s="26"/>
    </row>
    <row r="6" spans="1:19" ht="11.25" customHeight="1">
      <c r="A6" s="26"/>
      <c r="B6" s="26"/>
      <c r="C6" s="44"/>
      <c r="D6" s="46"/>
      <c r="E6" s="44"/>
      <c r="F6" s="43"/>
      <c r="G6" s="47"/>
      <c r="H6" s="45"/>
      <c r="I6" s="45"/>
      <c r="J6" s="26"/>
    </row>
    <row r="7" spans="1:19" ht="19.5" customHeight="1">
      <c r="A7" s="26"/>
      <c r="B7" s="26"/>
      <c r="C7" s="49" t="str">
        <f ca="1">"　但し、"&amp;INDIRECT("基本!"&amp;$R$1&amp;$N1)&amp;"講師謝礼金として"</f>
        <v>　但し、９月分報酬講師謝礼金として</v>
      </c>
      <c r="D7" s="34"/>
      <c r="E7" s="35"/>
      <c r="F7" s="35"/>
      <c r="G7" s="35"/>
      <c r="H7" s="35"/>
      <c r="I7" s="35"/>
      <c r="J7" s="26"/>
    </row>
    <row r="8" spans="1:19" ht="21.75" customHeight="1">
      <c r="A8" s="26"/>
      <c r="B8" s="26"/>
      <c r="C8" s="200" t="str">
        <f ca="1">"(上記の金額は源泉徴収税　"&amp;INDIRECT("基本!"&amp;$P$1&amp;$N1)&amp;"円を控除後）"</f>
        <v>(上記の金額は源泉徴収税　0円を控除後）</v>
      </c>
      <c r="D8" s="201"/>
      <c r="E8" s="201"/>
      <c r="F8" s="201"/>
      <c r="G8" s="201"/>
      <c r="H8" s="201"/>
      <c r="I8" s="42"/>
      <c r="J8" s="26"/>
    </row>
    <row r="9" spans="1:19" ht="15.75" customHeight="1">
      <c r="A9" s="26"/>
      <c r="B9" s="26"/>
      <c r="C9" s="211"/>
      <c r="D9" s="212"/>
      <c r="E9" s="212"/>
      <c r="F9" s="212"/>
      <c r="G9" s="213"/>
      <c r="H9" s="213"/>
      <c r="I9" s="213"/>
      <c r="J9" s="26"/>
    </row>
    <row r="10" spans="1:19" ht="18" customHeight="1">
      <c r="A10" s="26"/>
      <c r="B10" s="196" t="s">
        <v>18</v>
      </c>
      <c r="C10" s="196"/>
      <c r="D10" s="197">
        <f>基本!D7</f>
        <v>0</v>
      </c>
      <c r="E10" s="198"/>
      <c r="F10" s="199"/>
      <c r="G10" s="199"/>
      <c r="H10" s="199"/>
      <c r="I10" s="199"/>
      <c r="J10" s="26"/>
    </row>
    <row r="11" spans="1:19" ht="8.25" customHeight="1">
      <c r="A11" s="26"/>
      <c r="B11" s="26"/>
      <c r="C11" s="36"/>
      <c r="D11" s="37"/>
      <c r="E11" s="37"/>
      <c r="F11" s="38"/>
      <c r="G11" s="39"/>
      <c r="H11" s="203"/>
      <c r="I11" s="203"/>
      <c r="J11" s="26"/>
    </row>
    <row r="12" spans="1:19" ht="17.25" customHeight="1">
      <c r="A12" s="26"/>
      <c r="B12" s="196" t="s">
        <v>22</v>
      </c>
      <c r="C12" s="196"/>
      <c r="D12" s="214">
        <f>基本!D6</f>
        <v>0</v>
      </c>
      <c r="E12" s="215"/>
      <c r="F12" s="215"/>
      <c r="G12" s="79" t="s">
        <v>29</v>
      </c>
      <c r="H12" s="78"/>
      <c r="I12" s="48"/>
      <c r="J12" s="26"/>
    </row>
    <row r="13" spans="1:19">
      <c r="A13" s="26"/>
      <c r="B13" s="26"/>
      <c r="C13" s="37"/>
      <c r="D13" s="37"/>
      <c r="E13" s="37"/>
      <c r="F13" s="37"/>
      <c r="G13" s="37"/>
      <c r="H13" s="37"/>
      <c r="I13" s="37"/>
      <c r="J13" s="26"/>
    </row>
    <row r="14" spans="1:19">
      <c r="C14" s="33"/>
      <c r="D14" s="33"/>
      <c r="E14" s="33"/>
      <c r="F14" s="33"/>
      <c r="G14" s="33"/>
      <c r="H14" s="33"/>
      <c r="I14" s="33"/>
    </row>
  </sheetData>
  <sheetProtection sheet="1" objects="1" scenarios="1"/>
  <mergeCells count="13">
    <mergeCell ref="C8:H8"/>
    <mergeCell ref="B12:C12"/>
    <mergeCell ref="C9:F9"/>
    <mergeCell ref="G9:I9"/>
    <mergeCell ref="B10:C10"/>
    <mergeCell ref="H11:I11"/>
    <mergeCell ref="D10:I10"/>
    <mergeCell ref="D12:F12"/>
    <mergeCell ref="A2:I2"/>
    <mergeCell ref="H3:I3"/>
    <mergeCell ref="B4:G4"/>
    <mergeCell ref="H4:I4"/>
    <mergeCell ref="E5:F5"/>
  </mergeCells>
  <phoneticPr fontId="2"/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P38"/>
  <sheetViews>
    <sheetView zoomScale="95" zoomScaleNormal="95" workbookViewId="0">
      <selection activeCell="H3" sqref="H3:AG3"/>
    </sheetView>
  </sheetViews>
  <sheetFormatPr defaultColWidth="2.625" defaultRowHeight="13.5"/>
  <cols>
    <col min="1" max="1" width="0.875" style="26" customWidth="1"/>
    <col min="2" max="33" width="2.625" customWidth="1"/>
    <col min="34" max="34" width="0.875" style="26" customWidth="1"/>
    <col min="35" max="35" width="1.25" style="26" customWidth="1"/>
    <col min="36" max="67" width="2.625" customWidth="1"/>
    <col min="68" max="68" width="0.875" style="26" customWidth="1"/>
  </cols>
  <sheetData>
    <row r="1" spans="1:68" s="5" customFormat="1" ht="6" customHeight="1"/>
    <row r="2" spans="1:68" s="2" customFormat="1" ht="35.1" customHeight="1" thickBot="1">
      <c r="A2" s="6"/>
      <c r="B2" s="247" t="str">
        <f>"令和 "&amp;基本!L2&amp;" 年分　報酬、料金、契約金及び賞金の支払調書"</f>
        <v>令和  年分　報酬、料金、契約金及び賞金の支払調書</v>
      </c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6"/>
      <c r="AI2" s="6"/>
      <c r="AJ2" s="247" t="str">
        <f>"令和 "&amp;基本!L2&amp;" 年分　報酬、料金、契約金及び賞金の支払調書"</f>
        <v>令和  年分　報酬、料金、契約金及び賞金の支払調書</v>
      </c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6"/>
    </row>
    <row r="3" spans="1:68" s="1" customFormat="1" ht="27.95" customHeight="1">
      <c r="A3" s="5"/>
      <c r="B3" s="248" t="s">
        <v>12</v>
      </c>
      <c r="C3" s="249"/>
      <c r="D3" s="249"/>
      <c r="E3" s="243" t="s">
        <v>2</v>
      </c>
      <c r="F3" s="244"/>
      <c r="G3" s="244"/>
      <c r="H3" s="278">
        <f>基本!D7</f>
        <v>0</v>
      </c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  <c r="AF3" s="279"/>
      <c r="AG3" s="280"/>
      <c r="AH3" s="5"/>
      <c r="AI3" s="5"/>
      <c r="AJ3" s="248" t="s">
        <v>12</v>
      </c>
      <c r="AK3" s="249"/>
      <c r="AL3" s="249"/>
      <c r="AM3" s="243" t="s">
        <v>2</v>
      </c>
      <c r="AN3" s="244"/>
      <c r="AO3" s="244"/>
      <c r="AP3" s="278">
        <f>基本!D7</f>
        <v>0</v>
      </c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80"/>
      <c r="BP3" s="5"/>
    </row>
    <row r="4" spans="1:68" s="1" customFormat="1" ht="27.95" customHeight="1" thickBot="1">
      <c r="A4" s="5"/>
      <c r="B4" s="250"/>
      <c r="C4" s="251"/>
      <c r="D4" s="251"/>
      <c r="E4" s="245" t="s">
        <v>4</v>
      </c>
      <c r="F4" s="246"/>
      <c r="G4" s="246"/>
      <c r="H4" s="285">
        <f>基本!D6</f>
        <v>0</v>
      </c>
      <c r="I4" s="286"/>
      <c r="J4" s="286"/>
      <c r="K4" s="286"/>
      <c r="L4" s="286"/>
      <c r="M4" s="286"/>
      <c r="N4" s="286"/>
      <c r="O4" s="287"/>
      <c r="P4" s="238" t="s">
        <v>5</v>
      </c>
      <c r="Q4" s="239"/>
      <c r="R4" s="239"/>
      <c r="S4" s="239"/>
      <c r="T4" s="240"/>
      <c r="U4" s="52">
        <f>基本!$AN$7</f>
        <v>0</v>
      </c>
      <c r="V4" s="53">
        <f>基本!$AO$7</f>
        <v>0</v>
      </c>
      <c r="W4" s="54">
        <f>基本!$AP$7</f>
        <v>0</v>
      </c>
      <c r="X4" s="54">
        <f>基本!$AQ$7</f>
        <v>0</v>
      </c>
      <c r="Y4" s="55">
        <f>基本!$AR$7</f>
        <v>0</v>
      </c>
      <c r="Z4" s="56">
        <f>基本!$AS$7</f>
        <v>0</v>
      </c>
      <c r="AA4" s="54">
        <f>基本!$AT$7</f>
        <v>0</v>
      </c>
      <c r="AB4" s="54">
        <f>基本!$AU$7</f>
        <v>0</v>
      </c>
      <c r="AC4" s="55">
        <f>基本!$AV$7</f>
        <v>0</v>
      </c>
      <c r="AD4" s="56">
        <f>基本!$AW$7</f>
        <v>0</v>
      </c>
      <c r="AE4" s="54">
        <f>基本!$AX$7</f>
        <v>0</v>
      </c>
      <c r="AF4" s="54">
        <f>基本!$AY$7</f>
        <v>0</v>
      </c>
      <c r="AG4" s="55">
        <f>基本!$AZ$7</f>
        <v>0</v>
      </c>
      <c r="AH4" s="5"/>
      <c r="AI4" s="5"/>
      <c r="AJ4" s="250"/>
      <c r="AK4" s="251"/>
      <c r="AL4" s="251"/>
      <c r="AM4" s="245" t="s">
        <v>4</v>
      </c>
      <c r="AN4" s="246"/>
      <c r="AO4" s="246"/>
      <c r="AP4" s="285">
        <f>基本!D6</f>
        <v>0</v>
      </c>
      <c r="AQ4" s="286"/>
      <c r="AR4" s="286"/>
      <c r="AS4" s="286"/>
      <c r="AT4" s="286"/>
      <c r="AU4" s="286"/>
      <c r="AV4" s="286"/>
      <c r="AW4" s="287"/>
      <c r="AX4" s="238" t="s">
        <v>5</v>
      </c>
      <c r="AY4" s="239"/>
      <c r="AZ4" s="239"/>
      <c r="BA4" s="239"/>
      <c r="BB4" s="240"/>
      <c r="BC4" s="52"/>
      <c r="BD4" s="53"/>
      <c r="BE4" s="54"/>
      <c r="BF4" s="54"/>
      <c r="BG4" s="55"/>
      <c r="BH4" s="56"/>
      <c r="BI4" s="54"/>
      <c r="BJ4" s="54"/>
      <c r="BK4" s="55"/>
      <c r="BL4" s="56"/>
      <c r="BM4" s="54"/>
      <c r="BN4" s="54"/>
      <c r="BO4" s="55"/>
      <c r="BP4" s="5"/>
    </row>
    <row r="5" spans="1:68" s="1" customFormat="1" ht="21.95" customHeight="1">
      <c r="A5" s="5"/>
      <c r="B5" s="231" t="s">
        <v>8</v>
      </c>
      <c r="C5" s="232"/>
      <c r="D5" s="232"/>
      <c r="E5" s="232"/>
      <c r="F5" s="232"/>
      <c r="G5" s="232"/>
      <c r="H5" s="232" t="s">
        <v>7</v>
      </c>
      <c r="I5" s="232"/>
      <c r="J5" s="232"/>
      <c r="K5" s="232"/>
      <c r="L5" s="232"/>
      <c r="M5" s="232"/>
      <c r="N5" s="232"/>
      <c r="O5" s="232"/>
      <c r="P5" s="232" t="s">
        <v>6</v>
      </c>
      <c r="Q5" s="232"/>
      <c r="R5" s="232"/>
      <c r="S5" s="232"/>
      <c r="T5" s="232"/>
      <c r="U5" s="232"/>
      <c r="V5" s="232"/>
      <c r="W5" s="232"/>
      <c r="X5" s="232"/>
      <c r="Y5" s="233" t="s">
        <v>9</v>
      </c>
      <c r="Z5" s="233"/>
      <c r="AA5" s="233"/>
      <c r="AB5" s="233"/>
      <c r="AC5" s="233"/>
      <c r="AD5" s="233"/>
      <c r="AE5" s="233"/>
      <c r="AF5" s="233"/>
      <c r="AG5" s="234"/>
      <c r="AH5" s="5"/>
      <c r="AI5" s="5"/>
      <c r="AJ5" s="231" t="s">
        <v>8</v>
      </c>
      <c r="AK5" s="232"/>
      <c r="AL5" s="232"/>
      <c r="AM5" s="232"/>
      <c r="AN5" s="232"/>
      <c r="AO5" s="232"/>
      <c r="AP5" s="232" t="s">
        <v>7</v>
      </c>
      <c r="AQ5" s="232"/>
      <c r="AR5" s="232"/>
      <c r="AS5" s="232"/>
      <c r="AT5" s="232"/>
      <c r="AU5" s="232"/>
      <c r="AV5" s="232"/>
      <c r="AW5" s="232"/>
      <c r="AX5" s="232" t="s">
        <v>6</v>
      </c>
      <c r="AY5" s="232"/>
      <c r="AZ5" s="232"/>
      <c r="BA5" s="232"/>
      <c r="BB5" s="232"/>
      <c r="BC5" s="232"/>
      <c r="BD5" s="232"/>
      <c r="BE5" s="232"/>
      <c r="BF5" s="232"/>
      <c r="BG5" s="233" t="s">
        <v>9</v>
      </c>
      <c r="BH5" s="233"/>
      <c r="BI5" s="233"/>
      <c r="BJ5" s="233"/>
      <c r="BK5" s="233"/>
      <c r="BL5" s="233"/>
      <c r="BM5" s="233"/>
      <c r="BN5" s="233"/>
      <c r="BO5" s="234"/>
      <c r="BP5" s="5"/>
    </row>
    <row r="6" spans="1:68" s="3" customFormat="1" ht="9.9499999999999993" customHeight="1">
      <c r="B6" s="58"/>
      <c r="C6" s="59"/>
      <c r="D6" s="60"/>
      <c r="E6" s="60"/>
      <c r="F6" s="61"/>
      <c r="G6" s="60"/>
      <c r="H6" s="62"/>
      <c r="I6" s="61"/>
      <c r="J6" s="63"/>
      <c r="K6" s="63"/>
      <c r="L6" s="64"/>
      <c r="M6" s="65"/>
      <c r="N6" s="59"/>
      <c r="O6" s="60"/>
      <c r="P6" s="15" t="s">
        <v>0</v>
      </c>
      <c r="Q6" s="9"/>
      <c r="R6" s="14"/>
      <c r="S6" s="8"/>
      <c r="T6" s="11"/>
      <c r="U6" s="17" t="s">
        <v>10</v>
      </c>
      <c r="V6" s="11"/>
      <c r="W6" s="12"/>
      <c r="X6" s="16" t="s">
        <v>1</v>
      </c>
      <c r="Y6" s="15" t="s">
        <v>0</v>
      </c>
      <c r="Z6" s="9"/>
      <c r="AA6" s="14"/>
      <c r="AB6" s="8"/>
      <c r="AC6" s="11"/>
      <c r="AD6" s="17" t="s">
        <v>10</v>
      </c>
      <c r="AE6" s="11"/>
      <c r="AF6" s="12"/>
      <c r="AG6" s="19" t="s">
        <v>1</v>
      </c>
      <c r="AJ6" s="58"/>
      <c r="AK6" s="59"/>
      <c r="AL6" s="60"/>
      <c r="AM6" s="60"/>
      <c r="AN6" s="61"/>
      <c r="AO6" s="60"/>
      <c r="AP6" s="62"/>
      <c r="AQ6" s="61"/>
      <c r="AR6" s="63"/>
      <c r="AS6" s="63"/>
      <c r="AT6" s="64"/>
      <c r="AU6" s="65"/>
      <c r="AV6" s="59"/>
      <c r="AW6" s="60"/>
      <c r="AX6" s="15" t="s">
        <v>0</v>
      </c>
      <c r="AY6" s="9"/>
      <c r="AZ6" s="14"/>
      <c r="BA6" s="8"/>
      <c r="BB6" s="11"/>
      <c r="BC6" s="17" t="s">
        <v>10</v>
      </c>
      <c r="BD6" s="11"/>
      <c r="BE6" s="12"/>
      <c r="BF6" s="16" t="s">
        <v>1</v>
      </c>
      <c r="BG6" s="15" t="s">
        <v>0</v>
      </c>
      <c r="BH6" s="9"/>
      <c r="BI6" s="14"/>
      <c r="BJ6" s="8"/>
      <c r="BK6" s="11"/>
      <c r="BL6" s="17" t="s">
        <v>10</v>
      </c>
      <c r="BM6" s="11"/>
      <c r="BN6" s="12"/>
      <c r="BO6" s="19" t="s">
        <v>1</v>
      </c>
    </row>
    <row r="7" spans="1:68" s="1" customFormat="1" ht="17.100000000000001" customHeight="1">
      <c r="A7" s="5"/>
      <c r="B7" s="225" t="str">
        <f>IF(基本!$B9="","",基本!$B9)</f>
        <v>講師料</v>
      </c>
      <c r="C7" s="226"/>
      <c r="D7" s="226"/>
      <c r="E7" s="226"/>
      <c r="F7" s="226"/>
      <c r="G7" s="226"/>
      <c r="H7" s="275" t="str">
        <f>IF(基本!$C9="","",基本!$C9)</f>
        <v>指導者料</v>
      </c>
      <c r="I7" s="226"/>
      <c r="J7" s="226"/>
      <c r="K7" s="226"/>
      <c r="L7" s="226"/>
      <c r="M7" s="226"/>
      <c r="N7" s="276"/>
      <c r="O7" s="277"/>
      <c r="P7" s="27"/>
      <c r="Q7" s="28"/>
      <c r="R7" s="29"/>
      <c r="S7" s="66" t="str">
        <f>IF(基本!$AU9=0,"",基本!$AU9)</f>
        <v/>
      </c>
      <c r="T7" s="66">
        <f>基本!$AV9</f>
        <v>0</v>
      </c>
      <c r="U7" s="67">
        <f>基本!$AW9</f>
        <v>0</v>
      </c>
      <c r="V7" s="66">
        <f>基本!$AX9</f>
        <v>0</v>
      </c>
      <c r="W7" s="68">
        <f>基本!$AY9</f>
        <v>0</v>
      </c>
      <c r="X7" s="69" t="str">
        <f>IF(基本!$E9=0,"",基本!$AZ9)</f>
        <v/>
      </c>
      <c r="Y7" s="70"/>
      <c r="Z7" s="66"/>
      <c r="AA7" s="67"/>
      <c r="AB7" s="66">
        <f>基本!$BD9</f>
        <v>0</v>
      </c>
      <c r="AC7" s="66">
        <f>基本!$BE9</f>
        <v>0</v>
      </c>
      <c r="AD7" s="67">
        <f>基本!$BF9</f>
        <v>0</v>
      </c>
      <c r="AE7" s="66">
        <f>基本!$BG9</f>
        <v>0</v>
      </c>
      <c r="AF7" s="68">
        <f>基本!$BH9</f>
        <v>0</v>
      </c>
      <c r="AG7" s="71" t="str">
        <f>IF(基本!$E9=0,"",基本!$BI9)</f>
        <v/>
      </c>
      <c r="AH7" s="5"/>
      <c r="AI7" s="5"/>
      <c r="AJ7" s="225" t="str">
        <f>IF(基本!$B9="","",基本!$B9)</f>
        <v>講師料</v>
      </c>
      <c r="AK7" s="226"/>
      <c r="AL7" s="226"/>
      <c r="AM7" s="226"/>
      <c r="AN7" s="226"/>
      <c r="AO7" s="226"/>
      <c r="AP7" s="275" t="str">
        <f>IF(基本!$C9="","",基本!$C9)</f>
        <v>指導者料</v>
      </c>
      <c r="AQ7" s="226"/>
      <c r="AR7" s="226"/>
      <c r="AS7" s="226"/>
      <c r="AT7" s="226"/>
      <c r="AU7" s="226"/>
      <c r="AV7" s="276"/>
      <c r="AW7" s="277"/>
      <c r="AX7" s="27"/>
      <c r="AY7" s="28"/>
      <c r="AZ7" s="29"/>
      <c r="BA7" s="66" t="str">
        <f>IF(基本!$AU9=0,"",基本!$AU9)</f>
        <v/>
      </c>
      <c r="BB7" s="66">
        <f>基本!$AV9</f>
        <v>0</v>
      </c>
      <c r="BC7" s="67">
        <f>基本!$AW9</f>
        <v>0</v>
      </c>
      <c r="BD7" s="66">
        <f>基本!$AX9</f>
        <v>0</v>
      </c>
      <c r="BE7" s="68">
        <f>基本!$AY9</f>
        <v>0</v>
      </c>
      <c r="BF7" s="69" t="str">
        <f>IF(基本!$E9=0,"",基本!$AZ9)</f>
        <v/>
      </c>
      <c r="BG7" s="70"/>
      <c r="BH7" s="66"/>
      <c r="BI7" s="67"/>
      <c r="BJ7" s="66">
        <f>基本!$BD9</f>
        <v>0</v>
      </c>
      <c r="BK7" s="66">
        <f>基本!$BE9</f>
        <v>0</v>
      </c>
      <c r="BL7" s="67">
        <f>基本!$BF9</f>
        <v>0</v>
      </c>
      <c r="BM7" s="66">
        <f>基本!$BG9</f>
        <v>0</v>
      </c>
      <c r="BN7" s="68">
        <f>基本!$BH9</f>
        <v>0</v>
      </c>
      <c r="BO7" s="71" t="str">
        <f>IF(基本!$E9=0,"",基本!$BI9)</f>
        <v/>
      </c>
      <c r="BP7" s="5"/>
    </row>
    <row r="8" spans="1:68" s="1" customFormat="1" ht="24" customHeight="1">
      <c r="A8" s="5"/>
      <c r="B8" s="225"/>
      <c r="C8" s="226"/>
      <c r="D8" s="226"/>
      <c r="E8" s="226"/>
      <c r="F8" s="226"/>
      <c r="G8" s="227"/>
      <c r="H8" s="228"/>
      <c r="I8" s="229"/>
      <c r="J8" s="229"/>
      <c r="K8" s="229"/>
      <c r="L8" s="229"/>
      <c r="M8" s="229"/>
      <c r="N8" s="229"/>
      <c r="O8" s="230"/>
      <c r="P8" s="27"/>
      <c r="Q8" s="28"/>
      <c r="R8" s="29"/>
      <c r="S8" s="66"/>
      <c r="T8" s="66"/>
      <c r="U8" s="67"/>
      <c r="V8" s="66"/>
      <c r="W8" s="68"/>
      <c r="X8" s="69"/>
      <c r="Y8" s="70"/>
      <c r="Z8" s="66"/>
      <c r="AA8" s="67"/>
      <c r="AB8" s="66"/>
      <c r="AC8" s="66"/>
      <c r="AD8" s="67"/>
      <c r="AE8" s="66"/>
      <c r="AF8" s="68"/>
      <c r="AG8" s="71"/>
      <c r="AH8" s="5"/>
      <c r="AI8" s="5"/>
      <c r="AJ8" s="225"/>
      <c r="AK8" s="226"/>
      <c r="AL8" s="226"/>
      <c r="AM8" s="226"/>
      <c r="AN8" s="226"/>
      <c r="AO8" s="227"/>
      <c r="AP8" s="228"/>
      <c r="AQ8" s="229"/>
      <c r="AR8" s="229"/>
      <c r="AS8" s="229"/>
      <c r="AT8" s="229"/>
      <c r="AU8" s="229"/>
      <c r="AV8" s="229"/>
      <c r="AW8" s="230"/>
      <c r="AX8" s="27"/>
      <c r="AY8" s="28"/>
      <c r="AZ8" s="29"/>
      <c r="BA8" s="66"/>
      <c r="BB8" s="66"/>
      <c r="BC8" s="67"/>
      <c r="BD8" s="66"/>
      <c r="BE8" s="68"/>
      <c r="BF8" s="69"/>
      <c r="BG8" s="70"/>
      <c r="BH8" s="66"/>
      <c r="BI8" s="67"/>
      <c r="BJ8" s="66"/>
      <c r="BK8" s="66"/>
      <c r="BL8" s="67"/>
      <c r="BM8" s="66"/>
      <c r="BN8" s="68"/>
      <c r="BO8" s="71"/>
      <c r="BP8" s="5"/>
    </row>
    <row r="9" spans="1:68" s="1" customFormat="1" ht="24" customHeight="1">
      <c r="A9" s="5"/>
      <c r="B9" s="225"/>
      <c r="C9" s="226"/>
      <c r="D9" s="226"/>
      <c r="E9" s="226"/>
      <c r="F9" s="226"/>
      <c r="G9" s="227"/>
      <c r="H9" s="228"/>
      <c r="I9" s="229"/>
      <c r="J9" s="229"/>
      <c r="K9" s="229"/>
      <c r="L9" s="229"/>
      <c r="M9" s="229"/>
      <c r="N9" s="229"/>
      <c r="O9" s="230"/>
      <c r="P9" s="27"/>
      <c r="Q9" s="28"/>
      <c r="R9" s="29"/>
      <c r="S9" s="66"/>
      <c r="T9" s="66"/>
      <c r="U9" s="67"/>
      <c r="V9" s="66"/>
      <c r="W9" s="68"/>
      <c r="X9" s="69"/>
      <c r="Y9" s="70"/>
      <c r="Z9" s="66"/>
      <c r="AA9" s="67"/>
      <c r="AB9" s="66"/>
      <c r="AC9" s="66"/>
      <c r="AD9" s="67"/>
      <c r="AE9" s="66"/>
      <c r="AF9" s="68"/>
      <c r="AG9" s="71"/>
      <c r="AH9" s="5"/>
      <c r="AI9" s="5"/>
      <c r="AJ9" s="225"/>
      <c r="AK9" s="226"/>
      <c r="AL9" s="226"/>
      <c r="AM9" s="226"/>
      <c r="AN9" s="226"/>
      <c r="AO9" s="227"/>
      <c r="AP9" s="228"/>
      <c r="AQ9" s="229"/>
      <c r="AR9" s="229"/>
      <c r="AS9" s="229"/>
      <c r="AT9" s="229"/>
      <c r="AU9" s="229"/>
      <c r="AV9" s="229"/>
      <c r="AW9" s="230"/>
      <c r="AX9" s="27"/>
      <c r="AY9" s="28"/>
      <c r="AZ9" s="29"/>
      <c r="BA9" s="66"/>
      <c r="BB9" s="66"/>
      <c r="BC9" s="67"/>
      <c r="BD9" s="66"/>
      <c r="BE9" s="68"/>
      <c r="BF9" s="69"/>
      <c r="BG9" s="70"/>
      <c r="BH9" s="66"/>
      <c r="BI9" s="67"/>
      <c r="BJ9" s="66"/>
      <c r="BK9" s="66"/>
      <c r="BL9" s="67"/>
      <c r="BM9" s="66"/>
      <c r="BN9" s="68"/>
      <c r="BO9" s="71"/>
      <c r="BP9" s="5"/>
    </row>
    <row r="10" spans="1:68" s="1" customFormat="1" ht="24" customHeight="1">
      <c r="A10" s="5"/>
      <c r="B10" s="225"/>
      <c r="C10" s="226"/>
      <c r="D10" s="226"/>
      <c r="E10" s="226"/>
      <c r="F10" s="226"/>
      <c r="G10" s="227"/>
      <c r="H10" s="228"/>
      <c r="I10" s="229"/>
      <c r="J10" s="229"/>
      <c r="K10" s="229"/>
      <c r="L10" s="229"/>
      <c r="M10" s="229"/>
      <c r="N10" s="229"/>
      <c r="O10" s="230"/>
      <c r="P10" s="27"/>
      <c r="Q10" s="28"/>
      <c r="R10" s="29"/>
      <c r="S10" s="66"/>
      <c r="T10" s="66"/>
      <c r="U10" s="67"/>
      <c r="V10" s="66"/>
      <c r="W10" s="68"/>
      <c r="X10" s="69"/>
      <c r="Y10" s="70"/>
      <c r="Z10" s="66"/>
      <c r="AA10" s="67"/>
      <c r="AB10" s="66"/>
      <c r="AC10" s="66"/>
      <c r="AD10" s="67"/>
      <c r="AE10" s="66"/>
      <c r="AF10" s="68"/>
      <c r="AG10" s="71"/>
      <c r="AH10" s="5"/>
      <c r="AI10" s="5"/>
      <c r="AJ10" s="225"/>
      <c r="AK10" s="226"/>
      <c r="AL10" s="226"/>
      <c r="AM10" s="226"/>
      <c r="AN10" s="226"/>
      <c r="AO10" s="227"/>
      <c r="AP10" s="228"/>
      <c r="AQ10" s="229"/>
      <c r="AR10" s="229"/>
      <c r="AS10" s="229"/>
      <c r="AT10" s="229"/>
      <c r="AU10" s="229"/>
      <c r="AV10" s="229"/>
      <c r="AW10" s="230"/>
      <c r="AX10" s="27"/>
      <c r="AY10" s="28"/>
      <c r="AZ10" s="29"/>
      <c r="BA10" s="66"/>
      <c r="BB10" s="66"/>
      <c r="BC10" s="67"/>
      <c r="BD10" s="66"/>
      <c r="BE10" s="68"/>
      <c r="BF10" s="69"/>
      <c r="BG10" s="70"/>
      <c r="BH10" s="66"/>
      <c r="BI10" s="67"/>
      <c r="BJ10" s="66"/>
      <c r="BK10" s="66"/>
      <c r="BL10" s="67"/>
      <c r="BM10" s="66"/>
      <c r="BN10" s="68"/>
      <c r="BO10" s="71"/>
      <c r="BP10" s="5"/>
    </row>
    <row r="11" spans="1:68" s="1" customFormat="1" ht="24" customHeight="1">
      <c r="A11" s="5"/>
      <c r="B11" s="225"/>
      <c r="C11" s="226"/>
      <c r="D11" s="226"/>
      <c r="E11" s="226"/>
      <c r="F11" s="226"/>
      <c r="G11" s="227"/>
      <c r="H11" s="228"/>
      <c r="I11" s="229"/>
      <c r="J11" s="229"/>
      <c r="K11" s="229"/>
      <c r="L11" s="229"/>
      <c r="M11" s="229"/>
      <c r="N11" s="229"/>
      <c r="O11" s="230"/>
      <c r="P11" s="27"/>
      <c r="Q11" s="28"/>
      <c r="R11" s="29"/>
      <c r="S11" s="66"/>
      <c r="T11" s="66"/>
      <c r="U11" s="67"/>
      <c r="V11" s="66"/>
      <c r="W11" s="68"/>
      <c r="X11" s="69"/>
      <c r="Y11" s="70"/>
      <c r="Z11" s="66"/>
      <c r="AA11" s="67"/>
      <c r="AB11" s="66"/>
      <c r="AC11" s="66"/>
      <c r="AD11" s="67"/>
      <c r="AE11" s="66"/>
      <c r="AF11" s="68"/>
      <c r="AG11" s="71"/>
      <c r="AH11" s="5"/>
      <c r="AI11" s="5"/>
      <c r="AJ11" s="225"/>
      <c r="AK11" s="226"/>
      <c r="AL11" s="226"/>
      <c r="AM11" s="226"/>
      <c r="AN11" s="226"/>
      <c r="AO11" s="227"/>
      <c r="AP11" s="228"/>
      <c r="AQ11" s="229"/>
      <c r="AR11" s="229"/>
      <c r="AS11" s="229"/>
      <c r="AT11" s="229"/>
      <c r="AU11" s="229"/>
      <c r="AV11" s="229"/>
      <c r="AW11" s="230"/>
      <c r="AX11" s="27"/>
      <c r="AY11" s="28"/>
      <c r="AZ11" s="29"/>
      <c r="BA11" s="66"/>
      <c r="BB11" s="66"/>
      <c r="BC11" s="67"/>
      <c r="BD11" s="66"/>
      <c r="BE11" s="68"/>
      <c r="BF11" s="69"/>
      <c r="BG11" s="70"/>
      <c r="BH11" s="66"/>
      <c r="BI11" s="67"/>
      <c r="BJ11" s="66"/>
      <c r="BK11" s="66"/>
      <c r="BL11" s="67"/>
      <c r="BM11" s="66"/>
      <c r="BN11" s="68"/>
      <c r="BO11" s="71"/>
      <c r="BP11" s="5"/>
    </row>
    <row r="12" spans="1:68" s="1" customFormat="1" ht="24" customHeight="1" thickBot="1">
      <c r="A12" s="5"/>
      <c r="B12" s="255"/>
      <c r="C12" s="256"/>
      <c r="D12" s="256"/>
      <c r="E12" s="256"/>
      <c r="F12" s="256"/>
      <c r="G12" s="257"/>
      <c r="H12" s="258"/>
      <c r="I12" s="259"/>
      <c r="J12" s="259"/>
      <c r="K12" s="259"/>
      <c r="L12" s="259"/>
      <c r="M12" s="259"/>
      <c r="N12" s="259"/>
      <c r="O12" s="260"/>
      <c r="P12" s="30"/>
      <c r="Q12" s="31"/>
      <c r="R12" s="32"/>
      <c r="S12" s="72"/>
      <c r="T12" s="72"/>
      <c r="U12" s="73"/>
      <c r="V12" s="72"/>
      <c r="W12" s="74"/>
      <c r="X12" s="75"/>
      <c r="Y12" s="76"/>
      <c r="Z12" s="72"/>
      <c r="AA12" s="73"/>
      <c r="AB12" s="72"/>
      <c r="AC12" s="72"/>
      <c r="AD12" s="73"/>
      <c r="AE12" s="72"/>
      <c r="AF12" s="74"/>
      <c r="AG12" s="77"/>
      <c r="AH12" s="5"/>
      <c r="AI12" s="5"/>
      <c r="AJ12" s="255"/>
      <c r="AK12" s="256"/>
      <c r="AL12" s="256"/>
      <c r="AM12" s="256"/>
      <c r="AN12" s="256"/>
      <c r="AO12" s="257"/>
      <c r="AP12" s="258"/>
      <c r="AQ12" s="259"/>
      <c r="AR12" s="259"/>
      <c r="AS12" s="259"/>
      <c r="AT12" s="259"/>
      <c r="AU12" s="259"/>
      <c r="AV12" s="259"/>
      <c r="AW12" s="260"/>
      <c r="AX12" s="30"/>
      <c r="AY12" s="31"/>
      <c r="AZ12" s="32"/>
      <c r="BA12" s="72"/>
      <c r="BB12" s="72"/>
      <c r="BC12" s="73"/>
      <c r="BD12" s="72"/>
      <c r="BE12" s="74"/>
      <c r="BF12" s="75"/>
      <c r="BG12" s="76"/>
      <c r="BH12" s="72"/>
      <c r="BI12" s="73"/>
      <c r="BJ12" s="72"/>
      <c r="BK12" s="72"/>
      <c r="BL12" s="73"/>
      <c r="BM12" s="72"/>
      <c r="BN12" s="74"/>
      <c r="BO12" s="77"/>
      <c r="BP12" s="5"/>
    </row>
    <row r="13" spans="1:68" s="1" customFormat="1" ht="36" customHeight="1" thickBot="1">
      <c r="A13" s="5"/>
      <c r="B13" s="261" t="s">
        <v>17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3"/>
      <c r="AH13" s="5"/>
      <c r="AI13" s="5"/>
      <c r="AJ13" s="261" t="s">
        <v>17</v>
      </c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3"/>
      <c r="BP13" s="5"/>
    </row>
    <row r="14" spans="1:68" s="1" customFormat="1" ht="27" customHeight="1">
      <c r="A14" s="5"/>
      <c r="B14" s="264" t="s">
        <v>11</v>
      </c>
      <c r="C14" s="265"/>
      <c r="D14" s="265"/>
      <c r="E14" s="243" t="s">
        <v>3</v>
      </c>
      <c r="F14" s="244"/>
      <c r="G14" s="244"/>
      <c r="H14" s="270">
        <f>基本!D3</f>
        <v>0</v>
      </c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2"/>
      <c r="AH14" s="5"/>
      <c r="AI14" s="5"/>
      <c r="AJ14" s="264" t="s">
        <v>11</v>
      </c>
      <c r="AK14" s="265"/>
      <c r="AL14" s="265"/>
      <c r="AM14" s="243" t="s">
        <v>2</v>
      </c>
      <c r="AN14" s="244"/>
      <c r="AO14" s="244"/>
      <c r="AP14" s="270">
        <f>基本!D3</f>
        <v>0</v>
      </c>
      <c r="AQ14" s="271"/>
      <c r="AR14" s="271"/>
      <c r="AS14" s="271"/>
      <c r="AT14" s="271"/>
      <c r="AU14" s="271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2"/>
      <c r="BP14" s="5"/>
    </row>
    <row r="15" spans="1:68" s="1" customFormat="1" ht="18.75" customHeight="1">
      <c r="A15" s="5"/>
      <c r="B15" s="266"/>
      <c r="C15" s="267"/>
      <c r="D15" s="267"/>
      <c r="E15" s="273" t="s">
        <v>4</v>
      </c>
      <c r="F15" s="273"/>
      <c r="G15" s="274"/>
      <c r="H15" s="297">
        <f>基本!D2</f>
        <v>0</v>
      </c>
      <c r="I15" s="298"/>
      <c r="J15" s="298"/>
      <c r="K15" s="298"/>
      <c r="L15" s="298"/>
      <c r="M15" s="298"/>
      <c r="N15" s="298"/>
      <c r="O15" s="299"/>
      <c r="P15" s="289" t="s">
        <v>13</v>
      </c>
      <c r="Q15" s="290"/>
      <c r="R15" s="290"/>
      <c r="S15" s="290"/>
      <c r="T15" s="291"/>
      <c r="U15" s="295">
        <f>基本!$AN$4</f>
        <v>0</v>
      </c>
      <c r="V15" s="283">
        <f>基本!$AO$4</f>
        <v>0</v>
      </c>
      <c r="W15" s="241">
        <f>基本!$AP$4</f>
        <v>0</v>
      </c>
      <c r="X15" s="241">
        <f>基本!$AQ$4</f>
        <v>0</v>
      </c>
      <c r="Y15" s="281">
        <f>基本!$AR$4</f>
        <v>0</v>
      </c>
      <c r="Z15" s="283">
        <f>基本!$AS$4</f>
        <v>0</v>
      </c>
      <c r="AA15" s="241">
        <f>基本!$AT$4</f>
        <v>0</v>
      </c>
      <c r="AB15" s="241">
        <f>基本!$AU$4</f>
        <v>0</v>
      </c>
      <c r="AC15" s="281">
        <f>基本!$AV$4</f>
        <v>0</v>
      </c>
      <c r="AD15" s="283">
        <f>基本!$AW$4</f>
        <v>0</v>
      </c>
      <c r="AE15" s="241">
        <f>基本!$AX$4</f>
        <v>0</v>
      </c>
      <c r="AF15" s="241">
        <f>基本!$AY$4</f>
        <v>0</v>
      </c>
      <c r="AG15" s="281">
        <f>基本!$AZ$4</f>
        <v>0</v>
      </c>
      <c r="AH15" s="5"/>
      <c r="AI15" s="5"/>
      <c r="AJ15" s="266"/>
      <c r="AK15" s="267"/>
      <c r="AL15" s="267"/>
      <c r="AM15" s="273" t="s">
        <v>4</v>
      </c>
      <c r="AN15" s="273"/>
      <c r="AO15" s="274"/>
      <c r="AP15" s="297">
        <f>基本!D2</f>
        <v>0</v>
      </c>
      <c r="AQ15" s="298"/>
      <c r="AR15" s="298"/>
      <c r="AS15" s="298"/>
      <c r="AT15" s="298"/>
      <c r="AU15" s="298"/>
      <c r="AV15" s="298"/>
      <c r="AW15" s="299"/>
      <c r="AX15" s="289" t="s">
        <v>13</v>
      </c>
      <c r="AY15" s="290"/>
      <c r="AZ15" s="290"/>
      <c r="BA15" s="290"/>
      <c r="BB15" s="291"/>
      <c r="BC15" s="295">
        <f>基本!$AN$4</f>
        <v>0</v>
      </c>
      <c r="BD15" s="283">
        <f>基本!$AO$4</f>
        <v>0</v>
      </c>
      <c r="BE15" s="241">
        <f>基本!$AP$4</f>
        <v>0</v>
      </c>
      <c r="BF15" s="241">
        <f>基本!$AQ$4</f>
        <v>0</v>
      </c>
      <c r="BG15" s="281">
        <f>基本!$AR$4</f>
        <v>0</v>
      </c>
      <c r="BH15" s="283">
        <f>基本!$AS$4</f>
        <v>0</v>
      </c>
      <c r="BI15" s="241">
        <f>基本!$AT$4</f>
        <v>0</v>
      </c>
      <c r="BJ15" s="241">
        <f>基本!$AU$4</f>
        <v>0</v>
      </c>
      <c r="BK15" s="281">
        <f>基本!$AV$4</f>
        <v>0</v>
      </c>
      <c r="BL15" s="283">
        <f>基本!$AW$4</f>
        <v>0</v>
      </c>
      <c r="BM15" s="241">
        <f>基本!$AX$4</f>
        <v>0</v>
      </c>
      <c r="BN15" s="241">
        <f>基本!$AY$4</f>
        <v>0</v>
      </c>
      <c r="BO15" s="281">
        <f>基本!$AZ$4</f>
        <v>0</v>
      </c>
      <c r="BP15" s="5"/>
    </row>
    <row r="16" spans="1:68" s="1" customFormat="1" ht="9" customHeight="1" thickBot="1">
      <c r="A16" s="5"/>
      <c r="B16" s="268"/>
      <c r="C16" s="269"/>
      <c r="D16" s="269"/>
      <c r="E16" s="245"/>
      <c r="F16" s="245"/>
      <c r="G16" s="238"/>
      <c r="H16" s="300" t="str">
        <f>"(電話) "&amp;基本!D4</f>
        <v xml:space="preserve">(電話) </v>
      </c>
      <c r="I16" s="301"/>
      <c r="J16" s="301"/>
      <c r="K16" s="301"/>
      <c r="L16" s="301"/>
      <c r="M16" s="301"/>
      <c r="N16" s="301"/>
      <c r="O16" s="301"/>
      <c r="P16" s="292"/>
      <c r="Q16" s="293"/>
      <c r="R16" s="293"/>
      <c r="S16" s="293"/>
      <c r="T16" s="294"/>
      <c r="U16" s="296"/>
      <c r="V16" s="284"/>
      <c r="W16" s="242"/>
      <c r="X16" s="242"/>
      <c r="Y16" s="282"/>
      <c r="Z16" s="284"/>
      <c r="AA16" s="242"/>
      <c r="AB16" s="242"/>
      <c r="AC16" s="282"/>
      <c r="AD16" s="284"/>
      <c r="AE16" s="242"/>
      <c r="AF16" s="242"/>
      <c r="AG16" s="282"/>
      <c r="AH16" s="5"/>
      <c r="AI16" s="5"/>
      <c r="AJ16" s="268"/>
      <c r="AK16" s="269"/>
      <c r="AL16" s="269"/>
      <c r="AM16" s="245"/>
      <c r="AN16" s="245"/>
      <c r="AO16" s="238"/>
      <c r="AP16" s="300" t="str">
        <f>"(電話) "&amp;基本!D4</f>
        <v xml:space="preserve">(電話) </v>
      </c>
      <c r="AQ16" s="301"/>
      <c r="AR16" s="301"/>
      <c r="AS16" s="301"/>
      <c r="AT16" s="301"/>
      <c r="AU16" s="301"/>
      <c r="AV16" s="301"/>
      <c r="AW16" s="301"/>
      <c r="AX16" s="292"/>
      <c r="AY16" s="293"/>
      <c r="AZ16" s="293"/>
      <c r="BA16" s="293"/>
      <c r="BB16" s="294"/>
      <c r="BC16" s="296"/>
      <c r="BD16" s="284"/>
      <c r="BE16" s="242"/>
      <c r="BF16" s="242"/>
      <c r="BG16" s="282"/>
      <c r="BH16" s="284"/>
      <c r="BI16" s="242"/>
      <c r="BJ16" s="242"/>
      <c r="BK16" s="282"/>
      <c r="BL16" s="284"/>
      <c r="BM16" s="242"/>
      <c r="BN16" s="242"/>
      <c r="BO16" s="282"/>
      <c r="BP16" s="5"/>
    </row>
    <row r="17" spans="1:68" s="1" customFormat="1" ht="8.1" customHeight="1" thickBot="1">
      <c r="A17" s="5"/>
      <c r="B17" s="20"/>
      <c r="C17" s="21"/>
      <c r="D17" s="22"/>
      <c r="E17" s="23"/>
      <c r="F17" s="23"/>
      <c r="G17" s="24"/>
      <c r="H17" s="25"/>
      <c r="I17" s="4"/>
      <c r="J17" s="4"/>
      <c r="K17" s="4"/>
      <c r="L17" s="5"/>
      <c r="M17" s="20"/>
      <c r="N17" s="21"/>
      <c r="O17" s="22"/>
      <c r="P17" s="23"/>
      <c r="Q17" s="23"/>
      <c r="R17" s="23"/>
      <c r="S17" s="24"/>
      <c r="T17" s="25"/>
      <c r="U17" s="4"/>
      <c r="V17" s="4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20"/>
      <c r="AK17" s="21"/>
      <c r="AL17" s="22"/>
      <c r="AM17" s="23"/>
      <c r="AN17" s="23"/>
      <c r="AO17" s="24"/>
      <c r="AP17" s="25"/>
      <c r="AQ17" s="4"/>
      <c r="AR17" s="4"/>
      <c r="AS17" s="4"/>
      <c r="AT17" s="5"/>
      <c r="AU17" s="20"/>
      <c r="AV17" s="21"/>
      <c r="AW17" s="22"/>
      <c r="AX17" s="23"/>
      <c r="AY17" s="23"/>
      <c r="AZ17" s="23"/>
      <c r="BA17" s="24"/>
      <c r="BB17" s="25"/>
      <c r="BC17" s="4"/>
      <c r="BD17" s="4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</row>
    <row r="18" spans="1:68" s="1" customFormat="1" ht="15.95" customHeight="1" thickBot="1">
      <c r="A18" s="5"/>
      <c r="B18" s="222" t="s">
        <v>14</v>
      </c>
      <c r="C18" s="223"/>
      <c r="D18" s="223"/>
      <c r="E18" s="223"/>
      <c r="F18" s="223"/>
      <c r="G18" s="223"/>
      <c r="H18" s="224" t="s">
        <v>15</v>
      </c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 t="s">
        <v>16</v>
      </c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88"/>
      <c r="AH18" s="5"/>
      <c r="AI18" s="5"/>
      <c r="AJ18" s="222" t="s">
        <v>14</v>
      </c>
      <c r="AK18" s="223"/>
      <c r="AL18" s="223"/>
      <c r="AM18" s="223"/>
      <c r="AN18" s="223"/>
      <c r="AO18" s="223"/>
      <c r="AP18" s="224" t="s">
        <v>15</v>
      </c>
      <c r="AQ18" s="224"/>
      <c r="AR18" s="224"/>
      <c r="AS18" s="224"/>
      <c r="AT18" s="224"/>
      <c r="AU18" s="224"/>
      <c r="AV18" s="224"/>
      <c r="AW18" s="224"/>
      <c r="AX18" s="224"/>
      <c r="AY18" s="224"/>
      <c r="AZ18" s="224"/>
      <c r="BA18" s="224"/>
      <c r="BB18" s="224"/>
      <c r="BC18" s="224" t="s">
        <v>16</v>
      </c>
      <c r="BD18" s="224"/>
      <c r="BE18" s="224"/>
      <c r="BF18" s="224"/>
      <c r="BG18" s="224"/>
      <c r="BH18" s="224"/>
      <c r="BI18" s="224"/>
      <c r="BJ18" s="224"/>
      <c r="BK18" s="224"/>
      <c r="BL18" s="224"/>
      <c r="BM18" s="224"/>
      <c r="BN18" s="224"/>
      <c r="BO18" s="288"/>
      <c r="BP18" s="5"/>
    </row>
    <row r="19" spans="1:68" ht="6" customHeight="1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</row>
    <row r="20" spans="1:68" s="5" customFormat="1" ht="6" customHeight="1"/>
    <row r="21" spans="1:68" s="2" customFormat="1" ht="35.1" customHeight="1" thickBot="1">
      <c r="A21" s="6"/>
      <c r="B21" s="247" t="str">
        <f>B2</f>
        <v>令和  年分　報酬、料金、契約金及び賞金の支払調書</v>
      </c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247"/>
      <c r="AD21" s="247"/>
      <c r="AE21" s="247"/>
      <c r="AF21" s="247"/>
      <c r="AG21" s="247"/>
      <c r="AH21" s="6"/>
      <c r="AI21" s="6"/>
      <c r="AJ21" s="247" t="str">
        <f>AJ2</f>
        <v>令和  年分　報酬、料金、契約金及び賞金の支払調書</v>
      </c>
      <c r="AK21" s="247"/>
      <c r="AL21" s="247"/>
      <c r="AM21" s="247"/>
      <c r="AN21" s="247"/>
      <c r="AO21" s="247"/>
      <c r="AP21" s="247"/>
      <c r="AQ21" s="247"/>
      <c r="AR21" s="247"/>
      <c r="AS21" s="247"/>
      <c r="AT21" s="247"/>
      <c r="AU21" s="247"/>
      <c r="AV21" s="247"/>
      <c r="AW21" s="247"/>
      <c r="AX21" s="247"/>
      <c r="AY21" s="247"/>
      <c r="AZ21" s="247"/>
      <c r="BA21" s="247"/>
      <c r="BB21" s="247"/>
      <c r="BC21" s="247"/>
      <c r="BD21" s="247"/>
      <c r="BE21" s="247"/>
      <c r="BF21" s="247"/>
      <c r="BG21" s="247"/>
      <c r="BH21" s="247"/>
      <c r="BI21" s="247"/>
      <c r="BJ21" s="247"/>
      <c r="BK21" s="247"/>
      <c r="BL21" s="247"/>
      <c r="BM21" s="247"/>
      <c r="BN21" s="247"/>
      <c r="BO21" s="247"/>
      <c r="BP21" s="6"/>
    </row>
    <row r="22" spans="1:68" s="1" customFormat="1" ht="27.95" customHeight="1">
      <c r="A22" s="5"/>
      <c r="B22" s="248" t="s">
        <v>12</v>
      </c>
      <c r="C22" s="249"/>
      <c r="D22" s="249"/>
      <c r="E22" s="243" t="s">
        <v>2</v>
      </c>
      <c r="F22" s="244"/>
      <c r="G22" s="244"/>
      <c r="H22" s="252">
        <f>H3</f>
        <v>0</v>
      </c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4"/>
      <c r="AH22" s="5"/>
      <c r="AI22" s="5"/>
      <c r="AJ22" s="248" t="s">
        <v>12</v>
      </c>
      <c r="AK22" s="249"/>
      <c r="AL22" s="249"/>
      <c r="AM22" s="243" t="s">
        <v>2</v>
      </c>
      <c r="AN22" s="244"/>
      <c r="AO22" s="244"/>
      <c r="AP22" s="252">
        <f>AP3</f>
        <v>0</v>
      </c>
      <c r="AQ22" s="253"/>
      <c r="AR22" s="253"/>
      <c r="AS22" s="253"/>
      <c r="AT22" s="253"/>
      <c r="AU22" s="253"/>
      <c r="AV22" s="253"/>
      <c r="AW22" s="253"/>
      <c r="AX22" s="253"/>
      <c r="AY22" s="253"/>
      <c r="AZ22" s="253"/>
      <c r="BA22" s="253"/>
      <c r="BB22" s="253"/>
      <c r="BC22" s="253"/>
      <c r="BD22" s="253"/>
      <c r="BE22" s="253"/>
      <c r="BF22" s="253"/>
      <c r="BG22" s="253"/>
      <c r="BH22" s="253"/>
      <c r="BI22" s="253"/>
      <c r="BJ22" s="253"/>
      <c r="BK22" s="253"/>
      <c r="BL22" s="253"/>
      <c r="BM22" s="253"/>
      <c r="BN22" s="253"/>
      <c r="BO22" s="254"/>
      <c r="BP22" s="5"/>
    </row>
    <row r="23" spans="1:68" s="1" customFormat="1" ht="27.95" customHeight="1" thickBot="1">
      <c r="A23" s="5"/>
      <c r="B23" s="250"/>
      <c r="C23" s="251"/>
      <c r="D23" s="251"/>
      <c r="E23" s="245" t="s">
        <v>4</v>
      </c>
      <c r="F23" s="246"/>
      <c r="G23" s="246"/>
      <c r="H23" s="235">
        <f>H4</f>
        <v>0</v>
      </c>
      <c r="I23" s="236"/>
      <c r="J23" s="236"/>
      <c r="K23" s="236"/>
      <c r="L23" s="236"/>
      <c r="M23" s="236"/>
      <c r="N23" s="236"/>
      <c r="O23" s="237"/>
      <c r="P23" s="238" t="s">
        <v>5</v>
      </c>
      <c r="Q23" s="239"/>
      <c r="R23" s="239"/>
      <c r="S23" s="239"/>
      <c r="T23" s="240"/>
      <c r="U23" s="52"/>
      <c r="V23" s="53"/>
      <c r="W23" s="54"/>
      <c r="X23" s="54"/>
      <c r="Y23" s="55"/>
      <c r="Z23" s="56"/>
      <c r="AA23" s="54"/>
      <c r="AB23" s="54"/>
      <c r="AC23" s="55"/>
      <c r="AD23" s="56"/>
      <c r="AE23" s="54"/>
      <c r="AF23" s="54"/>
      <c r="AG23" s="55"/>
      <c r="AH23" s="5"/>
      <c r="AI23" s="5"/>
      <c r="AJ23" s="250"/>
      <c r="AK23" s="251"/>
      <c r="AL23" s="251"/>
      <c r="AM23" s="245" t="s">
        <v>4</v>
      </c>
      <c r="AN23" s="246"/>
      <c r="AO23" s="246"/>
      <c r="AP23" s="235">
        <f>AP4</f>
        <v>0</v>
      </c>
      <c r="AQ23" s="236"/>
      <c r="AR23" s="236"/>
      <c r="AS23" s="236"/>
      <c r="AT23" s="236"/>
      <c r="AU23" s="236"/>
      <c r="AV23" s="236"/>
      <c r="AW23" s="237"/>
      <c r="AX23" s="238" t="s">
        <v>5</v>
      </c>
      <c r="AY23" s="239"/>
      <c r="AZ23" s="239"/>
      <c r="BA23" s="239"/>
      <c r="BB23" s="240"/>
      <c r="BC23" s="52">
        <f>BC4</f>
        <v>0</v>
      </c>
      <c r="BD23" s="53">
        <f t="shared" ref="BD23:BO23" si="0">BD4</f>
        <v>0</v>
      </c>
      <c r="BE23" s="54">
        <f t="shared" si="0"/>
        <v>0</v>
      </c>
      <c r="BF23" s="54">
        <f t="shared" si="0"/>
        <v>0</v>
      </c>
      <c r="BG23" s="55">
        <f t="shared" si="0"/>
        <v>0</v>
      </c>
      <c r="BH23" s="56">
        <f t="shared" si="0"/>
        <v>0</v>
      </c>
      <c r="BI23" s="54">
        <f t="shared" si="0"/>
        <v>0</v>
      </c>
      <c r="BJ23" s="54">
        <f t="shared" si="0"/>
        <v>0</v>
      </c>
      <c r="BK23" s="55">
        <f t="shared" si="0"/>
        <v>0</v>
      </c>
      <c r="BL23" s="56">
        <f t="shared" si="0"/>
        <v>0</v>
      </c>
      <c r="BM23" s="54">
        <f t="shared" si="0"/>
        <v>0</v>
      </c>
      <c r="BN23" s="54">
        <f t="shared" si="0"/>
        <v>0</v>
      </c>
      <c r="BO23" s="55">
        <f t="shared" si="0"/>
        <v>0</v>
      </c>
      <c r="BP23" s="5"/>
    </row>
    <row r="24" spans="1:68" s="1" customFormat="1" ht="21.95" customHeight="1">
      <c r="A24" s="5"/>
      <c r="B24" s="231" t="s">
        <v>8</v>
      </c>
      <c r="C24" s="232"/>
      <c r="D24" s="232"/>
      <c r="E24" s="232"/>
      <c r="F24" s="232"/>
      <c r="G24" s="232"/>
      <c r="H24" s="232" t="s">
        <v>7</v>
      </c>
      <c r="I24" s="232"/>
      <c r="J24" s="232"/>
      <c r="K24" s="232"/>
      <c r="L24" s="232"/>
      <c r="M24" s="232"/>
      <c r="N24" s="232"/>
      <c r="O24" s="232"/>
      <c r="P24" s="232" t="s">
        <v>6</v>
      </c>
      <c r="Q24" s="232"/>
      <c r="R24" s="232"/>
      <c r="S24" s="232"/>
      <c r="T24" s="232"/>
      <c r="U24" s="232"/>
      <c r="V24" s="232"/>
      <c r="W24" s="232"/>
      <c r="X24" s="232"/>
      <c r="Y24" s="233" t="s">
        <v>9</v>
      </c>
      <c r="Z24" s="233"/>
      <c r="AA24" s="233"/>
      <c r="AB24" s="233"/>
      <c r="AC24" s="233"/>
      <c r="AD24" s="233"/>
      <c r="AE24" s="233"/>
      <c r="AF24" s="233"/>
      <c r="AG24" s="234"/>
      <c r="AH24" s="5"/>
      <c r="AI24" s="5"/>
      <c r="AJ24" s="231" t="s">
        <v>8</v>
      </c>
      <c r="AK24" s="232"/>
      <c r="AL24" s="232"/>
      <c r="AM24" s="232"/>
      <c r="AN24" s="232"/>
      <c r="AO24" s="232"/>
      <c r="AP24" s="232" t="s">
        <v>7</v>
      </c>
      <c r="AQ24" s="232"/>
      <c r="AR24" s="232"/>
      <c r="AS24" s="232"/>
      <c r="AT24" s="232"/>
      <c r="AU24" s="232"/>
      <c r="AV24" s="232"/>
      <c r="AW24" s="232"/>
      <c r="AX24" s="232" t="s">
        <v>6</v>
      </c>
      <c r="AY24" s="232"/>
      <c r="AZ24" s="232"/>
      <c r="BA24" s="232"/>
      <c r="BB24" s="232"/>
      <c r="BC24" s="232"/>
      <c r="BD24" s="232"/>
      <c r="BE24" s="232"/>
      <c r="BF24" s="232"/>
      <c r="BG24" s="233" t="s">
        <v>9</v>
      </c>
      <c r="BH24" s="233"/>
      <c r="BI24" s="233"/>
      <c r="BJ24" s="233"/>
      <c r="BK24" s="233"/>
      <c r="BL24" s="233"/>
      <c r="BM24" s="233"/>
      <c r="BN24" s="233"/>
      <c r="BO24" s="234"/>
      <c r="BP24" s="5"/>
    </row>
    <row r="25" spans="1:68" s="3" customFormat="1" ht="9.9499999999999993" customHeight="1">
      <c r="B25" s="18"/>
      <c r="C25" s="7"/>
      <c r="D25" s="8"/>
      <c r="E25" s="8"/>
      <c r="F25" s="9"/>
      <c r="G25" s="8"/>
      <c r="H25" s="10"/>
      <c r="I25" s="9"/>
      <c r="J25" s="11"/>
      <c r="K25" s="11"/>
      <c r="L25" s="12"/>
      <c r="M25" s="13"/>
      <c r="N25" s="7"/>
      <c r="O25" s="8"/>
      <c r="P25" s="15" t="s">
        <v>0</v>
      </c>
      <c r="Q25" s="9"/>
      <c r="R25" s="14"/>
      <c r="S25" s="8"/>
      <c r="T25" s="11"/>
      <c r="U25" s="17" t="s">
        <v>10</v>
      </c>
      <c r="V25" s="11"/>
      <c r="W25" s="12"/>
      <c r="X25" s="16" t="s">
        <v>1</v>
      </c>
      <c r="Y25" s="15" t="s">
        <v>0</v>
      </c>
      <c r="Z25" s="9"/>
      <c r="AA25" s="14"/>
      <c r="AB25" s="8"/>
      <c r="AC25" s="11"/>
      <c r="AD25" s="17" t="s">
        <v>10</v>
      </c>
      <c r="AE25" s="11"/>
      <c r="AF25" s="12"/>
      <c r="AG25" s="19" t="s">
        <v>1</v>
      </c>
      <c r="AJ25" s="18"/>
      <c r="AK25" s="7"/>
      <c r="AL25" s="8"/>
      <c r="AM25" s="8"/>
      <c r="AN25" s="9"/>
      <c r="AO25" s="8"/>
      <c r="AP25" s="10"/>
      <c r="AQ25" s="9"/>
      <c r="AR25" s="11"/>
      <c r="AS25" s="11"/>
      <c r="AT25" s="12"/>
      <c r="AU25" s="13"/>
      <c r="AV25" s="7"/>
      <c r="AW25" s="8"/>
      <c r="AX25" s="15" t="s">
        <v>0</v>
      </c>
      <c r="AY25" s="9"/>
      <c r="AZ25" s="14"/>
      <c r="BA25" s="8"/>
      <c r="BB25" s="11"/>
      <c r="BC25" s="17" t="s">
        <v>10</v>
      </c>
      <c r="BD25" s="11"/>
      <c r="BE25" s="12"/>
      <c r="BF25" s="16" t="s">
        <v>1</v>
      </c>
      <c r="BG25" s="15" t="s">
        <v>0</v>
      </c>
      <c r="BH25" s="9"/>
      <c r="BI25" s="14"/>
      <c r="BJ25" s="8"/>
      <c r="BK25" s="11"/>
      <c r="BL25" s="17" t="s">
        <v>10</v>
      </c>
      <c r="BM25" s="11"/>
      <c r="BN25" s="12"/>
      <c r="BO25" s="19" t="s">
        <v>1</v>
      </c>
    </row>
    <row r="26" spans="1:68" s="1" customFormat="1" ht="17.100000000000001" customHeight="1">
      <c r="A26" s="5"/>
      <c r="B26" s="225" t="str">
        <f t="shared" ref="B26" si="1">B7</f>
        <v>講師料</v>
      </c>
      <c r="C26" s="226"/>
      <c r="D26" s="226"/>
      <c r="E26" s="226"/>
      <c r="F26" s="226"/>
      <c r="G26" s="227"/>
      <c r="H26" s="228" t="str">
        <f t="shared" ref="H26" si="2">H7</f>
        <v>指導者料</v>
      </c>
      <c r="I26" s="229"/>
      <c r="J26" s="229"/>
      <c r="K26" s="229"/>
      <c r="L26" s="229"/>
      <c r="M26" s="229"/>
      <c r="N26" s="229"/>
      <c r="O26" s="230"/>
      <c r="P26" s="27"/>
      <c r="Q26" s="28"/>
      <c r="R26" s="29"/>
      <c r="S26" s="66" t="str">
        <f>S7</f>
        <v/>
      </c>
      <c r="T26" s="66">
        <f t="shared" ref="T26:AG26" si="3">T7</f>
        <v>0</v>
      </c>
      <c r="U26" s="67">
        <f t="shared" si="3"/>
        <v>0</v>
      </c>
      <c r="V26" s="66">
        <f t="shared" si="3"/>
        <v>0</v>
      </c>
      <c r="W26" s="68">
        <f t="shared" si="3"/>
        <v>0</v>
      </c>
      <c r="X26" s="69" t="str">
        <f t="shared" si="3"/>
        <v/>
      </c>
      <c r="Y26" s="70">
        <f t="shared" si="3"/>
        <v>0</v>
      </c>
      <c r="Z26" s="66">
        <f t="shared" si="3"/>
        <v>0</v>
      </c>
      <c r="AA26" s="67">
        <f t="shared" si="3"/>
        <v>0</v>
      </c>
      <c r="AB26" s="66">
        <f t="shared" si="3"/>
        <v>0</v>
      </c>
      <c r="AC26" s="66">
        <f t="shared" si="3"/>
        <v>0</v>
      </c>
      <c r="AD26" s="67">
        <f t="shared" si="3"/>
        <v>0</v>
      </c>
      <c r="AE26" s="66">
        <f t="shared" si="3"/>
        <v>0</v>
      </c>
      <c r="AF26" s="68">
        <f t="shared" si="3"/>
        <v>0</v>
      </c>
      <c r="AG26" s="71" t="str">
        <f t="shared" si="3"/>
        <v/>
      </c>
      <c r="AH26" s="5"/>
      <c r="AI26" s="5"/>
      <c r="AJ26" s="225" t="str">
        <f t="shared" ref="AJ26" si="4">AJ7</f>
        <v>講師料</v>
      </c>
      <c r="AK26" s="226"/>
      <c r="AL26" s="226"/>
      <c r="AM26" s="226"/>
      <c r="AN26" s="226"/>
      <c r="AO26" s="227"/>
      <c r="AP26" s="228" t="str">
        <f t="shared" ref="AP26" si="5">AP7</f>
        <v>指導者料</v>
      </c>
      <c r="AQ26" s="229"/>
      <c r="AR26" s="229"/>
      <c r="AS26" s="229"/>
      <c r="AT26" s="229"/>
      <c r="AU26" s="229"/>
      <c r="AV26" s="229"/>
      <c r="AW26" s="230"/>
      <c r="AX26" s="27"/>
      <c r="AY26" s="28"/>
      <c r="AZ26" s="29"/>
      <c r="BA26" s="66" t="str">
        <f>BA7</f>
        <v/>
      </c>
      <c r="BB26" s="66">
        <f t="shared" ref="BB26:BO26" si="6">BB7</f>
        <v>0</v>
      </c>
      <c r="BC26" s="67">
        <f t="shared" si="6"/>
        <v>0</v>
      </c>
      <c r="BD26" s="66">
        <f t="shared" si="6"/>
        <v>0</v>
      </c>
      <c r="BE26" s="68">
        <f t="shared" si="6"/>
        <v>0</v>
      </c>
      <c r="BF26" s="69" t="str">
        <f t="shared" si="6"/>
        <v/>
      </c>
      <c r="BG26" s="70">
        <f t="shared" si="6"/>
        <v>0</v>
      </c>
      <c r="BH26" s="66">
        <f t="shared" si="6"/>
        <v>0</v>
      </c>
      <c r="BI26" s="67">
        <f t="shared" si="6"/>
        <v>0</v>
      </c>
      <c r="BJ26" s="66">
        <f t="shared" si="6"/>
        <v>0</v>
      </c>
      <c r="BK26" s="66">
        <f t="shared" si="6"/>
        <v>0</v>
      </c>
      <c r="BL26" s="67">
        <f t="shared" si="6"/>
        <v>0</v>
      </c>
      <c r="BM26" s="66">
        <f t="shared" si="6"/>
        <v>0</v>
      </c>
      <c r="BN26" s="68">
        <f t="shared" si="6"/>
        <v>0</v>
      </c>
      <c r="BO26" s="71" t="str">
        <f t="shared" si="6"/>
        <v/>
      </c>
      <c r="BP26" s="5"/>
    </row>
    <row r="27" spans="1:68" s="1" customFormat="1" ht="24" customHeight="1">
      <c r="A27" s="5"/>
      <c r="B27" s="216"/>
      <c r="C27" s="217"/>
      <c r="D27" s="217"/>
      <c r="E27" s="217"/>
      <c r="F27" s="217"/>
      <c r="G27" s="218"/>
      <c r="H27" s="219"/>
      <c r="I27" s="220"/>
      <c r="J27" s="220"/>
      <c r="K27" s="220"/>
      <c r="L27" s="220"/>
      <c r="M27" s="220"/>
      <c r="N27" s="220"/>
      <c r="O27" s="221"/>
      <c r="P27" s="27"/>
      <c r="Q27" s="28"/>
      <c r="R27" s="29"/>
      <c r="S27" s="66"/>
      <c r="T27" s="66"/>
      <c r="U27" s="67"/>
      <c r="V27" s="66"/>
      <c r="W27" s="68"/>
      <c r="X27" s="69"/>
      <c r="Y27" s="70"/>
      <c r="Z27" s="66"/>
      <c r="AA27" s="67"/>
      <c r="AB27" s="66"/>
      <c r="AC27" s="66"/>
      <c r="AD27" s="67"/>
      <c r="AE27" s="66"/>
      <c r="AF27" s="68"/>
      <c r="AG27" s="71"/>
      <c r="AH27" s="5"/>
      <c r="AI27" s="5"/>
      <c r="AJ27" s="216"/>
      <c r="AK27" s="217"/>
      <c r="AL27" s="217"/>
      <c r="AM27" s="217"/>
      <c r="AN27" s="217"/>
      <c r="AO27" s="218"/>
      <c r="AP27" s="219"/>
      <c r="AQ27" s="220"/>
      <c r="AR27" s="220"/>
      <c r="AS27" s="220"/>
      <c r="AT27" s="220"/>
      <c r="AU27" s="220"/>
      <c r="AV27" s="220"/>
      <c r="AW27" s="221"/>
      <c r="AX27" s="27"/>
      <c r="AY27" s="28"/>
      <c r="AZ27" s="29"/>
      <c r="BA27" s="66"/>
      <c r="BB27" s="66"/>
      <c r="BC27" s="67"/>
      <c r="BD27" s="66"/>
      <c r="BE27" s="68"/>
      <c r="BF27" s="69"/>
      <c r="BG27" s="70"/>
      <c r="BH27" s="66"/>
      <c r="BI27" s="67"/>
      <c r="BJ27" s="66"/>
      <c r="BK27" s="66"/>
      <c r="BL27" s="67"/>
      <c r="BM27" s="66"/>
      <c r="BN27" s="68"/>
      <c r="BO27" s="71"/>
      <c r="BP27" s="5"/>
    </row>
    <row r="28" spans="1:68" s="1" customFormat="1" ht="24" customHeight="1">
      <c r="A28" s="5"/>
      <c r="B28" s="216"/>
      <c r="C28" s="217"/>
      <c r="D28" s="217"/>
      <c r="E28" s="217"/>
      <c r="F28" s="217"/>
      <c r="G28" s="218"/>
      <c r="H28" s="219"/>
      <c r="I28" s="220"/>
      <c r="J28" s="220"/>
      <c r="K28" s="220"/>
      <c r="L28" s="220"/>
      <c r="M28" s="220"/>
      <c r="N28" s="220"/>
      <c r="O28" s="221"/>
      <c r="P28" s="27"/>
      <c r="Q28" s="28"/>
      <c r="R28" s="29"/>
      <c r="S28" s="66"/>
      <c r="T28" s="66"/>
      <c r="U28" s="67"/>
      <c r="V28" s="66"/>
      <c r="W28" s="68"/>
      <c r="X28" s="69"/>
      <c r="Y28" s="70"/>
      <c r="Z28" s="66"/>
      <c r="AA28" s="67"/>
      <c r="AB28" s="66"/>
      <c r="AC28" s="66"/>
      <c r="AD28" s="67"/>
      <c r="AE28" s="66"/>
      <c r="AF28" s="68"/>
      <c r="AG28" s="71"/>
      <c r="AH28" s="5"/>
      <c r="AI28" s="5"/>
      <c r="AJ28" s="216"/>
      <c r="AK28" s="217"/>
      <c r="AL28" s="217"/>
      <c r="AM28" s="217"/>
      <c r="AN28" s="217"/>
      <c r="AO28" s="218"/>
      <c r="AP28" s="219"/>
      <c r="AQ28" s="220"/>
      <c r="AR28" s="220"/>
      <c r="AS28" s="220"/>
      <c r="AT28" s="220"/>
      <c r="AU28" s="220"/>
      <c r="AV28" s="220"/>
      <c r="AW28" s="221"/>
      <c r="AX28" s="27"/>
      <c r="AY28" s="28"/>
      <c r="AZ28" s="29"/>
      <c r="BA28" s="66"/>
      <c r="BB28" s="66"/>
      <c r="BC28" s="67"/>
      <c r="BD28" s="66"/>
      <c r="BE28" s="68"/>
      <c r="BF28" s="69"/>
      <c r="BG28" s="70"/>
      <c r="BH28" s="66"/>
      <c r="BI28" s="67"/>
      <c r="BJ28" s="66"/>
      <c r="BK28" s="66"/>
      <c r="BL28" s="67"/>
      <c r="BM28" s="66"/>
      <c r="BN28" s="68"/>
      <c r="BO28" s="71"/>
      <c r="BP28" s="5"/>
    </row>
    <row r="29" spans="1:68" s="1" customFormat="1" ht="24" customHeight="1">
      <c r="A29" s="5"/>
      <c r="B29" s="216"/>
      <c r="C29" s="217"/>
      <c r="D29" s="217"/>
      <c r="E29" s="217"/>
      <c r="F29" s="217"/>
      <c r="G29" s="218"/>
      <c r="H29" s="219"/>
      <c r="I29" s="220"/>
      <c r="J29" s="220"/>
      <c r="K29" s="220"/>
      <c r="L29" s="220"/>
      <c r="M29" s="220"/>
      <c r="N29" s="220"/>
      <c r="O29" s="221"/>
      <c r="P29" s="27"/>
      <c r="Q29" s="28"/>
      <c r="R29" s="29"/>
      <c r="S29" s="66"/>
      <c r="T29" s="66"/>
      <c r="U29" s="67"/>
      <c r="V29" s="66"/>
      <c r="W29" s="68"/>
      <c r="X29" s="69"/>
      <c r="Y29" s="70"/>
      <c r="Z29" s="66"/>
      <c r="AA29" s="67"/>
      <c r="AB29" s="66"/>
      <c r="AC29" s="66"/>
      <c r="AD29" s="67"/>
      <c r="AE29" s="66"/>
      <c r="AF29" s="68"/>
      <c r="AG29" s="71"/>
      <c r="AH29" s="5"/>
      <c r="AI29" s="5"/>
      <c r="AJ29" s="216"/>
      <c r="AK29" s="217"/>
      <c r="AL29" s="217"/>
      <c r="AM29" s="217"/>
      <c r="AN29" s="217"/>
      <c r="AO29" s="218"/>
      <c r="AP29" s="219"/>
      <c r="AQ29" s="220"/>
      <c r="AR29" s="220"/>
      <c r="AS29" s="220"/>
      <c r="AT29" s="220"/>
      <c r="AU29" s="220"/>
      <c r="AV29" s="220"/>
      <c r="AW29" s="221"/>
      <c r="AX29" s="27"/>
      <c r="AY29" s="28"/>
      <c r="AZ29" s="29"/>
      <c r="BA29" s="66"/>
      <c r="BB29" s="66"/>
      <c r="BC29" s="67"/>
      <c r="BD29" s="66"/>
      <c r="BE29" s="68"/>
      <c r="BF29" s="69"/>
      <c r="BG29" s="70"/>
      <c r="BH29" s="66"/>
      <c r="BI29" s="67"/>
      <c r="BJ29" s="66"/>
      <c r="BK29" s="66"/>
      <c r="BL29" s="67"/>
      <c r="BM29" s="66"/>
      <c r="BN29" s="68"/>
      <c r="BO29" s="71"/>
      <c r="BP29" s="5"/>
    </row>
    <row r="30" spans="1:68" s="1" customFormat="1" ht="24" customHeight="1">
      <c r="A30" s="5"/>
      <c r="B30" s="216"/>
      <c r="C30" s="217"/>
      <c r="D30" s="217"/>
      <c r="E30" s="217"/>
      <c r="F30" s="217"/>
      <c r="G30" s="218"/>
      <c r="H30" s="219"/>
      <c r="I30" s="220"/>
      <c r="J30" s="220"/>
      <c r="K30" s="220"/>
      <c r="L30" s="220"/>
      <c r="M30" s="220"/>
      <c r="N30" s="220"/>
      <c r="O30" s="221"/>
      <c r="P30" s="27"/>
      <c r="Q30" s="28"/>
      <c r="R30" s="29"/>
      <c r="S30" s="66"/>
      <c r="T30" s="66"/>
      <c r="U30" s="67"/>
      <c r="V30" s="66"/>
      <c r="W30" s="68"/>
      <c r="X30" s="69"/>
      <c r="Y30" s="70"/>
      <c r="Z30" s="66"/>
      <c r="AA30" s="67"/>
      <c r="AB30" s="66"/>
      <c r="AC30" s="66"/>
      <c r="AD30" s="67"/>
      <c r="AE30" s="66"/>
      <c r="AF30" s="68"/>
      <c r="AG30" s="71"/>
      <c r="AH30" s="5"/>
      <c r="AI30" s="5"/>
      <c r="AJ30" s="216"/>
      <c r="AK30" s="217"/>
      <c r="AL30" s="217"/>
      <c r="AM30" s="217"/>
      <c r="AN30" s="217"/>
      <c r="AO30" s="218"/>
      <c r="AP30" s="219"/>
      <c r="AQ30" s="220"/>
      <c r="AR30" s="220"/>
      <c r="AS30" s="220"/>
      <c r="AT30" s="220"/>
      <c r="AU30" s="220"/>
      <c r="AV30" s="220"/>
      <c r="AW30" s="221"/>
      <c r="AX30" s="27"/>
      <c r="AY30" s="28"/>
      <c r="AZ30" s="29"/>
      <c r="BA30" s="66"/>
      <c r="BB30" s="66"/>
      <c r="BC30" s="67"/>
      <c r="BD30" s="66"/>
      <c r="BE30" s="68"/>
      <c r="BF30" s="69"/>
      <c r="BG30" s="70"/>
      <c r="BH30" s="66"/>
      <c r="BI30" s="67"/>
      <c r="BJ30" s="66"/>
      <c r="BK30" s="66"/>
      <c r="BL30" s="67"/>
      <c r="BM30" s="66"/>
      <c r="BN30" s="68"/>
      <c r="BO30" s="71"/>
      <c r="BP30" s="5"/>
    </row>
    <row r="31" spans="1:68" s="1" customFormat="1" ht="24" customHeight="1" thickBot="1">
      <c r="A31" s="5"/>
      <c r="B31" s="302"/>
      <c r="C31" s="303"/>
      <c r="D31" s="303"/>
      <c r="E31" s="303"/>
      <c r="F31" s="303"/>
      <c r="G31" s="304"/>
      <c r="H31" s="305"/>
      <c r="I31" s="306"/>
      <c r="J31" s="306"/>
      <c r="K31" s="306"/>
      <c r="L31" s="306"/>
      <c r="M31" s="306"/>
      <c r="N31" s="306"/>
      <c r="O31" s="307"/>
      <c r="P31" s="30"/>
      <c r="Q31" s="31"/>
      <c r="R31" s="32"/>
      <c r="S31" s="72"/>
      <c r="T31" s="72"/>
      <c r="U31" s="73"/>
      <c r="V31" s="72"/>
      <c r="W31" s="74"/>
      <c r="X31" s="75"/>
      <c r="Y31" s="76"/>
      <c r="Z31" s="72"/>
      <c r="AA31" s="73"/>
      <c r="AB31" s="72"/>
      <c r="AC31" s="72"/>
      <c r="AD31" s="73"/>
      <c r="AE31" s="72"/>
      <c r="AF31" s="74"/>
      <c r="AG31" s="77"/>
      <c r="AH31" s="5"/>
      <c r="AI31" s="5"/>
      <c r="AJ31" s="302"/>
      <c r="AK31" s="303"/>
      <c r="AL31" s="303"/>
      <c r="AM31" s="303"/>
      <c r="AN31" s="303"/>
      <c r="AO31" s="304"/>
      <c r="AP31" s="305"/>
      <c r="AQ31" s="306"/>
      <c r="AR31" s="306"/>
      <c r="AS31" s="306"/>
      <c r="AT31" s="306"/>
      <c r="AU31" s="306"/>
      <c r="AV31" s="306"/>
      <c r="AW31" s="307"/>
      <c r="AX31" s="30"/>
      <c r="AY31" s="31"/>
      <c r="AZ31" s="32"/>
      <c r="BA31" s="72"/>
      <c r="BB31" s="72"/>
      <c r="BC31" s="73"/>
      <c r="BD31" s="72"/>
      <c r="BE31" s="74"/>
      <c r="BF31" s="75"/>
      <c r="BG31" s="76"/>
      <c r="BH31" s="72"/>
      <c r="BI31" s="73"/>
      <c r="BJ31" s="72"/>
      <c r="BK31" s="72"/>
      <c r="BL31" s="73"/>
      <c r="BM31" s="72"/>
      <c r="BN31" s="74"/>
      <c r="BO31" s="77"/>
      <c r="BP31" s="5"/>
    </row>
    <row r="32" spans="1:68" s="1" customFormat="1" ht="36" customHeight="1" thickBot="1">
      <c r="A32" s="5"/>
      <c r="B32" s="261" t="s">
        <v>17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3"/>
      <c r="AH32" s="5"/>
      <c r="AI32" s="5"/>
      <c r="AJ32" s="261" t="s">
        <v>17</v>
      </c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2"/>
      <c r="BN32" s="262"/>
      <c r="BO32" s="263"/>
      <c r="BP32" s="5"/>
    </row>
    <row r="33" spans="1:68" s="1" customFormat="1" ht="27" customHeight="1">
      <c r="A33" s="5"/>
      <c r="B33" s="264" t="s">
        <v>11</v>
      </c>
      <c r="C33" s="265"/>
      <c r="D33" s="265"/>
      <c r="E33" s="243" t="s">
        <v>3</v>
      </c>
      <c r="F33" s="244"/>
      <c r="G33" s="244"/>
      <c r="H33" s="270">
        <f>H14</f>
        <v>0</v>
      </c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1"/>
      <c r="AB33" s="271"/>
      <c r="AC33" s="271"/>
      <c r="AD33" s="271"/>
      <c r="AE33" s="271"/>
      <c r="AF33" s="271"/>
      <c r="AG33" s="272"/>
      <c r="AH33" s="5"/>
      <c r="AI33" s="5"/>
      <c r="AJ33" s="264" t="s">
        <v>11</v>
      </c>
      <c r="AK33" s="265"/>
      <c r="AL33" s="265"/>
      <c r="AM33" s="243" t="s">
        <v>2</v>
      </c>
      <c r="AN33" s="244"/>
      <c r="AO33" s="244"/>
      <c r="AP33" s="270">
        <f>H14</f>
        <v>0</v>
      </c>
      <c r="AQ33" s="271"/>
      <c r="AR33" s="271"/>
      <c r="AS33" s="271"/>
      <c r="AT33" s="271"/>
      <c r="AU33" s="271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2"/>
      <c r="BP33" s="5"/>
    </row>
    <row r="34" spans="1:68" s="1" customFormat="1" ht="18.75" customHeight="1">
      <c r="A34" s="5"/>
      <c r="B34" s="266"/>
      <c r="C34" s="267"/>
      <c r="D34" s="267"/>
      <c r="E34" s="273" t="s">
        <v>4</v>
      </c>
      <c r="F34" s="273"/>
      <c r="G34" s="274"/>
      <c r="H34" s="297">
        <f>H15</f>
        <v>0</v>
      </c>
      <c r="I34" s="298"/>
      <c r="J34" s="298"/>
      <c r="K34" s="298"/>
      <c r="L34" s="298"/>
      <c r="M34" s="298"/>
      <c r="N34" s="298"/>
      <c r="O34" s="299"/>
      <c r="P34" s="289" t="s">
        <v>13</v>
      </c>
      <c r="Q34" s="290"/>
      <c r="R34" s="290"/>
      <c r="S34" s="290"/>
      <c r="T34" s="291"/>
      <c r="U34" s="295">
        <f>U15</f>
        <v>0</v>
      </c>
      <c r="V34" s="283">
        <f t="shared" ref="V34:AG34" si="7">V15</f>
        <v>0</v>
      </c>
      <c r="W34" s="241">
        <f t="shared" si="7"/>
        <v>0</v>
      </c>
      <c r="X34" s="241">
        <f t="shared" si="7"/>
        <v>0</v>
      </c>
      <c r="Y34" s="281">
        <f t="shared" si="7"/>
        <v>0</v>
      </c>
      <c r="Z34" s="283">
        <f t="shared" si="7"/>
        <v>0</v>
      </c>
      <c r="AA34" s="241">
        <f t="shared" si="7"/>
        <v>0</v>
      </c>
      <c r="AB34" s="241">
        <f t="shared" si="7"/>
        <v>0</v>
      </c>
      <c r="AC34" s="281">
        <f t="shared" si="7"/>
        <v>0</v>
      </c>
      <c r="AD34" s="283">
        <f t="shared" si="7"/>
        <v>0</v>
      </c>
      <c r="AE34" s="241">
        <f t="shared" si="7"/>
        <v>0</v>
      </c>
      <c r="AF34" s="241">
        <f t="shared" si="7"/>
        <v>0</v>
      </c>
      <c r="AG34" s="281">
        <f t="shared" si="7"/>
        <v>0</v>
      </c>
      <c r="AH34" s="5"/>
      <c r="AI34" s="5"/>
      <c r="AJ34" s="266"/>
      <c r="AK34" s="267"/>
      <c r="AL34" s="267"/>
      <c r="AM34" s="273" t="s">
        <v>4</v>
      </c>
      <c r="AN34" s="273"/>
      <c r="AO34" s="274"/>
      <c r="AP34" s="297">
        <f>H15</f>
        <v>0</v>
      </c>
      <c r="AQ34" s="298"/>
      <c r="AR34" s="298"/>
      <c r="AS34" s="298"/>
      <c r="AT34" s="298"/>
      <c r="AU34" s="298"/>
      <c r="AV34" s="298"/>
      <c r="AW34" s="299"/>
      <c r="AX34" s="289" t="s">
        <v>13</v>
      </c>
      <c r="AY34" s="290"/>
      <c r="AZ34" s="290"/>
      <c r="BA34" s="290"/>
      <c r="BB34" s="291"/>
      <c r="BC34" s="295">
        <f>U15</f>
        <v>0</v>
      </c>
      <c r="BD34" s="283">
        <f t="shared" ref="BD34:BO34" si="8">BD15</f>
        <v>0</v>
      </c>
      <c r="BE34" s="241">
        <f t="shared" si="8"/>
        <v>0</v>
      </c>
      <c r="BF34" s="241">
        <f t="shared" si="8"/>
        <v>0</v>
      </c>
      <c r="BG34" s="281">
        <f t="shared" si="8"/>
        <v>0</v>
      </c>
      <c r="BH34" s="283">
        <f t="shared" si="8"/>
        <v>0</v>
      </c>
      <c r="BI34" s="241">
        <f t="shared" si="8"/>
        <v>0</v>
      </c>
      <c r="BJ34" s="241">
        <f t="shared" si="8"/>
        <v>0</v>
      </c>
      <c r="BK34" s="281">
        <f t="shared" si="8"/>
        <v>0</v>
      </c>
      <c r="BL34" s="283">
        <f t="shared" si="8"/>
        <v>0</v>
      </c>
      <c r="BM34" s="241">
        <f t="shared" si="8"/>
        <v>0</v>
      </c>
      <c r="BN34" s="241">
        <f t="shared" si="8"/>
        <v>0</v>
      </c>
      <c r="BO34" s="281">
        <f t="shared" si="8"/>
        <v>0</v>
      </c>
      <c r="BP34" s="5"/>
    </row>
    <row r="35" spans="1:68" s="1" customFormat="1" ht="9" customHeight="1" thickBot="1">
      <c r="A35" s="5"/>
      <c r="B35" s="268"/>
      <c r="C35" s="269"/>
      <c r="D35" s="269"/>
      <c r="E35" s="245"/>
      <c r="F35" s="245"/>
      <c r="G35" s="238"/>
      <c r="H35" s="300" t="str">
        <f>H16</f>
        <v xml:space="preserve">(電話) </v>
      </c>
      <c r="I35" s="301"/>
      <c r="J35" s="301"/>
      <c r="K35" s="301"/>
      <c r="L35" s="301"/>
      <c r="M35" s="301"/>
      <c r="N35" s="301"/>
      <c r="O35" s="301"/>
      <c r="P35" s="292"/>
      <c r="Q35" s="293"/>
      <c r="R35" s="293"/>
      <c r="S35" s="293"/>
      <c r="T35" s="294"/>
      <c r="U35" s="296"/>
      <c r="V35" s="284"/>
      <c r="W35" s="242"/>
      <c r="X35" s="242"/>
      <c r="Y35" s="282"/>
      <c r="Z35" s="284"/>
      <c r="AA35" s="242"/>
      <c r="AB35" s="242"/>
      <c r="AC35" s="282"/>
      <c r="AD35" s="284"/>
      <c r="AE35" s="242"/>
      <c r="AF35" s="242"/>
      <c r="AG35" s="282"/>
      <c r="AH35" s="5"/>
      <c r="AI35" s="5"/>
      <c r="AJ35" s="268"/>
      <c r="AK35" s="269"/>
      <c r="AL35" s="269"/>
      <c r="AM35" s="245"/>
      <c r="AN35" s="245"/>
      <c r="AO35" s="238"/>
      <c r="AP35" s="300" t="str">
        <f>H16</f>
        <v xml:space="preserve">(電話) </v>
      </c>
      <c r="AQ35" s="301"/>
      <c r="AR35" s="301"/>
      <c r="AS35" s="301"/>
      <c r="AT35" s="301"/>
      <c r="AU35" s="301"/>
      <c r="AV35" s="301"/>
      <c r="AW35" s="301"/>
      <c r="AX35" s="292"/>
      <c r="AY35" s="293"/>
      <c r="AZ35" s="293"/>
      <c r="BA35" s="293"/>
      <c r="BB35" s="294"/>
      <c r="BC35" s="296"/>
      <c r="BD35" s="284"/>
      <c r="BE35" s="242"/>
      <c r="BF35" s="242"/>
      <c r="BG35" s="282"/>
      <c r="BH35" s="284"/>
      <c r="BI35" s="242"/>
      <c r="BJ35" s="242"/>
      <c r="BK35" s="282"/>
      <c r="BL35" s="284"/>
      <c r="BM35" s="242"/>
      <c r="BN35" s="242"/>
      <c r="BO35" s="282"/>
      <c r="BP35" s="5"/>
    </row>
    <row r="36" spans="1:68" s="1" customFormat="1" ht="8.1" customHeight="1" thickBot="1">
      <c r="A36" s="5"/>
      <c r="B36" s="20"/>
      <c r="C36" s="21"/>
      <c r="D36" s="22"/>
      <c r="E36" s="23"/>
      <c r="F36" s="23"/>
      <c r="G36" s="24"/>
      <c r="H36" s="25"/>
      <c r="I36" s="4"/>
      <c r="J36" s="4"/>
      <c r="K36" s="4"/>
      <c r="L36" s="5"/>
      <c r="M36" s="20"/>
      <c r="N36" s="21"/>
      <c r="O36" s="22"/>
      <c r="P36" s="23"/>
      <c r="Q36" s="23"/>
      <c r="R36" s="23"/>
      <c r="S36" s="24"/>
      <c r="T36" s="25"/>
      <c r="U36" s="4"/>
      <c r="V36" s="4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20"/>
      <c r="AK36" s="21"/>
      <c r="AL36" s="22"/>
      <c r="AM36" s="23"/>
      <c r="AN36" s="23"/>
      <c r="AO36" s="24"/>
      <c r="AP36" s="25"/>
      <c r="AQ36" s="4"/>
      <c r="AR36" s="4"/>
      <c r="AS36" s="4"/>
      <c r="AT36" s="5"/>
      <c r="AU36" s="20"/>
      <c r="AV36" s="21"/>
      <c r="AW36" s="22"/>
      <c r="AX36" s="23"/>
      <c r="AY36" s="23"/>
      <c r="AZ36" s="23"/>
      <c r="BA36" s="24"/>
      <c r="BB36" s="25"/>
      <c r="BC36" s="4"/>
      <c r="BD36" s="4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</row>
    <row r="37" spans="1:68" s="1" customFormat="1" ht="15.95" customHeight="1" thickBot="1">
      <c r="A37" s="5"/>
      <c r="B37" s="222" t="s">
        <v>14</v>
      </c>
      <c r="C37" s="223"/>
      <c r="D37" s="223"/>
      <c r="E37" s="223"/>
      <c r="F37" s="223"/>
      <c r="G37" s="223"/>
      <c r="H37" s="224" t="s">
        <v>15</v>
      </c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 t="s">
        <v>16</v>
      </c>
      <c r="V37" s="224"/>
      <c r="W37" s="224"/>
      <c r="X37" s="224"/>
      <c r="Y37" s="224"/>
      <c r="Z37" s="224"/>
      <c r="AA37" s="224"/>
      <c r="AB37" s="224"/>
      <c r="AC37" s="224"/>
      <c r="AD37" s="224"/>
      <c r="AE37" s="224"/>
      <c r="AF37" s="224"/>
      <c r="AG37" s="288"/>
      <c r="AH37" s="5"/>
      <c r="AI37" s="5"/>
      <c r="AJ37" s="222" t="s">
        <v>14</v>
      </c>
      <c r="AK37" s="223"/>
      <c r="AL37" s="223"/>
      <c r="AM37" s="223"/>
      <c r="AN37" s="223"/>
      <c r="AO37" s="223"/>
      <c r="AP37" s="224" t="s">
        <v>15</v>
      </c>
      <c r="AQ37" s="224"/>
      <c r="AR37" s="224"/>
      <c r="AS37" s="224"/>
      <c r="AT37" s="224"/>
      <c r="AU37" s="224"/>
      <c r="AV37" s="224"/>
      <c r="AW37" s="224"/>
      <c r="AX37" s="224"/>
      <c r="AY37" s="224"/>
      <c r="AZ37" s="224"/>
      <c r="BA37" s="224"/>
      <c r="BB37" s="224"/>
      <c r="BC37" s="224" t="s">
        <v>16</v>
      </c>
      <c r="BD37" s="224"/>
      <c r="BE37" s="224"/>
      <c r="BF37" s="224"/>
      <c r="BG37" s="224"/>
      <c r="BH37" s="224"/>
      <c r="BI37" s="224"/>
      <c r="BJ37" s="224"/>
      <c r="BK37" s="224"/>
      <c r="BL37" s="224"/>
      <c r="BM37" s="224"/>
      <c r="BN37" s="224"/>
      <c r="BO37" s="288"/>
      <c r="BP37" s="5"/>
    </row>
    <row r="38" spans="1:68" ht="6" customHeight="1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</row>
  </sheetData>
  <sheetProtection sheet="1" objects="1" scenarios="1"/>
  <mergeCells count="188">
    <mergeCell ref="AX34:BB35"/>
    <mergeCell ref="BC34:BC35"/>
    <mergeCell ref="BD34:BD35"/>
    <mergeCell ref="BE34:BE35"/>
    <mergeCell ref="BF34:BF35"/>
    <mergeCell ref="BG34:BG35"/>
    <mergeCell ref="BH34:BH35"/>
    <mergeCell ref="BI34:BI35"/>
    <mergeCell ref="BI15:BI16"/>
    <mergeCell ref="BJ15:BJ16"/>
    <mergeCell ref="BK15:BK16"/>
    <mergeCell ref="BL15:BL16"/>
    <mergeCell ref="BM15:BM16"/>
    <mergeCell ref="BN15:BN16"/>
    <mergeCell ref="BO15:BO16"/>
    <mergeCell ref="AP16:AW16"/>
    <mergeCell ref="AP23:AW23"/>
    <mergeCell ref="AX23:BB23"/>
    <mergeCell ref="BC18:BO18"/>
    <mergeCell ref="AX4:BB4"/>
    <mergeCell ref="AP15:AW15"/>
    <mergeCell ref="AX15:BB16"/>
    <mergeCell ref="BC15:BC16"/>
    <mergeCell ref="BD15:BD16"/>
    <mergeCell ref="BE15:BE16"/>
    <mergeCell ref="BF15:BF16"/>
    <mergeCell ref="BG15:BG16"/>
    <mergeCell ref="BH15:BH16"/>
    <mergeCell ref="B37:G37"/>
    <mergeCell ref="H37:T37"/>
    <mergeCell ref="U37:AG37"/>
    <mergeCell ref="AJ37:AO37"/>
    <mergeCell ref="AP37:BB37"/>
    <mergeCell ref="BC37:BO37"/>
    <mergeCell ref="AF34:AF35"/>
    <mergeCell ref="AG34:AG35"/>
    <mergeCell ref="B33:D35"/>
    <mergeCell ref="E33:G33"/>
    <mergeCell ref="H33:AG33"/>
    <mergeCell ref="AJ33:AL35"/>
    <mergeCell ref="AM33:AO33"/>
    <mergeCell ref="AP33:BO33"/>
    <mergeCell ref="E34:G35"/>
    <mergeCell ref="H34:O34"/>
    <mergeCell ref="X34:X35"/>
    <mergeCell ref="Y34:Y35"/>
    <mergeCell ref="Z34:Z35"/>
    <mergeCell ref="AA34:AA35"/>
    <mergeCell ref="P34:T35"/>
    <mergeCell ref="U34:U35"/>
    <mergeCell ref="V34:V35"/>
    <mergeCell ref="W34:W35"/>
    <mergeCell ref="BJ34:BJ35"/>
    <mergeCell ref="BK34:BK35"/>
    <mergeCell ref="BL34:BL35"/>
    <mergeCell ref="B30:G30"/>
    <mergeCell ref="H30:O30"/>
    <mergeCell ref="AJ30:AO30"/>
    <mergeCell ref="AP30:AW30"/>
    <mergeCell ref="B32:AG32"/>
    <mergeCell ref="AJ32:BO32"/>
    <mergeCell ref="AM34:AO35"/>
    <mergeCell ref="AB34:AB35"/>
    <mergeCell ref="AC34:AC35"/>
    <mergeCell ref="AD34:AD35"/>
    <mergeCell ref="AE34:AE35"/>
    <mergeCell ref="H35:O35"/>
    <mergeCell ref="B31:G31"/>
    <mergeCell ref="H31:O31"/>
    <mergeCell ref="AJ31:AO31"/>
    <mergeCell ref="BM34:BM35"/>
    <mergeCell ref="BN34:BN35"/>
    <mergeCell ref="BO34:BO35"/>
    <mergeCell ref="AP35:AW35"/>
    <mergeCell ref="AP31:AW31"/>
    <mergeCell ref="AP34:AW34"/>
    <mergeCell ref="B29:G29"/>
    <mergeCell ref="H29:O29"/>
    <mergeCell ref="AJ29:AO29"/>
    <mergeCell ref="AP29:AW29"/>
    <mergeCell ref="H10:O10"/>
    <mergeCell ref="H11:O11"/>
    <mergeCell ref="H12:O12"/>
    <mergeCell ref="B18:G18"/>
    <mergeCell ref="H18:T18"/>
    <mergeCell ref="U18:AG18"/>
    <mergeCell ref="P15:T16"/>
    <mergeCell ref="B13:AG13"/>
    <mergeCell ref="U15:U16"/>
    <mergeCell ref="V15:V16"/>
    <mergeCell ref="W15:W16"/>
    <mergeCell ref="X15:X16"/>
    <mergeCell ref="B14:D16"/>
    <mergeCell ref="E15:G16"/>
    <mergeCell ref="H15:O15"/>
    <mergeCell ref="H16:O16"/>
    <mergeCell ref="AG15:AG16"/>
    <mergeCell ref="Y15:Y16"/>
    <mergeCell ref="Z15:Z16"/>
    <mergeCell ref="AA15:AA16"/>
    <mergeCell ref="AJ2:BO2"/>
    <mergeCell ref="AJ3:AL4"/>
    <mergeCell ref="AM3:AO3"/>
    <mergeCell ref="AP3:BO3"/>
    <mergeCell ref="AM4:AO4"/>
    <mergeCell ref="AF15:AF16"/>
    <mergeCell ref="AC15:AC16"/>
    <mergeCell ref="AD15:AD16"/>
    <mergeCell ref="BG5:BO5"/>
    <mergeCell ref="B2:AG2"/>
    <mergeCell ref="B3:D4"/>
    <mergeCell ref="E3:G3"/>
    <mergeCell ref="E4:G4"/>
    <mergeCell ref="H3:AG3"/>
    <mergeCell ref="H4:O4"/>
    <mergeCell ref="P4:T4"/>
    <mergeCell ref="H5:O5"/>
    <mergeCell ref="AP4:AW4"/>
    <mergeCell ref="AX5:BF5"/>
    <mergeCell ref="AJ7:AO7"/>
    <mergeCell ref="AP7:AW7"/>
    <mergeCell ref="H14:AG14"/>
    <mergeCell ref="B12:G12"/>
    <mergeCell ref="B11:G11"/>
    <mergeCell ref="B5:G5"/>
    <mergeCell ref="AP10:AW10"/>
    <mergeCell ref="AJ11:AO11"/>
    <mergeCell ref="AP11:AW11"/>
    <mergeCell ref="B10:G10"/>
    <mergeCell ref="AJ8:AO8"/>
    <mergeCell ref="AP8:AW8"/>
    <mergeCell ref="AJ9:AO9"/>
    <mergeCell ref="P5:X5"/>
    <mergeCell ref="Y5:AG5"/>
    <mergeCell ref="B8:G8"/>
    <mergeCell ref="B7:G7"/>
    <mergeCell ref="H7:O7"/>
    <mergeCell ref="H8:O8"/>
    <mergeCell ref="AJ5:AO5"/>
    <mergeCell ref="AP9:AW9"/>
    <mergeCell ref="AP5:AW5"/>
    <mergeCell ref="H9:O9"/>
    <mergeCell ref="AE15:AE16"/>
    <mergeCell ref="AB15:AB16"/>
    <mergeCell ref="E14:G14"/>
    <mergeCell ref="AM23:AO23"/>
    <mergeCell ref="AX24:BF24"/>
    <mergeCell ref="BG24:BO24"/>
    <mergeCell ref="B21:AG21"/>
    <mergeCell ref="AJ21:BO21"/>
    <mergeCell ref="B9:G9"/>
    <mergeCell ref="B22:D23"/>
    <mergeCell ref="E22:G22"/>
    <mergeCell ref="H22:AG22"/>
    <mergeCell ref="AJ22:AL23"/>
    <mergeCell ref="AM22:AO22"/>
    <mergeCell ref="AP22:BO22"/>
    <mergeCell ref="E23:G23"/>
    <mergeCell ref="AJ12:AO12"/>
    <mergeCell ref="AP12:AW12"/>
    <mergeCell ref="AJ13:BO13"/>
    <mergeCell ref="AJ14:AL16"/>
    <mergeCell ref="AM14:AO14"/>
    <mergeCell ref="AP14:BO14"/>
    <mergeCell ref="AM15:AO16"/>
    <mergeCell ref="AJ10:AO10"/>
    <mergeCell ref="B28:G28"/>
    <mergeCell ref="H28:O28"/>
    <mergeCell ref="AJ28:AO28"/>
    <mergeCell ref="AP28:AW28"/>
    <mergeCell ref="B27:G27"/>
    <mergeCell ref="H27:O27"/>
    <mergeCell ref="AJ27:AO27"/>
    <mergeCell ref="AP27:AW27"/>
    <mergeCell ref="AJ18:AO18"/>
    <mergeCell ref="AP18:BB18"/>
    <mergeCell ref="B26:G26"/>
    <mergeCell ref="H26:O26"/>
    <mergeCell ref="B24:G24"/>
    <mergeCell ref="H24:O24"/>
    <mergeCell ref="P24:X24"/>
    <mergeCell ref="Y24:AG24"/>
    <mergeCell ref="AJ26:AO26"/>
    <mergeCell ref="AP26:AW26"/>
    <mergeCell ref="AJ24:AO24"/>
    <mergeCell ref="AP24:AW24"/>
    <mergeCell ref="H23:O23"/>
    <mergeCell ref="P23:T23"/>
  </mergeCells>
  <phoneticPr fontId="2"/>
  <dataValidations count="2">
    <dataValidation imeMode="on" allowBlank="1" showInputMessage="1" showErrorMessage="1" sqref="M6:O6 E14:E15 P4 E3:E4 H3 P15 H22 C6:E6 P34 P7:P12 U4:V4 H7 C25:E25 B25:B31 P26:P31 U23:V23 B6:B12 Y7:Y12 Y26:Y31 M25:O25 E33:E34 P23 E22:E23 AU6:AW6 AM14:AM15 AX4 AM3:AM4 AP3 AX15 AP22 AK6:AM6 AX34 AX7:AX12 AM22:AM23 AP7 AK25:AM25 AJ25:AJ31 AX26:AX31 BC23:BD23 AJ6:AJ12 BG7:BG12 BG26:BG31 AU25:AW25 AM33:AM34 AX23 BC4:BD4"/>
    <dataValidation imeMode="off" allowBlank="1" showInputMessage="1" showErrorMessage="1" sqref="H15:H16 H26:H31 U15:U16 V15:AG15 Q7:V12 U34:U35 Z7:AE12 V34:AG34 Q26:V31 H8:H12 Z26:AE31 H34:H35 AP15:AP16 AP26:AP31 BH26:BM31 AP34:AP35 AY7:BD12 BC34:BC35 BH7:BM12 BD34:BO34 AY26:BD31 AP8:AP12 BC15:BC16 BD15:BO15"/>
  </dataValidations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I23"/>
  <sheetViews>
    <sheetView showGridLines="0" workbookViewId="0">
      <selection activeCell="M19" sqref="M19"/>
    </sheetView>
  </sheetViews>
  <sheetFormatPr defaultRowHeight="13.5"/>
  <cols>
    <col min="1" max="1" width="1.125" style="83" customWidth="1"/>
    <col min="2" max="2" width="10.75" style="83" customWidth="1"/>
    <col min="3" max="3" width="10.625" style="83" customWidth="1"/>
    <col min="4" max="4" width="17.125" style="83" customWidth="1"/>
    <col min="5" max="8" width="10.625" style="83" customWidth="1"/>
    <col min="9" max="9" width="1.25" style="83" customWidth="1"/>
    <col min="10" max="11" width="1" style="83" customWidth="1"/>
    <col min="12" max="12" width="8.5" style="83" customWidth="1"/>
    <col min="13" max="13" width="11.75" style="83" customWidth="1"/>
    <col min="14" max="14" width="1.375" style="83" customWidth="1"/>
    <col min="15" max="15" width="6.75" style="83" customWidth="1"/>
    <col min="16" max="16" width="1" style="83" customWidth="1"/>
    <col min="17" max="17" width="8.25" customWidth="1"/>
    <col min="18" max="18" width="6" customWidth="1"/>
    <col min="19" max="19" width="5.625" customWidth="1"/>
    <col min="20" max="20" width="4.125" customWidth="1"/>
    <col min="21" max="21" width="7.25" customWidth="1"/>
    <col min="22" max="22" width="4" customWidth="1"/>
    <col min="24" max="24" width="4.375" customWidth="1"/>
    <col min="39" max="39" width="9" style="83"/>
    <col min="40" max="50" width="5.625" style="83" customWidth="1"/>
    <col min="51" max="51" width="6.25" style="83" customWidth="1"/>
    <col min="52" max="61" width="5.625" style="83" customWidth="1"/>
    <col min="62" max="16384" width="9" style="83"/>
  </cols>
  <sheetData>
    <row r="1" spans="1:61" ht="19.5" customHeight="1" thickBot="1">
      <c r="B1" s="84" t="s">
        <v>32</v>
      </c>
      <c r="E1" s="85" t="s">
        <v>63</v>
      </c>
      <c r="M1" s="86"/>
      <c r="N1" s="86"/>
      <c r="Q1" t="s">
        <v>75</v>
      </c>
      <c r="AN1" s="86"/>
      <c r="AO1" s="86"/>
      <c r="AP1" s="86"/>
      <c r="AQ1" s="86"/>
      <c r="AR1" s="86"/>
      <c r="AS1" s="86"/>
      <c r="AT1" s="86"/>
      <c r="AU1" s="86"/>
    </row>
    <row r="2" spans="1:61" ht="18" customHeight="1" thickBot="1">
      <c r="B2" s="178" t="s">
        <v>20</v>
      </c>
      <c r="C2" s="87" t="s">
        <v>22</v>
      </c>
      <c r="D2" s="315" t="s">
        <v>38</v>
      </c>
      <c r="E2" s="316"/>
      <c r="F2" s="316"/>
      <c r="G2" s="316"/>
      <c r="H2" s="316"/>
      <c r="I2" s="88"/>
      <c r="J2" s="86"/>
      <c r="L2" s="164">
        <v>8</v>
      </c>
      <c r="M2" s="86" t="s">
        <v>36</v>
      </c>
      <c r="N2" s="86"/>
      <c r="AN2" s="89"/>
      <c r="AO2" s="89"/>
      <c r="AP2" s="89"/>
      <c r="AQ2" s="89"/>
      <c r="AR2" s="90"/>
      <c r="AS2" s="90"/>
      <c r="AT2" s="90"/>
      <c r="AU2" s="86"/>
    </row>
    <row r="3" spans="1:61" ht="18" customHeight="1" thickBot="1">
      <c r="B3" s="179"/>
      <c r="C3" s="87" t="s">
        <v>18</v>
      </c>
      <c r="D3" s="315" t="s">
        <v>39</v>
      </c>
      <c r="E3" s="317"/>
      <c r="F3" s="316"/>
      <c r="G3" s="316"/>
      <c r="H3" s="316"/>
      <c r="I3" s="88"/>
      <c r="J3" s="86"/>
      <c r="Q3" s="145">
        <v>13364</v>
      </c>
      <c r="R3" s="134" t="s">
        <v>64</v>
      </c>
      <c r="S3" s="141">
        <f>Q3</f>
        <v>13364</v>
      </c>
      <c r="T3" s="136" t="s">
        <v>65</v>
      </c>
      <c r="U3" s="137">
        <v>0.1021</v>
      </c>
      <c r="V3" s="136" t="s">
        <v>66</v>
      </c>
      <c r="W3" s="144">
        <f>ROUNDUP(Q3-(Q3*U3),0)</f>
        <v>12000</v>
      </c>
      <c r="X3" s="138"/>
    </row>
    <row r="4" spans="1:61" ht="18" customHeight="1" thickBot="1">
      <c r="B4" s="180"/>
      <c r="C4" s="87" t="s">
        <v>19</v>
      </c>
      <c r="D4" s="146" t="s">
        <v>40</v>
      </c>
      <c r="E4" s="57"/>
      <c r="F4" s="91"/>
      <c r="G4" s="91"/>
      <c r="H4" s="91"/>
      <c r="I4" s="86"/>
      <c r="J4" s="86"/>
      <c r="L4" s="92" t="s">
        <v>33</v>
      </c>
      <c r="M4" s="81"/>
      <c r="N4" s="93">
        <f>LEN(M4)</f>
        <v>0</v>
      </c>
      <c r="Q4" s="138" t="s">
        <v>67</v>
      </c>
      <c r="R4" s="138"/>
      <c r="S4" s="138"/>
      <c r="T4" s="138"/>
      <c r="U4" s="139"/>
      <c r="V4" s="138"/>
      <c r="W4" s="176" t="s">
        <v>69</v>
      </c>
      <c r="X4" s="177"/>
      <c r="AN4" s="94">
        <f>IF($N4&lt;13,0,MID($M4,$N4-12,1))</f>
        <v>0</v>
      </c>
      <c r="AO4" s="94">
        <f>IF($N4&lt;12,0,MID($M4,$N4-11,1))</f>
        <v>0</v>
      </c>
      <c r="AP4" s="94">
        <f>IF($N4&lt;11,0,MID($M4,$N4-10,1))</f>
        <v>0</v>
      </c>
      <c r="AQ4" s="94">
        <f>IF($N4&lt;10,0,MID($M4,$N4-9,1))</f>
        <v>0</v>
      </c>
      <c r="AR4" s="94">
        <f>IF($N4&lt;9,0,MID($M4,$N4-8,1))</f>
        <v>0</v>
      </c>
      <c r="AS4" s="94">
        <f>IF($N4&lt;8,0,MID($M4,$N4-7,1))</f>
        <v>0</v>
      </c>
      <c r="AT4" s="94">
        <f>IF($N4&lt;7,0,MID($M4,$N4-6,1))</f>
        <v>0</v>
      </c>
      <c r="AU4" s="94">
        <f>IF($N4&lt;6,0,MID($M4,$N4-5,1))</f>
        <v>0</v>
      </c>
      <c r="AV4" s="94">
        <f>IF($N4&lt;5,0,MID($M4,$N4-4,1))</f>
        <v>0</v>
      </c>
      <c r="AW4" s="94">
        <f>IF($N4&lt;4,0,MID($M4,$N4-3,1))</f>
        <v>0</v>
      </c>
      <c r="AX4" s="94">
        <f>IF($N4&lt;3,0,MID($M4,$N4-2,1))</f>
        <v>0</v>
      </c>
      <c r="AY4" s="94">
        <f>IF($N4&lt;2,0,MID($M4,$N4-1,1))</f>
        <v>0</v>
      </c>
      <c r="AZ4" s="94">
        <f>IF($N4&lt;1,0,MID($M4,$N4,1))</f>
        <v>0</v>
      </c>
      <c r="BA4" s="93"/>
      <c r="BB4" s="93"/>
      <c r="BC4" s="93"/>
      <c r="BD4" s="93"/>
      <c r="BE4" s="93"/>
      <c r="BF4" s="93"/>
      <c r="BG4" s="93"/>
      <c r="BH4" s="93"/>
      <c r="BI4" s="93"/>
    </row>
    <row r="5" spans="1:61" ht="3.75" customHeight="1" thickBot="1">
      <c r="B5" s="183"/>
      <c r="C5" s="183"/>
      <c r="D5" s="95"/>
      <c r="E5" s="96"/>
      <c r="F5" s="86"/>
      <c r="G5" s="86"/>
      <c r="H5" s="86"/>
      <c r="I5" s="86"/>
      <c r="J5" s="86"/>
      <c r="N5" s="93"/>
      <c r="Q5" s="138"/>
      <c r="R5" s="138"/>
      <c r="S5" s="138"/>
      <c r="T5" s="138"/>
      <c r="U5" s="139" t="s">
        <v>68</v>
      </c>
      <c r="V5" s="138"/>
      <c r="W5" s="138"/>
      <c r="X5" s="138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</row>
    <row r="6" spans="1:61" ht="18" customHeight="1" thickBot="1">
      <c r="B6" s="181" t="s">
        <v>21</v>
      </c>
      <c r="C6" s="87" t="s">
        <v>22</v>
      </c>
      <c r="D6" s="312" t="s">
        <v>56</v>
      </c>
      <c r="E6" s="313"/>
      <c r="F6" s="87" t="s">
        <v>34</v>
      </c>
      <c r="G6" s="147">
        <v>123456789123</v>
      </c>
      <c r="I6" s="86"/>
      <c r="J6" s="86"/>
      <c r="N6" s="93"/>
      <c r="Q6" s="138"/>
      <c r="R6" s="138"/>
      <c r="S6" s="138"/>
      <c r="T6" s="138"/>
      <c r="U6" s="142">
        <f>ROUNDDOWN(Q3*U3,0)</f>
        <v>1364</v>
      </c>
      <c r="V6" s="138" t="s">
        <v>70</v>
      </c>
      <c r="W6" s="138"/>
      <c r="X6" s="138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</row>
    <row r="7" spans="1:61" ht="18" customHeight="1" thickBot="1">
      <c r="B7" s="182"/>
      <c r="C7" s="87" t="s">
        <v>18</v>
      </c>
      <c r="D7" s="312" t="s">
        <v>57</v>
      </c>
      <c r="E7" s="314"/>
      <c r="F7" s="314"/>
      <c r="G7" s="314"/>
      <c r="H7" s="314"/>
      <c r="I7" s="97"/>
      <c r="J7" s="133"/>
      <c r="N7" s="93">
        <f>LEN(G6)</f>
        <v>12</v>
      </c>
      <c r="Q7" s="138"/>
      <c r="R7" s="138"/>
      <c r="S7" s="138"/>
      <c r="T7" s="138"/>
      <c r="U7" s="138"/>
      <c r="V7" s="138"/>
      <c r="W7" s="138"/>
      <c r="X7" s="138"/>
      <c r="AN7" s="94">
        <f>IF($N7&lt;13,0,MID($G6,$N7-12,1))</f>
        <v>0</v>
      </c>
      <c r="AO7" s="94" t="str">
        <f>IF($N7&lt;12,0,MID($G6,$N7-11,1))</f>
        <v>1</v>
      </c>
      <c r="AP7" s="94" t="str">
        <f>IF($N7&lt;11,0,MID($G6,$N7-10,1))</f>
        <v>2</v>
      </c>
      <c r="AQ7" s="94" t="str">
        <f>IF($N7&lt;10,0,MID($G6,$N7-9,1))</f>
        <v>3</v>
      </c>
      <c r="AR7" s="94" t="str">
        <f>IF($N7&lt;9,0,MID($G6,$N7-8,1))</f>
        <v>4</v>
      </c>
      <c r="AS7" s="94" t="str">
        <f>IF($N7&lt;8,0,MID($G6,$N7-7,1))</f>
        <v>5</v>
      </c>
      <c r="AT7" s="94" t="str">
        <f>IF($N7&lt;7,0,MID($G6,$N7-6,1))</f>
        <v>6</v>
      </c>
      <c r="AU7" s="94" t="str">
        <f>IF($N7&lt;6,0,MID($G6,$N7-5,1))</f>
        <v>7</v>
      </c>
      <c r="AV7" s="94" t="str">
        <f>IF($N7&lt;5,0,MID($G6,$N7-4,1))</f>
        <v>8</v>
      </c>
      <c r="AW7" s="94" t="str">
        <f>IF($N7&lt;4,0,MID($G6,$N7-3,1))</f>
        <v>9</v>
      </c>
      <c r="AX7" s="94" t="str">
        <f>IF($N7&lt;3,0,MID($G6,$N7-2,1))</f>
        <v>1</v>
      </c>
      <c r="AY7" s="94" t="str">
        <f>IF($N7&lt;2,0,MID($G6,$N7-1,1))</f>
        <v>2</v>
      </c>
      <c r="AZ7" s="94" t="str">
        <f>IF($N7&lt;1,0,MID($G6,$N7,1))</f>
        <v>3</v>
      </c>
      <c r="BA7" s="93"/>
      <c r="BB7" s="93"/>
      <c r="BC7" s="93"/>
      <c r="BD7" s="93"/>
      <c r="BE7" s="93"/>
      <c r="BF7" s="93"/>
      <c r="BG7" s="93"/>
      <c r="BH7" s="93"/>
      <c r="BI7" s="93"/>
    </row>
    <row r="8" spans="1:61" ht="18" customHeight="1" thickBot="1">
      <c r="B8" s="87" t="s">
        <v>30</v>
      </c>
      <c r="C8" s="184" t="s">
        <v>31</v>
      </c>
      <c r="D8" s="185"/>
      <c r="E8" s="99" t="s">
        <v>23</v>
      </c>
      <c r="F8" s="99" t="s">
        <v>24</v>
      </c>
      <c r="G8" s="100" t="s">
        <v>25</v>
      </c>
      <c r="H8" s="100" t="s">
        <v>35</v>
      </c>
      <c r="I8" s="101"/>
      <c r="J8" s="101"/>
      <c r="L8" s="102" t="s">
        <v>61</v>
      </c>
      <c r="M8" s="101"/>
      <c r="N8" s="93"/>
      <c r="Q8" s="138"/>
      <c r="R8" s="138"/>
      <c r="S8" s="138"/>
      <c r="T8" s="138"/>
      <c r="U8" s="138"/>
      <c r="V8" s="138"/>
      <c r="W8" s="138"/>
      <c r="X8" s="138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</row>
    <row r="9" spans="1:61" ht="15.95" customHeight="1" thickBot="1">
      <c r="B9" s="148" t="s">
        <v>37</v>
      </c>
      <c r="C9" s="308" t="s">
        <v>41</v>
      </c>
      <c r="D9" s="309"/>
      <c r="E9" s="103">
        <f t="shared" ref="E9:E21" si="0">INT(G9/0.8979)</f>
        <v>160374</v>
      </c>
      <c r="F9" s="104">
        <f t="shared" ref="F9:F21" si="1">E9-G9</f>
        <v>16374</v>
      </c>
      <c r="G9" s="105">
        <f>SUM(G10:G21)</f>
        <v>144000</v>
      </c>
      <c r="H9" s="82"/>
      <c r="I9" s="106">
        <f t="shared" ref="I9:K21" si="2">LEN(E9)</f>
        <v>6</v>
      </c>
      <c r="J9" s="106">
        <f t="shared" si="2"/>
        <v>5</v>
      </c>
      <c r="K9" s="106">
        <f t="shared" si="2"/>
        <v>6</v>
      </c>
      <c r="L9" s="310" t="s">
        <v>47</v>
      </c>
      <c r="M9" s="311"/>
      <c r="N9" s="93"/>
      <c r="Q9" s="145">
        <v>12000</v>
      </c>
      <c r="R9" s="134" t="s">
        <v>71</v>
      </c>
      <c r="S9" s="135">
        <v>100</v>
      </c>
      <c r="T9" s="136" t="s">
        <v>72</v>
      </c>
      <c r="U9" s="140">
        <v>10.210000000000001</v>
      </c>
      <c r="V9" s="136" t="s">
        <v>73</v>
      </c>
      <c r="W9" s="144">
        <f>ROUNDDOWN(Q9/(1-0.1021),0)</f>
        <v>13364</v>
      </c>
      <c r="X9" s="138"/>
      <c r="AN9" s="93"/>
      <c r="AO9" s="93"/>
      <c r="AP9" s="93"/>
      <c r="AQ9" s="93"/>
      <c r="AR9" s="93"/>
      <c r="AS9" s="93"/>
      <c r="AT9" s="94">
        <f t="shared" ref="AT9:AT21" si="3">IF($I9&lt;7,0,MID($E9,$I9-6,1))</f>
        <v>0</v>
      </c>
      <c r="AU9" s="94" t="str">
        <f t="shared" ref="AU9:AU21" si="4">IF($I9&lt;6,0,MID($E9,$I9-5,1))</f>
        <v>1</v>
      </c>
      <c r="AV9" s="94" t="str">
        <f t="shared" ref="AV9:AV21" si="5">IF($I9&lt;5,0,MID($E9,$I9-4,1))</f>
        <v>6</v>
      </c>
      <c r="AW9" s="94" t="str">
        <f t="shared" ref="AW9:AW21" si="6">IF($I9&lt;4,0,MID($E9,$I9-3,1))</f>
        <v>0</v>
      </c>
      <c r="AX9" s="94" t="str">
        <f t="shared" ref="AX9:AX21" si="7">IF($I9&lt;3,0,MID($E9,$I9-2,1))</f>
        <v>3</v>
      </c>
      <c r="AY9" s="94" t="str">
        <f t="shared" ref="AY9:AY21" si="8">IF($I9&lt;2,0,MID($E9,$I9-1,1))</f>
        <v>7</v>
      </c>
      <c r="AZ9" s="94" t="str">
        <f t="shared" ref="AZ9:AZ21" si="9">IF($I9&lt;1,0,MID($E9,$I9,1))</f>
        <v>4</v>
      </c>
      <c r="BA9" s="93"/>
      <c r="BB9" s="93"/>
      <c r="BC9" s="94">
        <f t="shared" ref="BC9:BC21" si="10">IF($J9&lt;7,0,MID($F9,$J9-6,1))</f>
        <v>0</v>
      </c>
      <c r="BD9" s="94">
        <f t="shared" ref="BD9:BD21" si="11">IF($J9&lt;6,0,MID($F9,$J9-5,1))</f>
        <v>0</v>
      </c>
      <c r="BE9" s="94" t="str">
        <f t="shared" ref="BE9:BE21" si="12">IF($J9&lt;5,0,MID($F9,$J9-4,1))</f>
        <v>1</v>
      </c>
      <c r="BF9" s="94" t="str">
        <f t="shared" ref="BF9:BF21" si="13">IF($J9&lt;4,0,MID($F9,$J9-3,1))</f>
        <v>6</v>
      </c>
      <c r="BG9" s="94" t="str">
        <f t="shared" ref="BG9:BG21" si="14">IF($J9&lt;3,0,MID($F9,$J9-2,1))</f>
        <v>3</v>
      </c>
      <c r="BH9" s="94" t="str">
        <f t="shared" ref="BH9:BH21" si="15">IF($J9&lt;2,0,MID($F9,$J9-1,1))</f>
        <v>7</v>
      </c>
      <c r="BI9" s="94" t="str">
        <f t="shared" ref="BI9:BI21" si="16">IF($J9&lt;1,0,MID($F9,$J9,1))</f>
        <v>4</v>
      </c>
    </row>
    <row r="10" spans="1:61" ht="15.95" customHeight="1" thickTop="1" thickBot="1">
      <c r="A10" s="83">
        <v>1</v>
      </c>
      <c r="B10" s="149" t="s">
        <v>37</v>
      </c>
      <c r="C10" s="150" t="s">
        <v>41</v>
      </c>
      <c r="D10" s="151" t="s">
        <v>58</v>
      </c>
      <c r="E10" s="107">
        <f t="shared" si="0"/>
        <v>13364</v>
      </c>
      <c r="F10" s="108">
        <f t="shared" si="1"/>
        <v>1364</v>
      </c>
      <c r="G10" s="158">
        <v>12000</v>
      </c>
      <c r="H10" s="159">
        <v>46042</v>
      </c>
      <c r="I10" s="106">
        <v>1</v>
      </c>
      <c r="J10" s="106">
        <f t="shared" si="2"/>
        <v>4</v>
      </c>
      <c r="K10" s="106">
        <f t="shared" si="2"/>
        <v>5</v>
      </c>
      <c r="L10" s="106"/>
      <c r="M10" s="101"/>
      <c r="N10" s="93"/>
      <c r="Q10" s="138" t="s">
        <v>69</v>
      </c>
      <c r="R10" s="138"/>
      <c r="S10" s="138"/>
      <c r="T10" s="174" t="s">
        <v>74</v>
      </c>
      <c r="U10" s="175"/>
      <c r="V10" s="175"/>
      <c r="W10" s="175"/>
      <c r="X10" s="138"/>
      <c r="AN10" s="93"/>
      <c r="AO10" s="93"/>
      <c r="AP10" s="93"/>
      <c r="AQ10" s="93"/>
      <c r="AR10" s="93"/>
      <c r="AS10" s="93"/>
      <c r="AT10" s="94">
        <f t="shared" si="3"/>
        <v>0</v>
      </c>
      <c r="AU10" s="94">
        <f t="shared" si="4"/>
        <v>0</v>
      </c>
      <c r="AV10" s="94">
        <f t="shared" si="5"/>
        <v>0</v>
      </c>
      <c r="AW10" s="94">
        <f t="shared" si="6"/>
        <v>0</v>
      </c>
      <c r="AX10" s="94">
        <f t="shared" si="7"/>
        <v>0</v>
      </c>
      <c r="AY10" s="94">
        <f t="shared" si="8"/>
        <v>0</v>
      </c>
      <c r="AZ10" s="94" t="str">
        <f t="shared" si="9"/>
        <v>1</v>
      </c>
      <c r="BA10" s="93"/>
      <c r="BB10" s="93"/>
      <c r="BC10" s="94">
        <f t="shared" si="10"/>
        <v>0</v>
      </c>
      <c r="BD10" s="94">
        <f t="shared" si="11"/>
        <v>0</v>
      </c>
      <c r="BE10" s="94">
        <f t="shared" si="12"/>
        <v>0</v>
      </c>
      <c r="BF10" s="94" t="str">
        <f t="shared" si="13"/>
        <v>1</v>
      </c>
      <c r="BG10" s="94" t="str">
        <f t="shared" si="14"/>
        <v>3</v>
      </c>
      <c r="BH10" s="94" t="str">
        <f t="shared" si="15"/>
        <v>6</v>
      </c>
      <c r="BI10" s="94" t="str">
        <f t="shared" si="16"/>
        <v>4</v>
      </c>
    </row>
    <row r="11" spans="1:61" ht="15.95" customHeight="1" thickTop="1">
      <c r="A11" s="83">
        <v>2</v>
      </c>
      <c r="B11" s="152" t="s">
        <v>37</v>
      </c>
      <c r="C11" s="153" t="s">
        <v>41</v>
      </c>
      <c r="D11" s="154" t="s">
        <v>50</v>
      </c>
      <c r="E11" s="109">
        <f t="shared" si="0"/>
        <v>13364</v>
      </c>
      <c r="F11" s="110">
        <f t="shared" si="1"/>
        <v>1364</v>
      </c>
      <c r="G11" s="160">
        <v>12000</v>
      </c>
      <c r="H11" s="161">
        <v>46073</v>
      </c>
      <c r="I11" s="106">
        <v>2</v>
      </c>
      <c r="J11" s="106">
        <f t="shared" si="2"/>
        <v>4</v>
      </c>
      <c r="K11" s="106">
        <f t="shared" si="2"/>
        <v>5</v>
      </c>
      <c r="L11" s="165" t="s">
        <v>62</v>
      </c>
      <c r="M11" s="166"/>
      <c r="N11" s="166"/>
      <c r="O11" s="167"/>
      <c r="Q11" s="138"/>
      <c r="R11" s="138"/>
      <c r="S11" s="138"/>
      <c r="T11" s="138"/>
      <c r="U11" s="139"/>
      <c r="V11" s="138"/>
      <c r="W11" s="138"/>
      <c r="X11" s="138"/>
      <c r="AN11" s="132"/>
      <c r="AO11" s="133"/>
      <c r="AP11" s="133"/>
      <c r="AQ11" s="93"/>
      <c r="AR11" s="93"/>
      <c r="AS11" s="93"/>
      <c r="AT11" s="94">
        <f t="shared" si="3"/>
        <v>0</v>
      </c>
      <c r="AU11" s="94">
        <f t="shared" si="4"/>
        <v>0</v>
      </c>
      <c r="AV11" s="94">
        <f t="shared" si="5"/>
        <v>0</v>
      </c>
      <c r="AW11" s="94">
        <f t="shared" si="6"/>
        <v>0</v>
      </c>
      <c r="AX11" s="94">
        <f t="shared" si="7"/>
        <v>0</v>
      </c>
      <c r="AY11" s="94" t="str">
        <f t="shared" si="8"/>
        <v>1</v>
      </c>
      <c r="AZ11" s="94" t="str">
        <f t="shared" si="9"/>
        <v>3</v>
      </c>
      <c r="BA11" s="93"/>
      <c r="BB11" s="93"/>
      <c r="BC11" s="94">
        <f t="shared" si="10"/>
        <v>0</v>
      </c>
      <c r="BD11" s="94">
        <f t="shared" si="11"/>
        <v>0</v>
      </c>
      <c r="BE11" s="94">
        <f t="shared" si="12"/>
        <v>0</v>
      </c>
      <c r="BF11" s="94" t="str">
        <f t="shared" si="13"/>
        <v>1</v>
      </c>
      <c r="BG11" s="94" t="str">
        <f t="shared" si="14"/>
        <v>3</v>
      </c>
      <c r="BH11" s="94" t="str">
        <f t="shared" si="15"/>
        <v>6</v>
      </c>
      <c r="BI11" s="94" t="str">
        <f t="shared" si="16"/>
        <v>4</v>
      </c>
    </row>
    <row r="12" spans="1:61" ht="15.95" customHeight="1">
      <c r="A12" s="83">
        <v>3</v>
      </c>
      <c r="B12" s="152" t="s">
        <v>37</v>
      </c>
      <c r="C12" s="153" t="s">
        <v>41</v>
      </c>
      <c r="D12" s="154" t="s">
        <v>51</v>
      </c>
      <c r="E12" s="109">
        <f t="shared" si="0"/>
        <v>13364</v>
      </c>
      <c r="F12" s="110">
        <f t="shared" si="1"/>
        <v>1364</v>
      </c>
      <c r="G12" s="160">
        <v>12000</v>
      </c>
      <c r="H12" s="161">
        <v>46101</v>
      </c>
      <c r="I12" s="106">
        <v>3</v>
      </c>
      <c r="J12" s="106">
        <f t="shared" si="2"/>
        <v>4</v>
      </c>
      <c r="K12" s="106">
        <f t="shared" si="2"/>
        <v>5</v>
      </c>
      <c r="L12" s="168"/>
      <c r="M12" s="169"/>
      <c r="N12" s="169"/>
      <c r="O12" s="170"/>
      <c r="Q12" s="138"/>
      <c r="R12" s="138"/>
      <c r="S12" s="138"/>
      <c r="T12" s="138"/>
      <c r="U12" s="143">
        <f>W9-Q9</f>
        <v>1364</v>
      </c>
      <c r="V12" s="138" t="s">
        <v>70</v>
      </c>
      <c r="W12" s="138"/>
      <c r="X12" s="138"/>
      <c r="AN12" s="132"/>
      <c r="AO12" s="133"/>
      <c r="AP12" s="133"/>
      <c r="AQ12" s="93"/>
      <c r="AR12" s="93"/>
      <c r="AS12" s="93"/>
      <c r="AT12" s="94">
        <f t="shared" si="3"/>
        <v>0</v>
      </c>
      <c r="AU12" s="94">
        <f t="shared" si="4"/>
        <v>0</v>
      </c>
      <c r="AV12" s="94">
        <f t="shared" si="5"/>
        <v>0</v>
      </c>
      <c r="AW12" s="94">
        <f t="shared" si="6"/>
        <v>0</v>
      </c>
      <c r="AX12" s="94" t="str">
        <f t="shared" si="7"/>
        <v>1</v>
      </c>
      <c r="AY12" s="94" t="str">
        <f t="shared" si="8"/>
        <v>3</v>
      </c>
      <c r="AZ12" s="94" t="str">
        <f t="shared" si="9"/>
        <v>3</v>
      </c>
      <c r="BA12" s="93"/>
      <c r="BB12" s="93"/>
      <c r="BC12" s="94">
        <f t="shared" si="10"/>
        <v>0</v>
      </c>
      <c r="BD12" s="94">
        <f t="shared" si="11"/>
        <v>0</v>
      </c>
      <c r="BE12" s="94">
        <f t="shared" si="12"/>
        <v>0</v>
      </c>
      <c r="BF12" s="94" t="str">
        <f t="shared" si="13"/>
        <v>1</v>
      </c>
      <c r="BG12" s="94" t="str">
        <f t="shared" si="14"/>
        <v>3</v>
      </c>
      <c r="BH12" s="94" t="str">
        <f t="shared" si="15"/>
        <v>6</v>
      </c>
      <c r="BI12" s="94" t="str">
        <f t="shared" si="16"/>
        <v>4</v>
      </c>
    </row>
    <row r="13" spans="1:61" ht="15.95" customHeight="1">
      <c r="A13" s="83">
        <v>4</v>
      </c>
      <c r="B13" s="152" t="s">
        <v>37</v>
      </c>
      <c r="C13" s="153" t="s">
        <v>41</v>
      </c>
      <c r="D13" s="154" t="s">
        <v>52</v>
      </c>
      <c r="E13" s="109">
        <f t="shared" si="0"/>
        <v>13364</v>
      </c>
      <c r="F13" s="110">
        <f t="shared" si="1"/>
        <v>1364</v>
      </c>
      <c r="G13" s="160">
        <v>12000</v>
      </c>
      <c r="H13" s="161">
        <v>46132</v>
      </c>
      <c r="I13" s="106">
        <v>4</v>
      </c>
      <c r="J13" s="106"/>
      <c r="K13" s="106"/>
      <c r="L13" s="168"/>
      <c r="M13" s="169"/>
      <c r="N13" s="169"/>
      <c r="O13" s="170"/>
      <c r="AN13" s="132"/>
      <c r="AO13" s="133"/>
      <c r="AP13" s="133"/>
      <c r="AQ13" s="93"/>
      <c r="AR13" s="93"/>
      <c r="AS13" s="93"/>
      <c r="AT13" s="94"/>
      <c r="AU13" s="94"/>
      <c r="AV13" s="94"/>
      <c r="AW13" s="94"/>
      <c r="AX13" s="94"/>
      <c r="AY13" s="94"/>
      <c r="AZ13" s="94"/>
      <c r="BA13" s="93"/>
      <c r="BB13" s="93"/>
      <c r="BC13" s="94"/>
      <c r="BD13" s="94"/>
      <c r="BE13" s="94"/>
      <c r="BF13" s="94"/>
      <c r="BG13" s="94"/>
      <c r="BH13" s="94"/>
      <c r="BI13" s="94"/>
    </row>
    <row r="14" spans="1:61" ht="15.95" customHeight="1">
      <c r="A14" s="83">
        <v>5</v>
      </c>
      <c r="B14" s="152" t="s">
        <v>37</v>
      </c>
      <c r="C14" s="153" t="s">
        <v>41</v>
      </c>
      <c r="D14" s="154" t="s">
        <v>42</v>
      </c>
      <c r="E14" s="109">
        <f t="shared" si="0"/>
        <v>13364</v>
      </c>
      <c r="F14" s="110">
        <f t="shared" si="1"/>
        <v>1364</v>
      </c>
      <c r="G14" s="160">
        <v>12000</v>
      </c>
      <c r="H14" s="161">
        <v>46162</v>
      </c>
      <c r="I14" s="106">
        <v>5</v>
      </c>
      <c r="J14" s="106"/>
      <c r="K14" s="106"/>
      <c r="L14" s="168"/>
      <c r="M14" s="169"/>
      <c r="N14" s="169"/>
      <c r="O14" s="170"/>
      <c r="AN14" s="132"/>
      <c r="AO14" s="133"/>
      <c r="AP14" s="133"/>
      <c r="AQ14" s="93"/>
      <c r="AR14" s="93"/>
      <c r="AS14" s="93"/>
      <c r="AT14" s="94"/>
      <c r="AU14" s="94"/>
      <c r="AV14" s="94"/>
      <c r="AW14" s="94"/>
      <c r="AX14" s="94"/>
      <c r="AY14" s="94"/>
      <c r="AZ14" s="94"/>
      <c r="BA14" s="93"/>
      <c r="BB14" s="93"/>
      <c r="BC14" s="94"/>
      <c r="BD14" s="94"/>
      <c r="BE14" s="94"/>
      <c r="BF14" s="94"/>
      <c r="BG14" s="94"/>
      <c r="BH14" s="94"/>
      <c r="BI14" s="94"/>
    </row>
    <row r="15" spans="1:61" ht="15.95" customHeight="1">
      <c r="A15" s="83">
        <v>6</v>
      </c>
      <c r="B15" s="152" t="s">
        <v>37</v>
      </c>
      <c r="C15" s="153" t="s">
        <v>41</v>
      </c>
      <c r="D15" s="154" t="s">
        <v>43</v>
      </c>
      <c r="E15" s="109">
        <f t="shared" si="0"/>
        <v>13364</v>
      </c>
      <c r="F15" s="110">
        <f t="shared" si="1"/>
        <v>1364</v>
      </c>
      <c r="G15" s="160">
        <v>12000</v>
      </c>
      <c r="H15" s="161">
        <v>46193</v>
      </c>
      <c r="I15" s="106">
        <v>6</v>
      </c>
      <c r="J15" s="106"/>
      <c r="K15" s="106"/>
      <c r="L15" s="168"/>
      <c r="M15" s="169"/>
      <c r="N15" s="169"/>
      <c r="O15" s="170"/>
      <c r="AN15" s="133"/>
      <c r="AO15" s="133"/>
      <c r="AP15" s="133"/>
      <c r="AQ15" s="93"/>
      <c r="AR15" s="93"/>
      <c r="AS15" s="93"/>
      <c r="AT15" s="94"/>
      <c r="AU15" s="94"/>
      <c r="AV15" s="94"/>
      <c r="AW15" s="94"/>
      <c r="AX15" s="94"/>
      <c r="AY15" s="94"/>
      <c r="AZ15" s="94"/>
      <c r="BA15" s="93"/>
      <c r="BB15" s="93"/>
      <c r="BC15" s="94"/>
      <c r="BD15" s="94"/>
      <c r="BE15" s="94"/>
      <c r="BF15" s="94"/>
      <c r="BG15" s="94"/>
      <c r="BH15" s="94"/>
      <c r="BI15" s="94"/>
    </row>
    <row r="16" spans="1:61" ht="15.95" customHeight="1">
      <c r="A16" s="83">
        <v>7</v>
      </c>
      <c r="B16" s="152" t="s">
        <v>37</v>
      </c>
      <c r="C16" s="153" t="s">
        <v>41</v>
      </c>
      <c r="D16" s="154" t="s">
        <v>44</v>
      </c>
      <c r="E16" s="109">
        <f t="shared" si="0"/>
        <v>13364</v>
      </c>
      <c r="F16" s="110">
        <f t="shared" si="1"/>
        <v>1364</v>
      </c>
      <c r="G16" s="160">
        <v>12000</v>
      </c>
      <c r="H16" s="161">
        <v>46223</v>
      </c>
      <c r="I16" s="106">
        <v>7</v>
      </c>
      <c r="J16" s="106"/>
      <c r="K16" s="106"/>
      <c r="L16" s="168"/>
      <c r="M16" s="169"/>
      <c r="N16" s="169"/>
      <c r="O16" s="170"/>
      <c r="AN16" s="133"/>
      <c r="AO16" s="133"/>
      <c r="AP16" s="133"/>
      <c r="AQ16" s="93"/>
      <c r="AR16" s="93"/>
      <c r="AS16" s="93"/>
      <c r="AT16" s="94"/>
      <c r="AU16" s="94"/>
      <c r="AV16" s="94"/>
      <c r="AW16" s="94"/>
      <c r="AX16" s="94"/>
      <c r="AY16" s="94"/>
      <c r="AZ16" s="94"/>
      <c r="BA16" s="93"/>
      <c r="BB16" s="93"/>
      <c r="BC16" s="94"/>
      <c r="BD16" s="94"/>
      <c r="BE16" s="94"/>
      <c r="BF16" s="94"/>
      <c r="BG16" s="94"/>
      <c r="BH16" s="94"/>
      <c r="BI16" s="94"/>
    </row>
    <row r="17" spans="1:61" ht="15.95" customHeight="1" thickBot="1">
      <c r="A17" s="83">
        <v>8</v>
      </c>
      <c r="B17" s="152" t="s">
        <v>37</v>
      </c>
      <c r="C17" s="153" t="s">
        <v>41</v>
      </c>
      <c r="D17" s="154" t="s">
        <v>45</v>
      </c>
      <c r="E17" s="109">
        <f t="shared" si="0"/>
        <v>13364</v>
      </c>
      <c r="F17" s="110">
        <f t="shared" si="1"/>
        <v>1364</v>
      </c>
      <c r="G17" s="160">
        <v>12000</v>
      </c>
      <c r="H17" s="161">
        <v>46254</v>
      </c>
      <c r="I17" s="106">
        <v>8</v>
      </c>
      <c r="J17" s="106"/>
      <c r="K17" s="106"/>
      <c r="L17" s="171"/>
      <c r="M17" s="172"/>
      <c r="N17" s="172"/>
      <c r="O17" s="173"/>
      <c r="AN17" s="93"/>
      <c r="AO17" s="93"/>
      <c r="AP17" s="93"/>
      <c r="AQ17" s="93"/>
      <c r="AR17" s="93"/>
      <c r="AS17" s="93"/>
      <c r="AT17" s="94"/>
      <c r="AU17" s="94"/>
      <c r="AV17" s="94"/>
      <c r="AW17" s="94"/>
      <c r="AX17" s="94"/>
      <c r="AY17" s="94"/>
      <c r="AZ17" s="94"/>
      <c r="BA17" s="93"/>
      <c r="BB17" s="93"/>
      <c r="BC17" s="94"/>
      <c r="BD17" s="94"/>
      <c r="BE17" s="94"/>
      <c r="BF17" s="94"/>
      <c r="BG17" s="94"/>
      <c r="BH17" s="94"/>
      <c r="BI17" s="94"/>
    </row>
    <row r="18" spans="1:61" ht="15.95" customHeight="1" thickTop="1">
      <c r="A18" s="83">
        <v>9</v>
      </c>
      <c r="B18" s="152" t="s">
        <v>37</v>
      </c>
      <c r="C18" s="153" t="s">
        <v>41</v>
      </c>
      <c r="D18" s="154" t="s">
        <v>46</v>
      </c>
      <c r="E18" s="109">
        <f t="shared" si="0"/>
        <v>13364</v>
      </c>
      <c r="F18" s="110">
        <f t="shared" si="1"/>
        <v>1364</v>
      </c>
      <c r="G18" s="160">
        <v>12000</v>
      </c>
      <c r="H18" s="161">
        <v>46285</v>
      </c>
      <c r="I18" s="106">
        <v>9</v>
      </c>
      <c r="J18" s="106"/>
      <c r="K18" s="106"/>
      <c r="L18" s="106"/>
      <c r="M18" s="101"/>
      <c r="N18" s="93"/>
      <c r="AN18" s="93"/>
      <c r="AO18" s="93"/>
      <c r="AP18" s="93"/>
      <c r="AQ18" s="93"/>
      <c r="AR18" s="93"/>
      <c r="AS18" s="93"/>
      <c r="AT18" s="94"/>
      <c r="AU18" s="94"/>
      <c r="AV18" s="94"/>
      <c r="AW18" s="94"/>
      <c r="AX18" s="94"/>
      <c r="AY18" s="94"/>
      <c r="AZ18" s="94"/>
      <c r="BA18" s="93"/>
      <c r="BB18" s="93"/>
      <c r="BC18" s="94"/>
      <c r="BD18" s="94"/>
      <c r="BE18" s="94"/>
      <c r="BF18" s="94"/>
      <c r="BG18" s="94"/>
      <c r="BH18" s="94"/>
      <c r="BI18" s="94"/>
    </row>
    <row r="19" spans="1:61" ht="15.95" customHeight="1">
      <c r="A19" s="83">
        <v>10</v>
      </c>
      <c r="B19" s="152" t="s">
        <v>37</v>
      </c>
      <c r="C19" s="153" t="s">
        <v>41</v>
      </c>
      <c r="D19" s="154" t="s">
        <v>47</v>
      </c>
      <c r="E19" s="109">
        <f t="shared" si="0"/>
        <v>13364</v>
      </c>
      <c r="F19" s="110">
        <f t="shared" si="1"/>
        <v>1364</v>
      </c>
      <c r="G19" s="160">
        <v>12000</v>
      </c>
      <c r="H19" s="161">
        <v>46315</v>
      </c>
      <c r="I19" s="106">
        <v>10</v>
      </c>
      <c r="J19" s="106"/>
      <c r="K19" s="106"/>
      <c r="L19" s="106"/>
      <c r="M19" s="101"/>
      <c r="N19" s="93"/>
      <c r="AN19" s="93"/>
      <c r="AO19" s="93"/>
      <c r="AP19" s="93"/>
      <c r="AQ19" s="93"/>
      <c r="AR19" s="93"/>
      <c r="AS19" s="93"/>
      <c r="AT19" s="94"/>
      <c r="AU19" s="94"/>
      <c r="AV19" s="94"/>
      <c r="AW19" s="94"/>
      <c r="AX19" s="94"/>
      <c r="AY19" s="94"/>
      <c r="AZ19" s="94"/>
      <c r="BA19" s="93"/>
      <c r="BB19" s="93"/>
      <c r="BC19" s="94"/>
      <c r="BD19" s="94"/>
      <c r="BE19" s="94"/>
      <c r="BF19" s="94"/>
      <c r="BG19" s="94"/>
      <c r="BH19" s="94"/>
      <c r="BI19" s="94"/>
    </row>
    <row r="20" spans="1:61" ht="15.95" customHeight="1">
      <c r="A20" s="83">
        <v>11</v>
      </c>
      <c r="B20" s="152" t="s">
        <v>37</v>
      </c>
      <c r="C20" s="153" t="s">
        <v>41</v>
      </c>
      <c r="D20" s="154" t="s">
        <v>48</v>
      </c>
      <c r="E20" s="109">
        <f t="shared" si="0"/>
        <v>13364</v>
      </c>
      <c r="F20" s="110">
        <f t="shared" si="1"/>
        <v>1364</v>
      </c>
      <c r="G20" s="160">
        <v>12000</v>
      </c>
      <c r="H20" s="161">
        <v>46346</v>
      </c>
      <c r="I20" s="106">
        <v>11</v>
      </c>
      <c r="J20" s="106">
        <f t="shared" si="2"/>
        <v>4</v>
      </c>
      <c r="K20" s="106">
        <f t="shared" si="2"/>
        <v>5</v>
      </c>
      <c r="L20" s="106"/>
      <c r="M20" s="101"/>
      <c r="N20" s="93"/>
      <c r="AN20" s="93"/>
      <c r="AO20" s="93"/>
      <c r="AP20" s="93"/>
      <c r="AQ20" s="93"/>
      <c r="AR20" s="93"/>
      <c r="AS20" s="93"/>
      <c r="AT20" s="94" t="str">
        <f t="shared" si="3"/>
        <v>4</v>
      </c>
      <c r="AU20" s="94" t="str">
        <f t="shared" si="4"/>
        <v/>
      </c>
      <c r="AV20" s="94" t="str">
        <f t="shared" si="5"/>
        <v/>
      </c>
      <c r="AW20" s="94" t="str">
        <f t="shared" si="6"/>
        <v/>
      </c>
      <c r="AX20" s="94" t="str">
        <f t="shared" si="7"/>
        <v/>
      </c>
      <c r="AY20" s="94" t="str">
        <f t="shared" si="8"/>
        <v/>
      </c>
      <c r="AZ20" s="94" t="str">
        <f t="shared" si="9"/>
        <v/>
      </c>
      <c r="BA20" s="93"/>
      <c r="BB20" s="93"/>
      <c r="BC20" s="94">
        <f t="shared" si="10"/>
        <v>0</v>
      </c>
      <c r="BD20" s="94">
        <f t="shared" si="11"/>
        <v>0</v>
      </c>
      <c r="BE20" s="94">
        <f t="shared" si="12"/>
        <v>0</v>
      </c>
      <c r="BF20" s="94" t="str">
        <f t="shared" si="13"/>
        <v>1</v>
      </c>
      <c r="BG20" s="94" t="str">
        <f t="shared" si="14"/>
        <v>3</v>
      </c>
      <c r="BH20" s="94" t="str">
        <f t="shared" si="15"/>
        <v>6</v>
      </c>
      <c r="BI20" s="94" t="str">
        <f t="shared" si="16"/>
        <v>4</v>
      </c>
    </row>
    <row r="21" spans="1:61" ht="15.95" customHeight="1" thickBot="1">
      <c r="A21" s="83">
        <v>12</v>
      </c>
      <c r="B21" s="155" t="s">
        <v>37</v>
      </c>
      <c r="C21" s="156" t="s">
        <v>41</v>
      </c>
      <c r="D21" s="157" t="s">
        <v>49</v>
      </c>
      <c r="E21" s="111">
        <f t="shared" si="0"/>
        <v>13364</v>
      </c>
      <c r="F21" s="112">
        <f t="shared" si="1"/>
        <v>1364</v>
      </c>
      <c r="G21" s="162">
        <v>12000</v>
      </c>
      <c r="H21" s="163">
        <v>46376</v>
      </c>
      <c r="I21" s="106">
        <v>12</v>
      </c>
      <c r="J21" s="106">
        <f t="shared" si="2"/>
        <v>4</v>
      </c>
      <c r="K21" s="106">
        <f t="shared" si="2"/>
        <v>5</v>
      </c>
      <c r="L21" s="106"/>
      <c r="M21" s="101"/>
      <c r="N21" s="93"/>
      <c r="AN21" s="93"/>
      <c r="AO21" s="93"/>
      <c r="AP21" s="93"/>
      <c r="AQ21" s="93"/>
      <c r="AR21" s="93"/>
      <c r="AS21" s="93"/>
      <c r="AT21" s="94" t="str">
        <f t="shared" si="3"/>
        <v/>
      </c>
      <c r="AU21" s="94" t="str">
        <f t="shared" si="4"/>
        <v/>
      </c>
      <c r="AV21" s="94" t="str">
        <f t="shared" si="5"/>
        <v/>
      </c>
      <c r="AW21" s="94" t="str">
        <f t="shared" si="6"/>
        <v/>
      </c>
      <c r="AX21" s="94" t="str">
        <f t="shared" si="7"/>
        <v/>
      </c>
      <c r="AY21" s="94" t="str">
        <f t="shared" si="8"/>
        <v/>
      </c>
      <c r="AZ21" s="94" t="str">
        <f t="shared" si="9"/>
        <v/>
      </c>
      <c r="BA21" s="93"/>
      <c r="BB21" s="93"/>
      <c r="BC21" s="94">
        <f t="shared" si="10"/>
        <v>0</v>
      </c>
      <c r="BD21" s="94">
        <f t="shared" si="11"/>
        <v>0</v>
      </c>
      <c r="BE21" s="94">
        <f t="shared" si="12"/>
        <v>0</v>
      </c>
      <c r="BF21" s="94" t="str">
        <f t="shared" si="13"/>
        <v>1</v>
      </c>
      <c r="BG21" s="94" t="str">
        <f t="shared" si="14"/>
        <v>3</v>
      </c>
      <c r="BH21" s="94" t="str">
        <f t="shared" si="15"/>
        <v>6</v>
      </c>
      <c r="BI21" s="94" t="str">
        <f t="shared" si="16"/>
        <v>4</v>
      </c>
    </row>
    <row r="22" spans="1:61">
      <c r="N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</row>
    <row r="23" spans="1:61">
      <c r="N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</row>
  </sheetData>
  <sheetProtection sheet="1" objects="1" scenarios="1"/>
  <mergeCells count="13">
    <mergeCell ref="T10:W10"/>
    <mergeCell ref="L11:O17"/>
    <mergeCell ref="W4:X4"/>
    <mergeCell ref="B5:C5"/>
    <mergeCell ref="C8:D8"/>
    <mergeCell ref="C9:D9"/>
    <mergeCell ref="L9:M9"/>
    <mergeCell ref="B6:B7"/>
    <mergeCell ref="D6:E6"/>
    <mergeCell ref="D7:H7"/>
    <mergeCell ref="B2:B4"/>
    <mergeCell ref="D2:H2"/>
    <mergeCell ref="D3:H3"/>
  </mergeCells>
  <phoneticPr fontId="2"/>
  <dataValidations count="1">
    <dataValidation type="list" allowBlank="1" showInputMessage="1" showErrorMessage="1" sqref="L9:M9">
      <formula1>$D$10:$D$21</formula1>
    </dataValidation>
  </dataValidation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基本</vt:lpstr>
      <vt:lpstr>領収書1</vt:lpstr>
      <vt:lpstr>領収書２</vt:lpstr>
      <vt:lpstr>支払調書</vt:lpstr>
      <vt:lpstr>記載例</vt:lpstr>
      <vt:lpstr>基本!Print_Area</vt:lpstr>
      <vt:lpstr>記載例!Print_Area</vt:lpstr>
      <vt:lpstr>領収書1!Print_Area</vt:lpstr>
      <vt:lpstr>領収書２!Print_Area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</dc:creator>
  <cp:lastModifiedBy>Windows ユーザー</cp:lastModifiedBy>
  <cp:lastPrinted>2026-07-07T00:35:35Z</cp:lastPrinted>
  <dcterms:created xsi:type="dcterms:W3CDTF">2015-04-13T00:55:04Z</dcterms:created>
  <dcterms:modified xsi:type="dcterms:W3CDTF">2026-07-17T06:31:57Z</dcterms:modified>
</cp:coreProperties>
</file>