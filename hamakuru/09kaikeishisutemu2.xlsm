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4696\Desktop\完成版資料\"/>
    </mc:Choice>
  </mc:AlternateContent>
  <bookViews>
    <workbookView xWindow="-120" yWindow="-120" windowWidth="20730" windowHeight="11160"/>
  </bookViews>
  <sheets>
    <sheet name="Menu" sheetId="1" r:id="rId1"/>
    <sheet name="予算" sheetId="2" r:id="rId2"/>
    <sheet name="簿" sheetId="3" r:id="rId3"/>
    <sheet name="印刷" sheetId="4" r:id="rId4"/>
    <sheet name="項目" sheetId="5" r:id="rId5"/>
    <sheet name="報告" sheetId="6" r:id="rId6"/>
    <sheet name="第１１号様式" sheetId="11" r:id="rId7"/>
    <sheet name="単価データ" sheetId="9" state="hidden" r:id="rId8"/>
    <sheet name="補助金単価" sheetId="10" r:id="rId9"/>
  </sheets>
  <definedNames>
    <definedName name="_xlnm._FilterDatabase" localSheetId="2" hidden="1">簿!$B$5:$H$1005</definedName>
    <definedName name="_xlnm.Criteria" localSheetId="2">簿!$M$3:$M$4</definedName>
    <definedName name="_xlnm.Extract" localSheetId="2">簿!$M$5:$Q$204</definedName>
    <definedName name="_xlnm.Print_Area" localSheetId="0">Menu!$A$1:$G$21</definedName>
    <definedName name="_xlnm.Print_Area" localSheetId="3">印刷!$A$3:$G$57</definedName>
    <definedName name="_xlnm.Print_Area" localSheetId="4">項目!$A$3:$G$57</definedName>
    <definedName name="_xlnm.Print_Area" localSheetId="6">第１１号様式!$A$1:$K$57</definedName>
    <definedName name="_xlnm.Print_Area" localSheetId="5">報告!$G$79:$O$123</definedName>
    <definedName name="_xlnm.Print_Area" localSheetId="1">予算!$A$1:$M$67</definedName>
    <definedName name="め">Menu!$A$1</definedName>
    <definedName name="印頭">印刷!$A$1</definedName>
    <definedName name="項頭">項目!$A$1</definedName>
    <definedName name="簿頭">簿!$A$1</definedName>
    <definedName name="報告">報告!$G$9:$O$62</definedName>
    <definedName name="報頭">報告!$A$1</definedName>
    <definedName name="予案">報告!$A$84</definedName>
    <definedName name="予算">報告!$G$79:$O$123</definedName>
    <definedName name="予頭">予算!$A$1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9" i="11" l="1"/>
  <c r="L11" i="10" l="1"/>
  <c r="I11" i="10"/>
  <c r="G11" i="10"/>
  <c r="D11" i="10"/>
  <c r="L10" i="10"/>
  <c r="I10" i="10"/>
  <c r="G10" i="10"/>
  <c r="D10" i="10"/>
  <c r="L9" i="10"/>
  <c r="I9" i="10"/>
  <c r="G9" i="10"/>
  <c r="D9" i="10"/>
  <c r="L8" i="10"/>
  <c r="I8" i="10"/>
  <c r="G8" i="10"/>
  <c r="D8" i="10"/>
  <c r="L7" i="10"/>
  <c r="I7" i="10"/>
  <c r="G7" i="10"/>
  <c r="D7" i="10"/>
  <c r="L6" i="10"/>
  <c r="I6" i="10"/>
  <c r="G6" i="10"/>
  <c r="D6" i="10"/>
  <c r="K96" i="6" l="1"/>
  <c r="K100" i="6"/>
  <c r="K110" i="6"/>
  <c r="K121" i="6" s="1"/>
  <c r="L120" i="6"/>
  <c r="L119" i="6"/>
  <c r="M119" i="6" s="1"/>
  <c r="L118" i="6"/>
  <c r="M118" i="6" s="1"/>
  <c r="L117" i="6"/>
  <c r="M117" i="6" s="1"/>
  <c r="L116" i="6"/>
  <c r="M116" i="6" s="1"/>
  <c r="L115" i="6"/>
  <c r="M115" i="6" s="1"/>
  <c r="H95" i="6" l="1"/>
  <c r="H93" i="6"/>
  <c r="H92" i="6"/>
  <c r="H91" i="6"/>
  <c r="H90" i="6"/>
  <c r="H88" i="6"/>
  <c r="H87" i="6"/>
  <c r="H86" i="6"/>
  <c r="K89" i="6"/>
  <c r="M85" i="6"/>
  <c r="G79" i="6"/>
  <c r="I14" i="2" l="1"/>
  <c r="N14" i="2" s="1"/>
  <c r="J14" i="2"/>
  <c r="K14" i="2"/>
  <c r="L14" i="2"/>
  <c r="R24" i="11" l="1"/>
  <c r="R23" i="11"/>
  <c r="R22" i="11"/>
  <c r="R21" i="11"/>
  <c r="R11" i="11"/>
  <c r="R10" i="11"/>
  <c r="R9" i="11"/>
  <c r="R8" i="11"/>
  <c r="K51" i="6" l="1"/>
  <c r="K50" i="6"/>
  <c r="K49" i="6"/>
  <c r="K48" i="6"/>
  <c r="K47" i="6"/>
  <c r="K46" i="6"/>
  <c r="K45" i="6"/>
  <c r="K44" i="6"/>
  <c r="K43" i="6"/>
  <c r="K39" i="6"/>
  <c r="K38" i="6"/>
  <c r="K37" i="6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29" i="3"/>
  <c r="A26" i="3"/>
  <c r="A25" i="3"/>
  <c r="A24" i="3"/>
  <c r="A16" i="3"/>
  <c r="A15" i="3"/>
  <c r="A14" i="3"/>
  <c r="A13" i="3"/>
  <c r="L1" i="2"/>
  <c r="A23" i="3" s="1"/>
  <c r="A28" i="3" l="1"/>
  <c r="A12" i="3"/>
  <c r="A30" i="3"/>
  <c r="L2" i="2"/>
  <c r="A18" i="3"/>
  <c r="A19" i="3"/>
  <c r="A20" i="3"/>
  <c r="A11" i="3"/>
  <c r="A9" i="3"/>
  <c r="A21" i="3"/>
  <c r="A34" i="3"/>
  <c r="A17" i="3"/>
  <c r="A31" i="3"/>
  <c r="A27" i="3"/>
  <c r="A6" i="3"/>
  <c r="A32" i="3"/>
  <c r="A8" i="3"/>
  <c r="A33" i="3"/>
  <c r="A10" i="3"/>
  <c r="A22" i="3"/>
  <c r="A35" i="3"/>
  <c r="A7" i="3"/>
  <c r="E16" i="2"/>
  <c r="E15" i="2"/>
  <c r="E14" i="2"/>
  <c r="E13" i="2"/>
  <c r="E12" i="2"/>
  <c r="E11" i="2"/>
  <c r="E10" i="2"/>
  <c r="K23" i="6"/>
  <c r="K22" i="6"/>
  <c r="K21" i="6"/>
  <c r="K20" i="6"/>
  <c r="K18" i="6"/>
  <c r="H25" i="6"/>
  <c r="H23" i="6"/>
  <c r="H22" i="6"/>
  <c r="H21" i="6"/>
  <c r="H20" i="6"/>
  <c r="H18" i="6"/>
  <c r="L20" i="6" l="1"/>
  <c r="L90" i="6"/>
  <c r="L21" i="6"/>
  <c r="C45" i="11" s="1"/>
  <c r="L91" i="6"/>
  <c r="M91" i="6" s="1"/>
  <c r="L22" i="6"/>
  <c r="C44" i="11" s="1"/>
  <c r="L92" i="6"/>
  <c r="L23" i="6"/>
  <c r="C46" i="11" s="1"/>
  <c r="L93" i="6"/>
  <c r="M93" i="6" s="1"/>
  <c r="L25" i="6"/>
  <c r="L95" i="6"/>
  <c r="M95" i="6" s="1"/>
  <c r="K24" i="6"/>
  <c r="A63" i="3"/>
  <c r="A50" i="3"/>
  <c r="A36" i="3"/>
  <c r="A49" i="3"/>
  <c r="A60" i="3"/>
  <c r="A43" i="3"/>
  <c r="A45" i="3"/>
  <c r="A42" i="3"/>
  <c r="A59" i="3"/>
  <c r="A62" i="3"/>
  <c r="A46" i="3"/>
  <c r="A44" i="3"/>
  <c r="A56" i="3"/>
  <c r="A55" i="3"/>
  <c r="A54" i="3"/>
  <c r="A39" i="3"/>
  <c r="A52" i="3"/>
  <c r="A61" i="3"/>
  <c r="A48" i="3"/>
  <c r="A47" i="3"/>
  <c r="A58" i="3"/>
  <c r="A57" i="3"/>
  <c r="A41" i="3"/>
  <c r="A67" i="3"/>
  <c r="A53" i="3"/>
  <c r="A38" i="3"/>
  <c r="A64" i="3"/>
  <c r="A37" i="3"/>
  <c r="A40" i="3"/>
  <c r="A66" i="3"/>
  <c r="A65" i="3"/>
  <c r="A51" i="3"/>
  <c r="L24" i="6" l="1"/>
  <c r="C43" i="11"/>
  <c r="M90" i="6"/>
  <c r="L94" i="6"/>
  <c r="M94" i="6" s="1"/>
  <c r="M23" i="6"/>
  <c r="M21" i="6"/>
  <c r="C1" i="9"/>
  <c r="E37" i="2" l="1"/>
  <c r="E39" i="2"/>
  <c r="L53" i="6" s="1"/>
  <c r="E38" i="2"/>
  <c r="L52" i="6" s="1"/>
  <c r="C34" i="11" s="1"/>
  <c r="E36" i="2"/>
  <c r="E35" i="2"/>
  <c r="E34" i="2"/>
  <c r="L51" i="6" s="1"/>
  <c r="E33" i="2"/>
  <c r="L50" i="6" s="1"/>
  <c r="E32" i="2"/>
  <c r="L49" i="6" s="1"/>
  <c r="E31" i="2"/>
  <c r="L48" i="6" s="1"/>
  <c r="E30" i="2"/>
  <c r="L47" i="6" s="1"/>
  <c r="C29" i="11" s="1"/>
  <c r="K53" i="6"/>
  <c r="K52" i="6"/>
  <c r="J12" i="10"/>
  <c r="E12" i="10"/>
  <c r="C30" i="11" l="1"/>
  <c r="C33" i="11"/>
  <c r="C31" i="11"/>
  <c r="C32" i="11"/>
  <c r="M49" i="6"/>
  <c r="C80" i="9"/>
  <c r="C68" i="9"/>
  <c r="C48" i="9"/>
  <c r="C36" i="9"/>
  <c r="C16" i="9"/>
  <c r="C4" i="9"/>
  <c r="C89" i="9"/>
  <c r="C45" i="9"/>
  <c r="C13" i="9"/>
  <c r="C88" i="9"/>
  <c r="C76" i="9"/>
  <c r="C44" i="9"/>
  <c r="C24" i="9"/>
  <c r="C12" i="9"/>
  <c r="C75" i="9"/>
  <c r="C43" i="9"/>
  <c r="O14" i="2" s="1"/>
  <c r="C11" i="9"/>
  <c r="C86" i="9"/>
  <c r="C42" i="9"/>
  <c r="C22" i="9"/>
  <c r="C10" i="9"/>
  <c r="C73" i="9"/>
  <c r="C9" i="9"/>
  <c r="C84" i="9"/>
  <c r="C52" i="9"/>
  <c r="C20" i="9"/>
  <c r="C83" i="9"/>
  <c r="C71" i="9"/>
  <c r="C51" i="9"/>
  <c r="C39" i="9"/>
  <c r="C19" i="9"/>
  <c r="C7" i="9"/>
  <c r="C70" i="9"/>
  <c r="C69" i="9"/>
  <c r="C79" i="9"/>
  <c r="C67" i="9"/>
  <c r="C47" i="9"/>
  <c r="C35" i="9"/>
  <c r="C15" i="9"/>
  <c r="C3" i="9"/>
  <c r="C90" i="9"/>
  <c r="C78" i="9"/>
  <c r="C58" i="9"/>
  <c r="C46" i="9"/>
  <c r="C26" i="9"/>
  <c r="C14" i="9"/>
  <c r="C77" i="9"/>
  <c r="C57" i="9"/>
  <c r="C25" i="9"/>
  <c r="C56" i="9"/>
  <c r="C55" i="9"/>
  <c r="C23" i="9"/>
  <c r="C74" i="9"/>
  <c r="C5" i="9"/>
  <c r="C87" i="9"/>
  <c r="C54" i="9"/>
  <c r="C85" i="9"/>
  <c r="C53" i="9"/>
  <c r="C41" i="9"/>
  <c r="C21" i="9"/>
  <c r="C72" i="9"/>
  <c r="C40" i="9"/>
  <c r="C8" i="9"/>
  <c r="C82" i="9"/>
  <c r="C50" i="9"/>
  <c r="C38" i="9"/>
  <c r="C18" i="9"/>
  <c r="C6" i="9"/>
  <c r="C81" i="9"/>
  <c r="C49" i="9"/>
  <c r="C37" i="9"/>
  <c r="C17" i="9"/>
  <c r="P47" i="11" l="1"/>
  <c r="M99" i="6" l="1"/>
  <c r="L101" i="6"/>
  <c r="L102" i="6"/>
  <c r="M102" i="6" s="1"/>
  <c r="L103" i="6"/>
  <c r="M103" i="6"/>
  <c r="L104" i="6"/>
  <c r="M104" i="6" s="1"/>
  <c r="L105" i="6"/>
  <c r="M105" i="6" s="1"/>
  <c r="L106" i="6"/>
  <c r="M106" i="6" s="1"/>
  <c r="L107" i="6"/>
  <c r="M107" i="6" s="1"/>
  <c r="L108" i="6"/>
  <c r="M108" i="6" s="1"/>
  <c r="L109" i="6"/>
  <c r="M109" i="6" s="1"/>
  <c r="L111" i="6"/>
  <c r="M111" i="6"/>
  <c r="L112" i="6"/>
  <c r="M112" i="6" s="1"/>
  <c r="L113" i="6"/>
  <c r="M113" i="6" s="1"/>
  <c r="L114" i="6"/>
  <c r="M114" i="6" s="1"/>
  <c r="M120" i="6"/>
  <c r="M57" i="6"/>
  <c r="H53" i="6"/>
  <c r="G9" i="6"/>
  <c r="M101" i="6" l="1"/>
  <c r="L100" i="6"/>
  <c r="L110" i="6"/>
  <c r="K42" i="6"/>
  <c r="O60" i="6"/>
  <c r="B3" i="4"/>
  <c r="K31" i="6"/>
  <c r="K32" i="6"/>
  <c r="K33" i="6"/>
  <c r="K34" i="6"/>
  <c r="K35" i="6"/>
  <c r="K36" i="6"/>
  <c r="K40" i="6"/>
  <c r="K41" i="6"/>
  <c r="E17" i="2"/>
  <c r="L31" i="6" s="1"/>
  <c r="E18" i="2"/>
  <c r="L32" i="6" s="1"/>
  <c r="E19" i="2"/>
  <c r="F19" i="2" s="1"/>
  <c r="E20" i="2"/>
  <c r="F20" i="2" s="1"/>
  <c r="E21" i="2"/>
  <c r="F21" i="2" s="1"/>
  <c r="E22" i="2"/>
  <c r="F22" i="2" s="1"/>
  <c r="E23" i="2"/>
  <c r="L37" i="6" s="1"/>
  <c r="E24" i="2"/>
  <c r="E25" i="2"/>
  <c r="E26" i="2"/>
  <c r="E27" i="2"/>
  <c r="E28" i="2"/>
  <c r="E29" i="2"/>
  <c r="L46" i="6" s="1"/>
  <c r="E7" i="2"/>
  <c r="E8" i="2"/>
  <c r="E9" i="2"/>
  <c r="K16" i="6"/>
  <c r="K17" i="6"/>
  <c r="E4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  <c r="P19" i="4"/>
  <c r="P18" i="4"/>
  <c r="P17" i="4"/>
  <c r="P16" i="4"/>
  <c r="P15" i="4"/>
  <c r="P14" i="4"/>
  <c r="P13" i="4"/>
  <c r="P12" i="4"/>
  <c r="P11" i="4"/>
  <c r="P10" i="4"/>
  <c r="P9" i="4"/>
  <c r="P8" i="4"/>
  <c r="P7" i="4"/>
  <c r="P6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J8" i="4"/>
  <c r="J7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K8" i="4"/>
  <c r="L8" i="4"/>
  <c r="M8" i="4"/>
  <c r="K9" i="4"/>
  <c r="L9" i="4"/>
  <c r="M9" i="4"/>
  <c r="K10" i="4"/>
  <c r="L10" i="4"/>
  <c r="M10" i="4"/>
  <c r="K11" i="4"/>
  <c r="L11" i="4"/>
  <c r="M11" i="4"/>
  <c r="K12" i="4"/>
  <c r="L12" i="4"/>
  <c r="M12" i="4"/>
  <c r="K13" i="4"/>
  <c r="L13" i="4"/>
  <c r="M13" i="4"/>
  <c r="K14" i="4"/>
  <c r="L14" i="4"/>
  <c r="M14" i="4"/>
  <c r="K15" i="4"/>
  <c r="L15" i="4"/>
  <c r="M15" i="4"/>
  <c r="K16" i="4"/>
  <c r="L16" i="4"/>
  <c r="M16" i="4"/>
  <c r="K17" i="4"/>
  <c r="L17" i="4"/>
  <c r="M17" i="4"/>
  <c r="K18" i="4"/>
  <c r="L18" i="4"/>
  <c r="M18" i="4"/>
  <c r="K19" i="4"/>
  <c r="L19" i="4"/>
  <c r="M19" i="4"/>
  <c r="K20" i="4"/>
  <c r="L20" i="4"/>
  <c r="M20" i="4"/>
  <c r="K21" i="4"/>
  <c r="L21" i="4"/>
  <c r="M21" i="4"/>
  <c r="K22" i="4"/>
  <c r="L22" i="4"/>
  <c r="M22" i="4"/>
  <c r="K23" i="4"/>
  <c r="L23" i="4"/>
  <c r="M23" i="4"/>
  <c r="K24" i="4"/>
  <c r="L24" i="4"/>
  <c r="M24" i="4"/>
  <c r="K25" i="4"/>
  <c r="L25" i="4"/>
  <c r="M25" i="4"/>
  <c r="K26" i="4"/>
  <c r="L26" i="4"/>
  <c r="M26" i="4"/>
  <c r="K27" i="4"/>
  <c r="L27" i="4"/>
  <c r="M27" i="4"/>
  <c r="K28" i="4"/>
  <c r="L28" i="4"/>
  <c r="M28" i="4"/>
  <c r="K29" i="4"/>
  <c r="L29" i="4"/>
  <c r="M29" i="4"/>
  <c r="K30" i="4"/>
  <c r="L30" i="4"/>
  <c r="M30" i="4"/>
  <c r="K31" i="4"/>
  <c r="L31" i="4"/>
  <c r="M31" i="4"/>
  <c r="K32" i="4"/>
  <c r="L32" i="4"/>
  <c r="M32" i="4"/>
  <c r="K33" i="4"/>
  <c r="L33" i="4"/>
  <c r="M33" i="4"/>
  <c r="K34" i="4"/>
  <c r="L34" i="4"/>
  <c r="M34" i="4"/>
  <c r="K35" i="4"/>
  <c r="L35" i="4"/>
  <c r="M35" i="4"/>
  <c r="K36" i="4"/>
  <c r="L36" i="4"/>
  <c r="M36" i="4"/>
  <c r="K37" i="4"/>
  <c r="L37" i="4"/>
  <c r="M37" i="4"/>
  <c r="K38" i="4"/>
  <c r="L38" i="4"/>
  <c r="M38" i="4"/>
  <c r="K39" i="4"/>
  <c r="L39" i="4"/>
  <c r="M39" i="4"/>
  <c r="K40" i="4"/>
  <c r="L40" i="4"/>
  <c r="M40" i="4"/>
  <c r="K41" i="4"/>
  <c r="L41" i="4"/>
  <c r="M41" i="4"/>
  <c r="K42" i="4"/>
  <c r="L42" i="4"/>
  <c r="M42" i="4"/>
  <c r="K43" i="4"/>
  <c r="L43" i="4"/>
  <c r="M43" i="4"/>
  <c r="K44" i="4"/>
  <c r="L44" i="4"/>
  <c r="M44" i="4"/>
  <c r="K45" i="4"/>
  <c r="L45" i="4"/>
  <c r="M45" i="4"/>
  <c r="K46" i="4"/>
  <c r="L46" i="4"/>
  <c r="M46" i="4"/>
  <c r="K47" i="4"/>
  <c r="L47" i="4"/>
  <c r="M47" i="4"/>
  <c r="K48" i="4"/>
  <c r="L48" i="4"/>
  <c r="M48" i="4"/>
  <c r="K49" i="4"/>
  <c r="L49" i="4"/>
  <c r="M49" i="4"/>
  <c r="K50" i="4"/>
  <c r="L50" i="4"/>
  <c r="M50" i="4"/>
  <c r="K51" i="4"/>
  <c r="L51" i="4"/>
  <c r="M51" i="4"/>
  <c r="K52" i="4"/>
  <c r="L52" i="4"/>
  <c r="M52" i="4"/>
  <c r="K53" i="4"/>
  <c r="L53" i="4"/>
  <c r="M53" i="4"/>
  <c r="K54" i="4"/>
  <c r="L54" i="4"/>
  <c r="M54" i="4"/>
  <c r="K55" i="4"/>
  <c r="L55" i="4"/>
  <c r="M55" i="4"/>
  <c r="K7" i="4"/>
  <c r="L7" i="4"/>
  <c r="M7" i="4"/>
  <c r="M6" i="4"/>
  <c r="L6" i="4"/>
  <c r="K6" i="4"/>
  <c r="J6" i="4"/>
  <c r="D131" i="3"/>
  <c r="D132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8" i="3"/>
  <c r="D154" i="3"/>
  <c r="D155" i="3"/>
  <c r="D129" i="3"/>
  <c r="D130" i="3"/>
  <c r="D126" i="3"/>
  <c r="D127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20" i="3"/>
  <c r="D118" i="3"/>
  <c r="D119" i="3"/>
  <c r="D122" i="3"/>
  <c r="D123" i="3"/>
  <c r="D121" i="3"/>
  <c r="D124" i="3"/>
  <c r="D125" i="3"/>
  <c r="D128" i="3"/>
  <c r="D133" i="3"/>
  <c r="D146" i="3"/>
  <c r="D147" i="3"/>
  <c r="D149" i="3"/>
  <c r="D150" i="3"/>
  <c r="D151" i="3"/>
  <c r="D152" i="3"/>
  <c r="D153" i="3"/>
  <c r="B1006" i="3"/>
  <c r="J5" i="4" s="1"/>
  <c r="L5" i="4" s="1"/>
  <c r="I124" i="3"/>
  <c r="I125" i="3"/>
  <c r="I126" i="3"/>
  <c r="I127" i="3"/>
  <c r="I128" i="3"/>
  <c r="I129" i="3"/>
  <c r="I130" i="3"/>
  <c r="I131" i="3"/>
  <c r="I132" i="3"/>
  <c r="I133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43" i="3"/>
  <c r="I144" i="3"/>
  <c r="I145" i="3"/>
  <c r="I146" i="3"/>
  <c r="I142" i="3"/>
  <c r="I141" i="3"/>
  <c r="I140" i="3"/>
  <c r="I139" i="3"/>
  <c r="I137" i="3"/>
  <c r="I138" i="3"/>
  <c r="I134" i="3"/>
  <c r="I135" i="3"/>
  <c r="I136" i="3"/>
  <c r="A3" i="5"/>
  <c r="A58" i="5" s="1"/>
  <c r="B225" i="5"/>
  <c r="G170" i="5"/>
  <c r="G115" i="5"/>
  <c r="G60" i="5"/>
  <c r="G5" i="5"/>
  <c r="F171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E171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220" i="5"/>
  <c r="E219" i="5"/>
  <c r="E218" i="5"/>
  <c r="E217" i="5"/>
  <c r="E216" i="5"/>
  <c r="E215" i="5"/>
  <c r="E214" i="5"/>
  <c r="E213" i="5"/>
  <c r="E212" i="5"/>
  <c r="E211" i="5"/>
  <c r="E210" i="5"/>
  <c r="E209" i="5"/>
  <c r="E208" i="5"/>
  <c r="E207" i="5"/>
  <c r="E206" i="5"/>
  <c r="E205" i="5"/>
  <c r="E204" i="5"/>
  <c r="E203" i="5"/>
  <c r="E202" i="5"/>
  <c r="E201" i="5"/>
  <c r="E200" i="5"/>
  <c r="E199" i="5"/>
  <c r="E198" i="5"/>
  <c r="E197" i="5"/>
  <c r="E196" i="5"/>
  <c r="E195" i="5"/>
  <c r="E194" i="5"/>
  <c r="E193" i="5"/>
  <c r="E192" i="5"/>
  <c r="E191" i="5"/>
  <c r="E190" i="5"/>
  <c r="E189" i="5"/>
  <c r="E188" i="5"/>
  <c r="E187" i="5"/>
  <c r="E186" i="5"/>
  <c r="E185" i="5"/>
  <c r="E184" i="5"/>
  <c r="E183" i="5"/>
  <c r="E182" i="5"/>
  <c r="E181" i="5"/>
  <c r="E180" i="5"/>
  <c r="E179" i="5"/>
  <c r="E178" i="5"/>
  <c r="E177" i="5"/>
  <c r="E176" i="5"/>
  <c r="E175" i="5"/>
  <c r="E174" i="5"/>
  <c r="E173" i="5"/>
  <c r="E172" i="5"/>
  <c r="D6" i="5"/>
  <c r="G6" i="5" s="1"/>
  <c r="C171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B171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A171" i="5"/>
  <c r="G171" i="5" s="1"/>
  <c r="A165" i="5"/>
  <c r="G165" i="5" s="1"/>
  <c r="A164" i="5"/>
  <c r="G164" i="5" s="1"/>
  <c r="A163" i="5"/>
  <c r="G163" i="5" s="1"/>
  <c r="A162" i="5"/>
  <c r="G162" i="5" s="1"/>
  <c r="A161" i="5"/>
  <c r="G161" i="5" s="1"/>
  <c r="A160" i="5"/>
  <c r="G160" i="5" s="1"/>
  <c r="A159" i="5"/>
  <c r="G159" i="5" s="1"/>
  <c r="A158" i="5"/>
  <c r="G158" i="5" s="1"/>
  <c r="A157" i="5"/>
  <c r="G157" i="5" s="1"/>
  <c r="A156" i="5"/>
  <c r="G156" i="5" s="1"/>
  <c r="A155" i="5"/>
  <c r="G155" i="5" s="1"/>
  <c r="A154" i="5"/>
  <c r="G154" i="5" s="1"/>
  <c r="A153" i="5"/>
  <c r="G153" i="5" s="1"/>
  <c r="A152" i="5"/>
  <c r="G152" i="5" s="1"/>
  <c r="A151" i="5"/>
  <c r="G151" i="5" s="1"/>
  <c r="A150" i="5"/>
  <c r="G150" i="5" s="1"/>
  <c r="A149" i="5"/>
  <c r="G149" i="5" s="1"/>
  <c r="A148" i="5"/>
  <c r="G148" i="5" s="1"/>
  <c r="A147" i="5"/>
  <c r="G147" i="5" s="1"/>
  <c r="A146" i="5"/>
  <c r="G146" i="5" s="1"/>
  <c r="A145" i="5"/>
  <c r="G145" i="5" s="1"/>
  <c r="A144" i="5"/>
  <c r="G144" i="5" s="1"/>
  <c r="A143" i="5"/>
  <c r="G143" i="5" s="1"/>
  <c r="A142" i="5"/>
  <c r="G142" i="5" s="1"/>
  <c r="A141" i="5"/>
  <c r="G141" i="5" s="1"/>
  <c r="A140" i="5"/>
  <c r="G140" i="5" s="1"/>
  <c r="A139" i="5"/>
  <c r="G139" i="5" s="1"/>
  <c r="A138" i="5"/>
  <c r="G138" i="5" s="1"/>
  <c r="A137" i="5"/>
  <c r="G137" i="5" s="1"/>
  <c r="A136" i="5"/>
  <c r="G136" i="5" s="1"/>
  <c r="A135" i="5"/>
  <c r="G135" i="5" s="1"/>
  <c r="A134" i="5"/>
  <c r="G134" i="5" s="1"/>
  <c r="A133" i="5"/>
  <c r="G133" i="5" s="1"/>
  <c r="A132" i="5"/>
  <c r="G132" i="5" s="1"/>
  <c r="A131" i="5"/>
  <c r="G131" i="5" s="1"/>
  <c r="A130" i="5"/>
  <c r="G130" i="5" s="1"/>
  <c r="A129" i="5"/>
  <c r="G129" i="5" s="1"/>
  <c r="A128" i="5"/>
  <c r="G128" i="5" s="1"/>
  <c r="A127" i="5"/>
  <c r="G127" i="5" s="1"/>
  <c r="A126" i="5"/>
  <c r="G126" i="5" s="1"/>
  <c r="A125" i="5"/>
  <c r="G125" i="5" s="1"/>
  <c r="A124" i="5"/>
  <c r="G124" i="5" s="1"/>
  <c r="A123" i="5"/>
  <c r="G123" i="5" s="1"/>
  <c r="A122" i="5"/>
  <c r="G122" i="5" s="1"/>
  <c r="A121" i="5"/>
  <c r="G121" i="5" s="1"/>
  <c r="A120" i="5"/>
  <c r="G120" i="5" s="1"/>
  <c r="A119" i="5"/>
  <c r="G119" i="5" s="1"/>
  <c r="A118" i="5"/>
  <c r="G118" i="5" s="1"/>
  <c r="A117" i="5"/>
  <c r="G117" i="5" s="1"/>
  <c r="A116" i="5"/>
  <c r="G116" i="5" s="1"/>
  <c r="A110" i="5"/>
  <c r="G110" i="5" s="1"/>
  <c r="A109" i="5"/>
  <c r="G109" i="5" s="1"/>
  <c r="A108" i="5"/>
  <c r="G108" i="5" s="1"/>
  <c r="A107" i="5"/>
  <c r="G107" i="5" s="1"/>
  <c r="A106" i="5"/>
  <c r="G106" i="5" s="1"/>
  <c r="A105" i="5"/>
  <c r="G105" i="5" s="1"/>
  <c r="A104" i="5"/>
  <c r="G104" i="5" s="1"/>
  <c r="A103" i="5"/>
  <c r="G103" i="5" s="1"/>
  <c r="A102" i="5"/>
  <c r="G102" i="5" s="1"/>
  <c r="A101" i="5"/>
  <c r="G101" i="5" s="1"/>
  <c r="A100" i="5"/>
  <c r="G100" i="5" s="1"/>
  <c r="A99" i="5"/>
  <c r="G99" i="5" s="1"/>
  <c r="A98" i="5"/>
  <c r="G98" i="5" s="1"/>
  <c r="A97" i="5"/>
  <c r="G97" i="5" s="1"/>
  <c r="A96" i="5"/>
  <c r="G96" i="5" s="1"/>
  <c r="A95" i="5"/>
  <c r="G95" i="5" s="1"/>
  <c r="A94" i="5"/>
  <c r="G94" i="5" s="1"/>
  <c r="A93" i="5"/>
  <c r="G93" i="5" s="1"/>
  <c r="A92" i="5"/>
  <c r="G92" i="5" s="1"/>
  <c r="A91" i="5"/>
  <c r="G91" i="5" s="1"/>
  <c r="A90" i="5"/>
  <c r="G90" i="5" s="1"/>
  <c r="A89" i="5"/>
  <c r="G89" i="5" s="1"/>
  <c r="A88" i="5"/>
  <c r="G88" i="5" s="1"/>
  <c r="A87" i="5"/>
  <c r="G87" i="5" s="1"/>
  <c r="A86" i="5"/>
  <c r="G86" i="5" s="1"/>
  <c r="A85" i="5"/>
  <c r="G85" i="5" s="1"/>
  <c r="A84" i="5"/>
  <c r="G84" i="5" s="1"/>
  <c r="A83" i="5"/>
  <c r="G83" i="5" s="1"/>
  <c r="A82" i="5"/>
  <c r="G82" i="5" s="1"/>
  <c r="A81" i="5"/>
  <c r="G81" i="5" s="1"/>
  <c r="A80" i="5"/>
  <c r="G80" i="5" s="1"/>
  <c r="A79" i="5"/>
  <c r="G79" i="5" s="1"/>
  <c r="A78" i="5"/>
  <c r="G78" i="5" s="1"/>
  <c r="A77" i="5"/>
  <c r="G77" i="5" s="1"/>
  <c r="A76" i="5"/>
  <c r="G76" i="5" s="1"/>
  <c r="A75" i="5"/>
  <c r="G75" i="5" s="1"/>
  <c r="A74" i="5"/>
  <c r="G74" i="5" s="1"/>
  <c r="A73" i="5"/>
  <c r="G73" i="5" s="1"/>
  <c r="A72" i="5"/>
  <c r="G72" i="5" s="1"/>
  <c r="A71" i="5"/>
  <c r="G71" i="5" s="1"/>
  <c r="A70" i="5"/>
  <c r="G70" i="5" s="1"/>
  <c r="A69" i="5"/>
  <c r="G69" i="5" s="1"/>
  <c r="A68" i="5"/>
  <c r="G68" i="5" s="1"/>
  <c r="A67" i="5"/>
  <c r="G67" i="5" s="1"/>
  <c r="A66" i="5"/>
  <c r="G66" i="5" s="1"/>
  <c r="A65" i="5"/>
  <c r="G65" i="5" s="1"/>
  <c r="A64" i="5"/>
  <c r="G64" i="5" s="1"/>
  <c r="A63" i="5"/>
  <c r="G63" i="5" s="1"/>
  <c r="A62" i="5"/>
  <c r="G62" i="5" s="1"/>
  <c r="A61" i="5"/>
  <c r="G61" i="5" s="1"/>
  <c r="A55" i="5"/>
  <c r="G55" i="5" s="1"/>
  <c r="A54" i="5"/>
  <c r="G54" i="5" s="1"/>
  <c r="A53" i="5"/>
  <c r="G53" i="5" s="1"/>
  <c r="A52" i="5"/>
  <c r="G52" i="5" s="1"/>
  <c r="A51" i="5"/>
  <c r="G51" i="5" s="1"/>
  <c r="A50" i="5"/>
  <c r="G50" i="5" s="1"/>
  <c r="A49" i="5"/>
  <c r="G49" i="5" s="1"/>
  <c r="A48" i="5"/>
  <c r="G48" i="5" s="1"/>
  <c r="A47" i="5"/>
  <c r="G47" i="5" s="1"/>
  <c r="A46" i="5"/>
  <c r="G46" i="5" s="1"/>
  <c r="A45" i="5"/>
  <c r="G45" i="5" s="1"/>
  <c r="A44" i="5"/>
  <c r="G44" i="5" s="1"/>
  <c r="A43" i="5"/>
  <c r="G43" i="5" s="1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220" i="5"/>
  <c r="G220" i="5" s="1"/>
  <c r="A219" i="5"/>
  <c r="G219" i="5" s="1"/>
  <c r="A218" i="5"/>
  <c r="G218" i="5" s="1"/>
  <c r="A217" i="5"/>
  <c r="G217" i="5" s="1"/>
  <c r="A216" i="5"/>
  <c r="G216" i="5" s="1"/>
  <c r="A215" i="5"/>
  <c r="G215" i="5" s="1"/>
  <c r="A214" i="5"/>
  <c r="G214" i="5" s="1"/>
  <c r="A213" i="5"/>
  <c r="G213" i="5" s="1"/>
  <c r="A212" i="5"/>
  <c r="G212" i="5" s="1"/>
  <c r="A211" i="5"/>
  <c r="G211" i="5" s="1"/>
  <c r="A210" i="5"/>
  <c r="G210" i="5" s="1"/>
  <c r="A209" i="5"/>
  <c r="G209" i="5" s="1"/>
  <c r="A208" i="5"/>
  <c r="G208" i="5" s="1"/>
  <c r="A207" i="5"/>
  <c r="G207" i="5" s="1"/>
  <c r="A206" i="5"/>
  <c r="G206" i="5" s="1"/>
  <c r="A205" i="5"/>
  <c r="G205" i="5" s="1"/>
  <c r="A204" i="5"/>
  <c r="G204" i="5" s="1"/>
  <c r="A203" i="5"/>
  <c r="G203" i="5" s="1"/>
  <c r="A202" i="5"/>
  <c r="G202" i="5" s="1"/>
  <c r="A201" i="5"/>
  <c r="G201" i="5" s="1"/>
  <c r="A200" i="5"/>
  <c r="G200" i="5" s="1"/>
  <c r="A199" i="5"/>
  <c r="G199" i="5" s="1"/>
  <c r="A198" i="5"/>
  <c r="G198" i="5" s="1"/>
  <c r="A197" i="5"/>
  <c r="G197" i="5" s="1"/>
  <c r="A196" i="5"/>
  <c r="G196" i="5" s="1"/>
  <c r="A195" i="5"/>
  <c r="G195" i="5" s="1"/>
  <c r="A194" i="5"/>
  <c r="G194" i="5" s="1"/>
  <c r="A193" i="5"/>
  <c r="G193" i="5" s="1"/>
  <c r="A192" i="5"/>
  <c r="G192" i="5" s="1"/>
  <c r="A191" i="5"/>
  <c r="G191" i="5" s="1"/>
  <c r="A190" i="5"/>
  <c r="G190" i="5" s="1"/>
  <c r="A189" i="5"/>
  <c r="G189" i="5" s="1"/>
  <c r="A188" i="5"/>
  <c r="G188" i="5" s="1"/>
  <c r="A187" i="5"/>
  <c r="G187" i="5" s="1"/>
  <c r="A186" i="5"/>
  <c r="G186" i="5" s="1"/>
  <c r="A185" i="5"/>
  <c r="G185" i="5" s="1"/>
  <c r="A184" i="5"/>
  <c r="G184" i="5" s="1"/>
  <c r="A183" i="5"/>
  <c r="G183" i="5" s="1"/>
  <c r="A182" i="5"/>
  <c r="G182" i="5" s="1"/>
  <c r="A181" i="5"/>
  <c r="G181" i="5" s="1"/>
  <c r="A180" i="5"/>
  <c r="G180" i="5" s="1"/>
  <c r="A179" i="5"/>
  <c r="G179" i="5" s="1"/>
  <c r="A178" i="5"/>
  <c r="G178" i="5" s="1"/>
  <c r="A177" i="5"/>
  <c r="G177" i="5" s="1"/>
  <c r="A176" i="5"/>
  <c r="G176" i="5" s="1"/>
  <c r="A175" i="5"/>
  <c r="G175" i="5" s="1"/>
  <c r="A174" i="5"/>
  <c r="G174" i="5" s="1"/>
  <c r="A173" i="5"/>
  <c r="G173" i="5" s="1"/>
  <c r="A172" i="5"/>
  <c r="G172" i="5" s="1"/>
  <c r="M205" i="3"/>
  <c r="E56" i="5" s="1"/>
  <c r="Q205" i="3"/>
  <c r="P205" i="3"/>
  <c r="N4" i="3"/>
  <c r="H1006" i="3"/>
  <c r="G1006" i="3"/>
  <c r="D9" i="3"/>
  <c r="D14" i="3"/>
  <c r="D15" i="3"/>
  <c r="D10" i="3"/>
  <c r="D7" i="3"/>
  <c r="D12" i="3"/>
  <c r="D13" i="3"/>
  <c r="D21" i="3"/>
  <c r="D22" i="3"/>
  <c r="D20" i="3"/>
  <c r="D29" i="3"/>
  <c r="D30" i="3"/>
  <c r="D16" i="3"/>
  <c r="D17" i="3"/>
  <c r="D23" i="3"/>
  <c r="D24" i="3"/>
  <c r="D31" i="3"/>
  <c r="D32" i="3"/>
  <c r="D35" i="3"/>
  <c r="D18" i="3"/>
  <c r="D28" i="3"/>
  <c r="D19" i="3"/>
  <c r="D37" i="3"/>
  <c r="D38" i="3"/>
  <c r="D39" i="3"/>
  <c r="D40" i="3"/>
  <c r="D36" i="3"/>
  <c r="D25" i="3"/>
  <c r="D44" i="3"/>
  <c r="D26" i="3"/>
  <c r="D46" i="3"/>
  <c r="D47" i="3"/>
  <c r="D48" i="3"/>
  <c r="D49" i="3"/>
  <c r="D33" i="3"/>
  <c r="D55" i="3"/>
  <c r="D65" i="3"/>
  <c r="D52" i="3"/>
  <c r="D60" i="3"/>
  <c r="D62" i="3"/>
  <c r="D56" i="3"/>
  <c r="D63" i="3"/>
  <c r="D53" i="3"/>
  <c r="D64" i="3"/>
  <c r="D54" i="3"/>
  <c r="D61" i="3"/>
  <c r="D34" i="3"/>
  <c r="D41" i="3"/>
  <c r="D42" i="3"/>
  <c r="D50" i="3"/>
  <c r="D51" i="3"/>
  <c r="D57" i="3"/>
  <c r="D58" i="3"/>
  <c r="D66" i="3"/>
  <c r="D67" i="3"/>
  <c r="D59" i="3"/>
  <c r="D45" i="3"/>
  <c r="D27" i="3"/>
  <c r="D43" i="3"/>
  <c r="D11" i="3"/>
  <c r="D68" i="3"/>
  <c r="D69" i="3"/>
  <c r="D70" i="3"/>
  <c r="D71" i="3"/>
  <c r="D72" i="3"/>
  <c r="D73" i="3"/>
  <c r="D74" i="3"/>
  <c r="D75" i="3"/>
  <c r="D76" i="3"/>
  <c r="D77" i="3"/>
  <c r="D78" i="3"/>
  <c r="D80" i="3"/>
  <c r="D79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8" i="3"/>
  <c r="D6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60" i="3" s="1"/>
  <c r="I61" i="3" s="1"/>
  <c r="I62" i="3" s="1"/>
  <c r="I63" i="3" s="1"/>
  <c r="I64" i="3" s="1"/>
  <c r="I65" i="3" s="1"/>
  <c r="I66" i="3" s="1"/>
  <c r="I67" i="3" s="1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L81" i="6"/>
  <c r="O61" i="6"/>
  <c r="N60" i="6"/>
  <c r="O57" i="6"/>
  <c r="G59" i="6"/>
  <c r="U63" i="6"/>
  <c r="V63" i="6" s="1"/>
  <c r="G56" i="6"/>
  <c r="M29" i="6"/>
  <c r="L29" i="6"/>
  <c r="M15" i="6"/>
  <c r="L15" i="6"/>
  <c r="H17" i="6"/>
  <c r="H16" i="6"/>
  <c r="B70" i="2"/>
  <c r="B69" i="2"/>
  <c r="F13" i="2"/>
  <c r="F15" i="2"/>
  <c r="F16" i="2"/>
  <c r="E40" i="2"/>
  <c r="E41" i="2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I8" i="2"/>
  <c r="L121" i="6" l="1"/>
  <c r="K19" i="6"/>
  <c r="L16" i="6"/>
  <c r="C40" i="11" s="1"/>
  <c r="L86" i="6"/>
  <c r="L17" i="6"/>
  <c r="M17" i="6" s="1"/>
  <c r="L87" i="6"/>
  <c r="M87" i="6" s="1"/>
  <c r="L18" i="6"/>
  <c r="C42" i="11" s="1"/>
  <c r="L88" i="6"/>
  <c r="M88" i="6" s="1"/>
  <c r="C18" i="11"/>
  <c r="C27" i="11"/>
  <c r="C8" i="11"/>
  <c r="C12" i="11"/>
  <c r="L41" i="6"/>
  <c r="L45" i="6"/>
  <c r="F27" i="2"/>
  <c r="L44" i="6"/>
  <c r="F26" i="2"/>
  <c r="L43" i="6"/>
  <c r="C21" i="11" s="1"/>
  <c r="L38" i="6"/>
  <c r="L39" i="6"/>
  <c r="M24" i="6"/>
  <c r="M20" i="6"/>
  <c r="F29" i="2"/>
  <c r="M100" i="6"/>
  <c r="M121" i="6" s="1"/>
  <c r="F38" i="2"/>
  <c r="M51" i="6"/>
  <c r="F37" i="2"/>
  <c r="M50" i="6"/>
  <c r="F40" i="2"/>
  <c r="M53" i="6"/>
  <c r="F35" i="2"/>
  <c r="M48" i="6"/>
  <c r="F39" i="2"/>
  <c r="M52" i="6"/>
  <c r="F34" i="2"/>
  <c r="M47" i="6"/>
  <c r="F33" i="2"/>
  <c r="M46" i="6"/>
  <c r="F31" i="2"/>
  <c r="F41" i="2"/>
  <c r="F36" i="2"/>
  <c r="F32" i="2"/>
  <c r="K30" i="6"/>
  <c r="K54" i="6" s="1"/>
  <c r="F9" i="2"/>
  <c r="F12" i="2"/>
  <c r="F10" i="2"/>
  <c r="F11" i="2"/>
  <c r="M32" i="6"/>
  <c r="A112" i="5"/>
  <c r="D56" i="5"/>
  <c r="A167" i="5"/>
  <c r="F56" i="5"/>
  <c r="A56" i="5"/>
  <c r="L40" i="6"/>
  <c r="F23" i="2"/>
  <c r="L33" i="6"/>
  <c r="C13" i="11" s="1"/>
  <c r="F18" i="2"/>
  <c r="M37" i="6"/>
  <c r="L36" i="6"/>
  <c r="F30" i="2"/>
  <c r="D112" i="5"/>
  <c r="L82" i="6"/>
  <c r="L83" i="6" s="1"/>
  <c r="A57" i="5"/>
  <c r="E57" i="5"/>
  <c r="E111" i="5"/>
  <c r="E166" i="5"/>
  <c r="F57" i="5"/>
  <c r="T63" i="6"/>
  <c r="A113" i="5"/>
  <c r="A168" i="5"/>
  <c r="F111" i="5"/>
  <c r="F166" i="5"/>
  <c r="E221" i="5"/>
  <c r="F221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B224" i="5"/>
  <c r="D57" i="5"/>
  <c r="D167" i="5"/>
  <c r="D222" i="5"/>
  <c r="F28" i="2"/>
  <c r="L34" i="6"/>
  <c r="I1006" i="3"/>
  <c r="F7" i="2"/>
  <c r="F17" i="2"/>
  <c r="F25" i="2"/>
  <c r="L35" i="6"/>
  <c r="C16" i="11" s="1"/>
  <c r="F8" i="2"/>
  <c r="J7" i="2"/>
  <c r="M31" i="6"/>
  <c r="F24" i="2"/>
  <c r="J8" i="2"/>
  <c r="A57" i="4"/>
  <c r="A56" i="4"/>
  <c r="E57" i="4"/>
  <c r="F57" i="4"/>
  <c r="C41" i="11" l="1"/>
  <c r="C48" i="11" s="1"/>
  <c r="D55" i="11" s="1"/>
  <c r="P44" i="11" s="1"/>
  <c r="L19" i="6"/>
  <c r="L26" i="6" s="1"/>
  <c r="L11" i="6" s="1"/>
  <c r="M18" i="6"/>
  <c r="M16" i="6"/>
  <c r="L89" i="6"/>
  <c r="M86" i="6"/>
  <c r="C19" i="11"/>
  <c r="C25" i="11"/>
  <c r="C14" i="11"/>
  <c r="C20" i="11"/>
  <c r="C17" i="11"/>
  <c r="C26" i="11"/>
  <c r="M41" i="6"/>
  <c r="M44" i="6"/>
  <c r="M45" i="6"/>
  <c r="M38" i="6"/>
  <c r="M43" i="6"/>
  <c r="M39" i="6"/>
  <c r="M35" i="6"/>
  <c r="M33" i="6"/>
  <c r="M40" i="6"/>
  <c r="M36" i="6"/>
  <c r="M34" i="6"/>
  <c r="L42" i="6"/>
  <c r="M42" i="6" s="1"/>
  <c r="L30" i="6"/>
  <c r="F112" i="5"/>
  <c r="E167" i="5"/>
  <c r="G57" i="5"/>
  <c r="E222" i="5"/>
  <c r="F222" i="5"/>
  <c r="E112" i="5"/>
  <c r="H60" i="6"/>
  <c r="N56" i="6"/>
  <c r="H57" i="6"/>
  <c r="F167" i="5"/>
  <c r="G57" i="4"/>
  <c r="J9" i="2"/>
  <c r="M89" i="6" l="1"/>
  <c r="M96" i="6" s="1"/>
  <c r="L96" i="6"/>
  <c r="C47" i="11"/>
  <c r="M19" i="6"/>
  <c r="C35" i="11"/>
  <c r="P54" i="11" s="1"/>
  <c r="C36" i="11"/>
  <c r="B55" i="11" s="1"/>
  <c r="G55" i="11" s="1"/>
  <c r="L54" i="6"/>
  <c r="L12" i="6" s="1"/>
  <c r="L13" i="6" s="1"/>
  <c r="N13" i="6" s="1"/>
  <c r="M30" i="6"/>
  <c r="G112" i="5"/>
  <c r="G167" i="5"/>
  <c r="G222" i="5"/>
  <c r="P50" i="11" l="1"/>
  <c r="P45" i="11"/>
  <c r="P46" i="11" s="1"/>
  <c r="M54" i="6"/>
  <c r="P48" i="11" l="1"/>
  <c r="P55" i="11" s="1"/>
  <c r="P51" i="11" l="1"/>
  <c r="P52" i="11" s="1"/>
  <c r="K25" i="6" l="1"/>
  <c r="F14" i="2"/>
  <c r="I7" i="2"/>
  <c r="I9" i="2" s="1"/>
  <c r="K26" i="6" l="1"/>
  <c r="M26" i="6" s="1"/>
  <c r="M25" i="6"/>
  <c r="G49" i="4"/>
  <c r="A42" i="4"/>
  <c r="F41" i="4"/>
  <c r="C51" i="4"/>
  <c r="G26" i="4"/>
  <c r="A16" i="4"/>
  <c r="D46" i="4"/>
  <c r="E50" i="4"/>
  <c r="E27" i="4"/>
  <c r="F11" i="4"/>
  <c r="A13" i="4"/>
  <c r="F30" i="4"/>
  <c r="D42" i="4"/>
  <c r="C6" i="4"/>
  <c r="E6" i="4"/>
  <c r="D22" i="4"/>
  <c r="E8" i="4"/>
  <c r="D55" i="4"/>
  <c r="G42" i="4"/>
  <c r="F8" i="4"/>
  <c r="A10" i="4"/>
  <c r="E40" i="4"/>
  <c r="E41" i="4"/>
  <c r="F54" i="4"/>
  <c r="A22" i="4"/>
  <c r="F39" i="4"/>
  <c r="D52" i="4"/>
  <c r="B33" i="4"/>
  <c r="G29" i="4"/>
  <c r="D12" i="4"/>
  <c r="E49" i="4"/>
  <c r="G28" i="4"/>
  <c r="F24" i="4"/>
  <c r="F20" i="4"/>
  <c r="E46" i="4"/>
  <c r="C14" i="4"/>
  <c r="E39" i="4"/>
  <c r="C27" i="4"/>
  <c r="E32" i="4"/>
  <c r="F38" i="4"/>
  <c r="E18" i="4"/>
  <c r="F18" i="4"/>
  <c r="C31" i="4"/>
  <c r="A50" i="4"/>
  <c r="C26" i="4"/>
  <c r="D19" i="4"/>
  <c r="B47" i="4"/>
  <c r="F27" i="4"/>
  <c r="G17" i="4"/>
  <c r="G23" i="4"/>
  <c r="B20" i="4"/>
  <c r="E30" i="4"/>
  <c r="G32" i="4"/>
  <c r="B41" i="4"/>
  <c r="G52" i="4"/>
  <c r="B30" i="4"/>
  <c r="G53" i="4"/>
  <c r="C19" i="4"/>
  <c r="G54" i="4"/>
  <c r="F17" i="4"/>
  <c r="A47" i="4"/>
  <c r="F21" i="4"/>
  <c r="E24" i="4"/>
  <c r="D47" i="4"/>
  <c r="B22" i="4"/>
  <c r="B38" i="4"/>
  <c r="E11" i="4"/>
  <c r="E38" i="4"/>
  <c r="A14" i="4"/>
  <c r="B37" i="4"/>
  <c r="C54" i="4"/>
  <c r="E44" i="4"/>
  <c r="A54" i="4"/>
  <c r="C30" i="4"/>
  <c r="G34" i="4"/>
  <c r="C49" i="4"/>
  <c r="C53" i="4"/>
  <c r="C46" i="4"/>
  <c r="C40" i="4"/>
  <c r="C24" i="4"/>
  <c r="E31" i="4"/>
  <c r="G16" i="4"/>
  <c r="B10" i="4"/>
  <c r="G47" i="4"/>
  <c r="C20" i="4"/>
  <c r="B34" i="4"/>
  <c r="A41" i="4"/>
  <c r="G46" i="4"/>
  <c r="E33" i="4"/>
  <c r="D48" i="4"/>
  <c r="E52" i="4"/>
  <c r="F19" i="4"/>
  <c r="C41" i="4"/>
  <c r="G44" i="4"/>
  <c r="C55" i="4"/>
  <c r="A6" i="4"/>
  <c r="F23" i="4"/>
  <c r="A27" i="4"/>
  <c r="G30" i="4"/>
  <c r="A12" i="4"/>
  <c r="G55" i="4"/>
  <c r="C52" i="4"/>
  <c r="E45" i="4"/>
  <c r="D41" i="4"/>
  <c r="D50" i="4"/>
  <c r="G20" i="4"/>
  <c r="G14" i="4"/>
  <c r="D38" i="4"/>
  <c r="D15" i="4"/>
  <c r="C38" i="4"/>
  <c r="G6" i="4"/>
  <c r="A30" i="4"/>
  <c r="A21" i="4"/>
  <c r="E35" i="4"/>
  <c r="A29" i="4"/>
  <c r="C45" i="4"/>
  <c r="E12" i="4"/>
  <c r="B35" i="4"/>
  <c r="B50" i="4"/>
  <c r="A11" i="4"/>
  <c r="A51" i="4"/>
  <c r="F45" i="4"/>
  <c r="E36" i="4"/>
  <c r="D27" i="4"/>
  <c r="G43" i="4"/>
  <c r="E34" i="4"/>
  <c r="C42" i="4"/>
  <c r="F12" i="4"/>
  <c r="E19" i="4"/>
  <c r="E37" i="4"/>
  <c r="D23" i="4"/>
  <c r="C36" i="4"/>
  <c r="E9" i="4"/>
  <c r="A52" i="4"/>
  <c r="F55" i="4"/>
  <c r="G51" i="4"/>
  <c r="F31" i="4"/>
  <c r="C13" i="4"/>
  <c r="A33" i="4"/>
  <c r="D43" i="4"/>
  <c r="B7" i="4"/>
  <c r="A28" i="4"/>
  <c r="A26" i="4"/>
  <c r="E22" i="4"/>
  <c r="E17" i="4"/>
  <c r="B26" i="4"/>
  <c r="E14" i="4"/>
  <c r="G11" i="4"/>
  <c r="G45" i="4"/>
  <c r="F26" i="4"/>
  <c r="C9" i="4"/>
  <c r="A38" i="4"/>
  <c r="D20" i="4"/>
  <c r="E55" i="4"/>
  <c r="D45" i="4"/>
  <c r="D51" i="4"/>
  <c r="D10" i="4"/>
  <c r="F34" i="4"/>
  <c r="F32" i="4"/>
  <c r="B53" i="4"/>
  <c r="A37" i="4"/>
  <c r="A20" i="4"/>
  <c r="B27" i="4"/>
  <c r="D24" i="4"/>
  <c r="E21" i="4"/>
  <c r="F16" i="4"/>
  <c r="F10" i="4"/>
  <c r="G35" i="4"/>
  <c r="C35" i="4"/>
  <c r="A17" i="4"/>
  <c r="F7" i="4"/>
  <c r="A46" i="4"/>
  <c r="E26" i="4"/>
  <c r="B28" i="4"/>
  <c r="B48" i="4"/>
  <c r="E43" i="4"/>
  <c r="B52" i="4"/>
  <c r="D17" i="4"/>
  <c r="F15" i="4"/>
  <c r="C50" i="4"/>
  <c r="C15" i="4"/>
  <c r="G36" i="4"/>
  <c r="C44" i="4"/>
  <c r="A39" i="4"/>
  <c r="D37" i="4"/>
  <c r="F40" i="4"/>
  <c r="B32" i="4"/>
  <c r="D13" i="4"/>
  <c r="A9" i="4"/>
  <c r="A55" i="4"/>
  <c r="D7" i="4"/>
  <c r="A45" i="4"/>
  <c r="B55" i="4"/>
  <c r="D44" i="4"/>
  <c r="G48" i="4"/>
  <c r="E7" i="4"/>
  <c r="C22" i="4"/>
  <c r="F29" i="4"/>
  <c r="C39" i="4"/>
  <c r="C23" i="4"/>
  <c r="G25" i="4"/>
  <c r="G37" i="4"/>
  <c r="A43" i="4"/>
  <c r="C12" i="4"/>
  <c r="B54" i="4"/>
  <c r="D33" i="4"/>
  <c r="A34" i="4"/>
  <c r="B24" i="4"/>
  <c r="A49" i="4"/>
  <c r="B13" i="4"/>
  <c r="F35" i="4"/>
  <c r="C28" i="4"/>
  <c r="E42" i="4"/>
  <c r="F13" i="4"/>
  <c r="B11" i="4"/>
  <c r="G27" i="4"/>
  <c r="C7" i="4"/>
  <c r="D28" i="4"/>
  <c r="A23" i="4"/>
  <c r="E23" i="4"/>
  <c r="F37" i="4"/>
  <c r="E53" i="4"/>
  <c r="E20" i="4"/>
  <c r="B21" i="4"/>
  <c r="A40" i="4"/>
  <c r="B42" i="4"/>
  <c r="D36" i="4"/>
  <c r="G50" i="4"/>
  <c r="F44" i="4"/>
  <c r="C17" i="4"/>
  <c r="D32" i="4"/>
  <c r="A7" i="4"/>
  <c r="B40" i="4"/>
  <c r="G15" i="4"/>
  <c r="B49" i="4"/>
  <c r="B12" i="4"/>
  <c r="B43" i="4"/>
  <c r="F53" i="4"/>
  <c r="A36" i="4"/>
  <c r="A24" i="4"/>
  <c r="B31" i="4"/>
  <c r="E54" i="4"/>
  <c r="F48" i="4"/>
  <c r="D16" i="4"/>
  <c r="B23" i="4"/>
  <c r="B29" i="4"/>
  <c r="G41" i="4"/>
  <c r="F28" i="4"/>
  <c r="B25" i="4"/>
  <c r="C47" i="4"/>
  <c r="E47" i="4"/>
  <c r="B17" i="4"/>
  <c r="B6" i="4"/>
  <c r="A44" i="4"/>
  <c r="A48" i="4"/>
  <c r="F47" i="4"/>
  <c r="C29" i="4"/>
  <c r="F22" i="4"/>
  <c r="D40" i="4"/>
  <c r="A18" i="4"/>
  <c r="C21" i="4"/>
  <c r="B45" i="4"/>
  <c r="G13" i="4"/>
  <c r="A32" i="4"/>
  <c r="B36" i="4"/>
  <c r="A53" i="4"/>
  <c r="G38" i="4"/>
  <c r="F49" i="4"/>
  <c r="B51" i="4"/>
  <c r="C8" i="4"/>
  <c r="D30" i="4"/>
  <c r="G22" i="4"/>
  <c r="D9" i="4"/>
  <c r="G31" i="4"/>
  <c r="G8" i="4"/>
  <c r="F46" i="4"/>
  <c r="A15" i="4"/>
  <c r="G33" i="4"/>
  <c r="F33" i="4"/>
  <c r="C11" i="4"/>
  <c r="F51" i="4"/>
  <c r="E16" i="4"/>
  <c r="D49" i="4"/>
  <c r="B39" i="4"/>
  <c r="D14" i="4"/>
  <c r="C37" i="4"/>
  <c r="G40" i="4"/>
  <c r="E25" i="4"/>
  <c r="F9" i="4"/>
  <c r="E28" i="4"/>
  <c r="D31" i="4"/>
  <c r="D11" i="4"/>
  <c r="F36" i="4"/>
  <c r="F50" i="4"/>
  <c r="G24" i="4"/>
  <c r="B46" i="4"/>
  <c r="C48" i="4"/>
  <c r="D29" i="4"/>
  <c r="F52" i="4"/>
  <c r="D54" i="4"/>
  <c r="B15" i="4"/>
  <c r="A19" i="4"/>
  <c r="A25" i="4"/>
  <c r="G19" i="4"/>
  <c r="D26" i="4"/>
  <c r="D8" i="4"/>
  <c r="G9" i="4"/>
  <c r="G18" i="4"/>
  <c r="C32" i="4"/>
  <c r="C33" i="4"/>
  <c r="B16" i="4"/>
  <c r="E29" i="4"/>
  <c r="C18" i="4"/>
  <c r="F25" i="4"/>
  <c r="D25" i="4"/>
  <c r="B44" i="4"/>
  <c r="C43" i="4"/>
  <c r="G12" i="4"/>
  <c r="F6" i="4"/>
  <c r="D21" i="4"/>
  <c r="B19" i="4"/>
  <c r="C16" i="4"/>
  <c r="C34" i="4"/>
  <c r="C25" i="4"/>
  <c r="E51" i="4"/>
  <c r="D35" i="4"/>
  <c r="G7" i="4"/>
  <c r="D34" i="4"/>
  <c r="D39" i="4"/>
  <c r="B14" i="4"/>
  <c r="G21" i="4"/>
  <c r="E13" i="4"/>
  <c r="G39" i="4"/>
  <c r="G10" i="4"/>
  <c r="E10" i="4"/>
  <c r="E48" i="4"/>
  <c r="A31" i="4"/>
  <c r="A8" i="4"/>
  <c r="B9" i="4"/>
  <c r="C10" i="4"/>
  <c r="B18" i="4"/>
  <c r="A35" i="4"/>
  <c r="F42" i="4"/>
  <c r="E15" i="4"/>
  <c r="D6" i="4"/>
  <c r="F43" i="4"/>
  <c r="D53" i="4"/>
  <c r="F14" i="4"/>
  <c r="D18" i="4"/>
  <c r="B8" i="4"/>
  <c r="F56" i="4" l="1"/>
  <c r="E56" i="4"/>
</calcChain>
</file>

<file path=xl/comments1.xml><?xml version="1.0" encoding="utf-8"?>
<comments xmlns="http://schemas.openxmlformats.org/spreadsheetml/2006/main">
  <authors>
    <author>Windows ユーザー</author>
  </authors>
  <commentLis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予算シートのNo.（コード）を入力</t>
        </r>
      </text>
    </comment>
  </commentList>
</comments>
</file>

<file path=xl/sharedStrings.xml><?xml version="1.0" encoding="utf-8"?>
<sst xmlns="http://schemas.openxmlformats.org/spreadsheetml/2006/main" count="630" uniqueCount="321">
  <si>
    <t>年度</t>
    <rPh sb="0" eb="2">
      <t>ネンド</t>
    </rPh>
    <phoneticPr fontId="5"/>
  </si>
  <si>
    <t>収入･支出済額</t>
    <rPh sb="0" eb="2">
      <t>シュウニュウ</t>
    </rPh>
    <rPh sb="3" eb="5">
      <t>シシュツ</t>
    </rPh>
    <rPh sb="5" eb="6">
      <t>ズミ</t>
    </rPh>
    <rPh sb="6" eb="7">
      <t>ガク</t>
    </rPh>
    <phoneticPr fontId="5"/>
  </si>
  <si>
    <t>入</t>
    <rPh sb="0" eb="1">
      <t>ニュウ</t>
    </rPh>
    <phoneticPr fontId="5"/>
  </si>
  <si>
    <t>収</t>
    <rPh sb="0" eb="1">
      <t>オサム</t>
    </rPh>
    <phoneticPr fontId="5"/>
  </si>
  <si>
    <t>支</t>
    <rPh sb="0" eb="1">
      <t>シ</t>
    </rPh>
    <phoneticPr fontId="5"/>
  </si>
  <si>
    <t>出</t>
    <rPh sb="0" eb="1">
      <t>シュツ</t>
    </rPh>
    <phoneticPr fontId="5"/>
  </si>
  <si>
    <t>会計</t>
    <rPh sb="0" eb="2">
      <t>カイケイ</t>
    </rPh>
    <phoneticPr fontId="5"/>
  </si>
  <si>
    <t>項　目　名</t>
    <rPh sb="0" eb="1">
      <t>コウ</t>
    </rPh>
    <rPh sb="2" eb="3">
      <t>メ</t>
    </rPh>
    <rPh sb="4" eb="5">
      <t>ナ</t>
    </rPh>
    <phoneticPr fontId="5"/>
  </si>
  <si>
    <t>予 算 額</t>
    <rPh sb="0" eb="1">
      <t>ヨ</t>
    </rPh>
    <rPh sb="2" eb="3">
      <t>サン</t>
    </rPh>
    <rPh sb="4" eb="5">
      <t>ガク</t>
    </rPh>
    <phoneticPr fontId="5"/>
  </si>
  <si>
    <t>↑</t>
    <phoneticPr fontId="5"/>
  </si>
  <si>
    <t>↓</t>
    <phoneticPr fontId="5"/>
  </si>
  <si>
    <t>月日</t>
    <rPh sb="0" eb="2">
      <t>ガッピ</t>
    </rPh>
    <phoneticPr fontId="5"/>
  </si>
  <si>
    <t>収入金額</t>
    <rPh sb="0" eb="2">
      <t>シュウニュウ</t>
    </rPh>
    <rPh sb="2" eb="4">
      <t>キンガク</t>
    </rPh>
    <phoneticPr fontId="5"/>
  </si>
  <si>
    <t>支出金額</t>
    <rPh sb="0" eb="2">
      <t>シシュツ</t>
    </rPh>
    <rPh sb="2" eb="4">
      <t>キンガク</t>
    </rPh>
    <phoneticPr fontId="5"/>
  </si>
  <si>
    <t>差引残額</t>
    <rPh sb="0" eb="2">
      <t>サシヒキ</t>
    </rPh>
    <rPh sb="2" eb="4">
      <t>ザンガク</t>
    </rPh>
    <phoneticPr fontId="5"/>
  </si>
  <si>
    <t>コード</t>
    <phoneticPr fontId="5"/>
  </si>
  <si>
    <t>月 日</t>
    <rPh sb="0" eb="1">
      <t>ツキ</t>
    </rPh>
    <rPh sb="2" eb="3">
      <t>ヒ</t>
    </rPh>
    <phoneticPr fontId="5"/>
  </si>
  <si>
    <t>項　　目</t>
    <rPh sb="0" eb="1">
      <t>コウ</t>
    </rPh>
    <rPh sb="3" eb="4">
      <t>メ</t>
    </rPh>
    <phoneticPr fontId="5"/>
  </si>
  <si>
    <t>摘　　　　　　　要</t>
    <rPh sb="0" eb="1">
      <t>チャク</t>
    </rPh>
    <rPh sb="8" eb="9">
      <t>ヨウ</t>
    </rPh>
    <phoneticPr fontId="5"/>
  </si>
  <si>
    <t>項　　　目</t>
    <rPh sb="0" eb="1">
      <t>コウ</t>
    </rPh>
    <rPh sb="4" eb="5">
      <t>メ</t>
    </rPh>
    <phoneticPr fontId="5"/>
  </si>
  <si>
    <t>摘　　　　　　　　　　　　要</t>
    <rPh sb="0" eb="1">
      <t>チャク</t>
    </rPh>
    <rPh sb="13" eb="14">
      <t>ヨウ</t>
    </rPh>
    <phoneticPr fontId="5"/>
  </si>
  <si>
    <t>小　　　　　　　　　計</t>
    <rPh sb="0" eb="1">
      <t>ショウ</t>
    </rPh>
    <rPh sb="10" eb="11">
      <t>ケイ</t>
    </rPh>
    <phoneticPr fontId="5"/>
  </si>
  <si>
    <t>合　　　　　　　　　計</t>
    <rPh sb="0" eb="1">
      <t>ゴウ</t>
    </rPh>
    <rPh sb="10" eb="11">
      <t>ケイ</t>
    </rPh>
    <phoneticPr fontId="5"/>
  </si>
  <si>
    <t>収入金額</t>
    <rPh sb="0" eb="2">
      <t>シュウニュウ</t>
    </rPh>
    <rPh sb="2" eb="3">
      <t>キン</t>
    </rPh>
    <rPh sb="3" eb="4">
      <t>ガク</t>
    </rPh>
    <phoneticPr fontId="5"/>
  </si>
  <si>
    <t>合　　　計</t>
    <rPh sb="0" eb="1">
      <t>ゴウ</t>
    </rPh>
    <rPh sb="4" eb="5">
      <t>ケイ</t>
    </rPh>
    <phoneticPr fontId="5"/>
  </si>
  <si>
    <t>No</t>
    <phoneticPr fontId="5"/>
  </si>
  <si>
    <t>合　　　　計</t>
    <rPh sb="0" eb="1">
      <t>ゴウ</t>
    </rPh>
    <rPh sb="5" eb="6">
      <t>ケイ</t>
    </rPh>
    <phoneticPr fontId="5"/>
  </si>
  <si>
    <t>No</t>
    <phoneticPr fontId="5"/>
  </si>
  <si>
    <t>コード</t>
    <phoneticPr fontId="5"/>
  </si>
  <si>
    <t>件</t>
    <rPh sb="0" eb="1">
      <t>ケン</t>
    </rPh>
    <phoneticPr fontId="5"/>
  </si>
  <si>
    <t>枚</t>
    <rPh sb="0" eb="1">
      <t>マイ</t>
    </rPh>
    <phoneticPr fontId="5"/>
  </si>
  <si>
    <t>コード</t>
    <phoneticPr fontId="5"/>
  </si>
  <si>
    <t>収入</t>
    <rPh sb="0" eb="2">
      <t>シュウニュウ</t>
    </rPh>
    <phoneticPr fontId="5"/>
  </si>
  <si>
    <t>支出</t>
    <rPh sb="0" eb="2">
      <t>シシュツ</t>
    </rPh>
    <phoneticPr fontId="5"/>
  </si>
  <si>
    <t>予算額</t>
    <rPh sb="0" eb="3">
      <t>ヨサンガク</t>
    </rPh>
    <phoneticPr fontId="5"/>
  </si>
  <si>
    <t>合計</t>
    <rPh sb="0" eb="2">
      <t>ゴウケイ</t>
    </rPh>
    <phoneticPr fontId="5"/>
  </si>
  <si>
    <t>差引</t>
    <rPh sb="0" eb="2">
      <t>サシヒキ</t>
    </rPh>
    <phoneticPr fontId="5"/>
  </si>
  <si>
    <t>印刷範囲</t>
    <rPh sb="0" eb="2">
      <t>インサツ</t>
    </rPh>
    <rPh sb="2" eb="4">
      <t>ハンイ</t>
    </rPh>
    <phoneticPr fontId="5"/>
  </si>
  <si>
    <r>
      <t>印刷用会計簿　</t>
    </r>
    <r>
      <rPr>
        <sz val="10"/>
        <color indexed="10"/>
        <rFont val="ＭＳ 明朝"/>
        <family val="1"/>
        <charset val="128"/>
      </rPr>
      <t>入力は「簿」のシートで</t>
    </r>
    <rPh sb="0" eb="3">
      <t>インサツヨウ</t>
    </rPh>
    <rPh sb="3" eb="5">
      <t>カイケイ</t>
    </rPh>
    <rPh sb="5" eb="6">
      <t>ボ</t>
    </rPh>
    <phoneticPr fontId="5"/>
  </si>
  <si>
    <t>　↑ コードを入力</t>
    <rPh sb="7" eb="9">
      <t>ニュウリョク</t>
    </rPh>
    <phoneticPr fontId="5"/>
  </si>
  <si>
    <t>番の項目を</t>
    <rPh sb="0" eb="1">
      <t>バン</t>
    </rPh>
    <rPh sb="2" eb="4">
      <t>コウモク</t>
    </rPh>
    <phoneticPr fontId="5"/>
  </si>
  <si>
    <t>非表示列</t>
    <rPh sb="0" eb="3">
      <t>ヒヒョウジ</t>
    </rPh>
    <rPh sb="3" eb="4">
      <t>レツ</t>
    </rPh>
    <phoneticPr fontId="5"/>
  </si>
  <si>
    <t>○色つきのセルのみ入力</t>
    <rPh sb="1" eb="2">
      <t>イロ</t>
    </rPh>
    <rPh sb="9" eb="11">
      <t>ニュウリョク</t>
    </rPh>
    <phoneticPr fontId="5"/>
  </si>
  <si>
    <t>○収入、支出とも小さい№から順に使用のこと</t>
    <rPh sb="1" eb="3">
      <t>シュウニュウ</t>
    </rPh>
    <rPh sb="4" eb="6">
      <t>シシュツ</t>
    </rPh>
    <rPh sb="8" eb="9">
      <t>チイ</t>
    </rPh>
    <rPh sb="14" eb="15">
      <t>ジュン</t>
    </rPh>
    <rPh sb="16" eb="18">
      <t>シヨウ</t>
    </rPh>
    <phoneticPr fontId="5"/>
  </si>
  <si>
    <t>会計簿を入力</t>
    <rPh sb="0" eb="2">
      <t>カイケイ</t>
    </rPh>
    <rPh sb="2" eb="3">
      <t>ボ</t>
    </rPh>
    <rPh sb="4" eb="6">
      <t>ニュウリョク</t>
    </rPh>
    <phoneticPr fontId="5"/>
  </si>
  <si>
    <t>会計簿を印刷</t>
    <rPh sb="0" eb="2">
      <t>カイケイ</t>
    </rPh>
    <rPh sb="2" eb="3">
      <t>ボ</t>
    </rPh>
    <rPh sb="4" eb="6">
      <t>インサツ</t>
    </rPh>
    <phoneticPr fontId="5"/>
  </si>
  <si>
    <t>各項目の会計簿を個別に印刷､又は画面で確認</t>
    <rPh sb="0" eb="3">
      <t>カクコウモク</t>
    </rPh>
    <rPh sb="4" eb="6">
      <t>カイケイ</t>
    </rPh>
    <rPh sb="6" eb="7">
      <t>ボ</t>
    </rPh>
    <rPh sb="8" eb="10">
      <t>コベツ</t>
    </rPh>
    <rPh sb="11" eb="13">
      <t>インサツ</t>
    </rPh>
    <rPh sb="14" eb="15">
      <t>マタ</t>
    </rPh>
    <rPh sb="16" eb="18">
      <t>ガメン</t>
    </rPh>
    <rPh sb="19" eb="21">
      <t>カクニン</t>
    </rPh>
    <phoneticPr fontId="5"/>
  </si>
  <si>
    <t>全項目の会計簿を一気に印刷</t>
    <rPh sb="0" eb="3">
      <t>ゼンコウモク</t>
    </rPh>
    <rPh sb="4" eb="6">
      <t>カイケイ</t>
    </rPh>
    <rPh sb="6" eb="7">
      <t>ボ</t>
    </rPh>
    <rPh sb="8" eb="10">
      <t>イッキ</t>
    </rPh>
    <rPh sb="11" eb="13">
      <t>インサツ</t>
    </rPh>
    <phoneticPr fontId="5"/>
  </si>
  <si>
    <t>項目名･予算額等を入力 ／ 執行済額を確認</t>
    <rPh sb="0" eb="3">
      <t>コウモクメイ</t>
    </rPh>
    <rPh sb="4" eb="7">
      <t>ヨサンガク</t>
    </rPh>
    <rPh sb="7" eb="8">
      <t>トウ</t>
    </rPh>
    <rPh sb="9" eb="11">
      <t>ニュウリョク</t>
    </rPh>
    <rPh sb="14" eb="17">
      <t>シッコウズミ</t>
    </rPh>
    <rPh sb="17" eb="18">
      <t>ガク</t>
    </rPh>
    <rPh sb="19" eb="21">
      <t>カクニン</t>
    </rPh>
    <phoneticPr fontId="5"/>
  </si>
  <si>
    <t>※月日は小数で</t>
    <rPh sb="1" eb="3">
      <t>ガッピ</t>
    </rPh>
    <rPh sb="4" eb="6">
      <t>ショウスウ</t>
    </rPh>
    <phoneticPr fontId="5"/>
  </si>
  <si>
    <t>※｢月日｣｢コード｣は省略不可</t>
    <rPh sb="2" eb="4">
      <t>ガッピ</t>
    </rPh>
    <rPh sb="11" eb="13">
      <t>ショウリャク</t>
    </rPh>
    <rPh sb="13" eb="15">
      <t>フカ</t>
    </rPh>
    <phoneticPr fontId="5"/>
  </si>
  <si>
    <t>増　　減</t>
    <rPh sb="0" eb="1">
      <t>ゾウ</t>
    </rPh>
    <rPh sb="3" eb="4">
      <t>ゲン</t>
    </rPh>
    <phoneticPr fontId="5"/>
  </si>
  <si>
    <t>※コードを入力したら、どちらかのボタンをクリック</t>
    <rPh sb="5" eb="7">
      <t>ニュウリョク</t>
    </rPh>
    <phoneticPr fontId="5"/>
  </si>
  <si>
    <t>※印刷はいきなり始まるので慌てんように！</t>
    <rPh sb="1" eb="3">
      <t>インサツ</t>
    </rPh>
    <rPh sb="8" eb="9">
      <t>ハジ</t>
    </rPh>
    <rPh sb="13" eb="14">
      <t>アワ</t>
    </rPh>
    <phoneticPr fontId="5"/>
  </si>
  <si>
    <r>
      <t>　</t>
    </r>
    <r>
      <rPr>
        <sz val="10"/>
        <color indexed="60"/>
        <rFont val="ＭＳ 明朝"/>
        <family val="1"/>
        <charset val="128"/>
      </rPr>
      <t>例：10月1日 →</t>
    </r>
    <r>
      <rPr>
        <sz val="10"/>
        <rFont val="ＭＳ 明朝"/>
        <family val="1"/>
        <charset val="128"/>
      </rPr>
      <t xml:space="preserve"> </t>
    </r>
    <r>
      <rPr>
        <b/>
        <sz val="10"/>
        <color indexed="10"/>
        <rFont val="ＭＳ 明朝"/>
        <family val="1"/>
        <charset val="128"/>
      </rPr>
      <t>10.01</t>
    </r>
    <rPh sb="1" eb="2">
      <t>レイ</t>
    </rPh>
    <rPh sb="5" eb="6">
      <t>ガツ</t>
    </rPh>
    <rPh sb="7" eb="8">
      <t>ニチ</t>
    </rPh>
    <phoneticPr fontId="5"/>
  </si>
  <si>
    <t>※注１</t>
    <rPh sb="1" eb="2">
      <t>チュウ</t>
    </rPh>
    <phoneticPr fontId="5"/>
  </si>
  <si>
    <t>※注２</t>
    <rPh sb="1" eb="2">
      <t>チュウ</t>
    </rPh>
    <phoneticPr fontId="5"/>
  </si>
  <si>
    <t>※注３</t>
    <rPh sb="1" eb="2">
      <t>チュウ</t>
    </rPh>
    <phoneticPr fontId="5"/>
  </si>
  <si>
    <r>
      <t>※</t>
    </r>
    <r>
      <rPr>
        <sz val="10"/>
        <rFont val="ＭＳ 明朝"/>
        <family val="1"/>
        <charset val="128"/>
      </rPr>
      <t>注２　会計簿全体で1000件、各項目は199件まで入力可能。</t>
    </r>
    <rPh sb="1" eb="2">
      <t>チュウ</t>
    </rPh>
    <rPh sb="4" eb="6">
      <t>カイケイ</t>
    </rPh>
    <rPh sb="6" eb="7">
      <t>ボ</t>
    </rPh>
    <rPh sb="7" eb="9">
      <t>ゼンタイ</t>
    </rPh>
    <rPh sb="14" eb="15">
      <t>ケン</t>
    </rPh>
    <rPh sb="16" eb="19">
      <t>カクコウモク</t>
    </rPh>
    <rPh sb="23" eb="24">
      <t>ケン</t>
    </rPh>
    <rPh sb="26" eb="28">
      <t>ニュウリョク</t>
    </rPh>
    <rPh sb="28" eb="30">
      <t>カノウ</t>
    </rPh>
    <phoneticPr fontId="5"/>
  </si>
  <si>
    <r>
      <t>※</t>
    </r>
    <r>
      <rPr>
        <sz val="10"/>
        <rFont val="ＭＳ 明朝"/>
        <family val="1"/>
        <charset val="128"/>
      </rPr>
      <t>注３　Ａ４用紙に１枚当たり50件印刷。</t>
    </r>
    <rPh sb="1" eb="2">
      <t>チュウ</t>
    </rPh>
    <rPh sb="6" eb="8">
      <t>ヨウシ</t>
    </rPh>
    <rPh sb="10" eb="11">
      <t>マイ</t>
    </rPh>
    <rPh sb="11" eb="12">
      <t>ア</t>
    </rPh>
    <rPh sb="16" eb="17">
      <t>ケン</t>
    </rPh>
    <rPh sb="17" eb="19">
      <t>インサツ</t>
    </rPh>
    <phoneticPr fontId="5"/>
  </si>
  <si>
    <t>改訂履歴</t>
    <rPh sb="0" eb="2">
      <t>カイテイ</t>
    </rPh>
    <rPh sb="2" eb="4">
      <t>リレキ</t>
    </rPh>
    <phoneticPr fontId="5"/>
  </si>
  <si>
    <t>Ver.1.01</t>
    <phoneticPr fontId="5"/>
  </si>
  <si>
    <t>◇プリンタにより印刷が１頁に収まらない場合もあるらしいので、念のため右と下の余白を減らした。</t>
    <rPh sb="8" eb="10">
      <t>インサツ</t>
    </rPh>
    <rPh sb="12" eb="13">
      <t>ページ</t>
    </rPh>
    <rPh sb="14" eb="15">
      <t>オサ</t>
    </rPh>
    <rPh sb="19" eb="21">
      <t>バアイ</t>
    </rPh>
    <rPh sb="30" eb="31">
      <t>ネン</t>
    </rPh>
    <rPh sb="34" eb="35">
      <t>ミギ</t>
    </rPh>
    <rPh sb="36" eb="37">
      <t>シタ</t>
    </rPh>
    <rPh sb="38" eb="40">
      <t>ヨハク</t>
    </rPh>
    <rPh sb="41" eb="42">
      <t>ヘ</t>
    </rPh>
    <phoneticPr fontId="5"/>
  </si>
  <si>
    <t>◇注２の下の行を追加。</t>
    <rPh sb="1" eb="2">
      <t>チュウ</t>
    </rPh>
    <rPh sb="4" eb="5">
      <t>シタ</t>
    </rPh>
    <rPh sb="6" eb="7">
      <t>ギョウ</t>
    </rPh>
    <rPh sb="8" eb="10">
      <t>ツイカ</t>
    </rPh>
    <phoneticPr fontId="5"/>
  </si>
  <si>
    <t>中間報告月日</t>
    <rPh sb="0" eb="2">
      <t>チュウカン</t>
    </rPh>
    <rPh sb="2" eb="4">
      <t>ホウコク</t>
    </rPh>
    <rPh sb="4" eb="6">
      <t>ガッピ</t>
    </rPh>
    <phoneticPr fontId="5"/>
  </si>
  <si>
    <t>決算報告月日</t>
    <rPh sb="0" eb="2">
      <t>ケッサン</t>
    </rPh>
    <rPh sb="2" eb="4">
      <t>ホウコク</t>
    </rPh>
    <rPh sb="4" eb="6">
      <t>ガッピ</t>
    </rPh>
    <phoneticPr fontId="5"/>
  </si>
  <si>
    <t>監査委員１</t>
    <rPh sb="0" eb="2">
      <t>カンサ</t>
    </rPh>
    <rPh sb="2" eb="4">
      <t>イイン</t>
    </rPh>
    <phoneticPr fontId="5"/>
  </si>
  <si>
    <t>監査委員２</t>
    <rPh sb="0" eb="2">
      <t>カンサ</t>
    </rPh>
    <rPh sb="2" eb="4">
      <t>イイン</t>
    </rPh>
    <phoneticPr fontId="5"/>
  </si>
  <si>
    <t>小数の形で</t>
    <rPh sb="0" eb="2">
      <t>ショウスウ</t>
    </rPh>
    <rPh sb="3" eb="4">
      <t>カタチ</t>
    </rPh>
    <phoneticPr fontId="5"/>
  </si>
  <si>
    <t>支 出 額</t>
    <rPh sb="0" eb="1">
      <t>ササ</t>
    </rPh>
    <rPh sb="2" eb="3">
      <t>デ</t>
    </rPh>
    <rPh sb="4" eb="5">
      <t>ガク</t>
    </rPh>
    <phoneticPr fontId="5"/>
  </si>
  <si>
    <t>収 入 額</t>
    <rPh sb="0" eb="1">
      <t>オサム</t>
    </rPh>
    <rPh sb="2" eb="3">
      <t>イリ</t>
    </rPh>
    <rPh sb="4" eb="5">
      <t>ガク</t>
    </rPh>
    <phoneticPr fontId="5"/>
  </si>
  <si>
    <t>円</t>
    <rPh sb="0" eb="1">
      <t>エン</t>
    </rPh>
    <phoneticPr fontId="5"/>
  </si>
  <si>
    <t>備　　　　　　　　　　考</t>
    <rPh sb="0" eb="1">
      <t>ソナエ</t>
    </rPh>
    <rPh sb="11" eb="12">
      <t>コウ</t>
    </rPh>
    <phoneticPr fontId="5"/>
  </si>
  <si>
    <t>　〃</t>
    <phoneticPr fontId="5"/>
  </si>
  <si>
    <t>中間・決算報告書を作成</t>
    <rPh sb="0" eb="2">
      <t>チュウカン</t>
    </rPh>
    <rPh sb="3" eb="5">
      <t>ケッサン</t>
    </rPh>
    <rPh sb="5" eb="8">
      <t>ホウコクショ</t>
    </rPh>
    <rPh sb="9" eb="11">
      <t>サクセイ</t>
    </rPh>
    <phoneticPr fontId="5"/>
  </si>
  <si>
    <t>作成手順</t>
    <rPh sb="0" eb="2">
      <t>サクセイ</t>
    </rPh>
    <rPh sb="2" eb="4">
      <t>テジュン</t>
    </rPh>
    <phoneticPr fontId="5"/>
  </si>
  <si>
    <t>特別版</t>
    <rPh sb="0" eb="3">
      <t>トクベツバン</t>
    </rPh>
    <phoneticPr fontId="5"/>
  </si>
  <si>
    <t xml:space="preserve"> 中間・決算報告書作成</t>
    <rPh sb="1" eb="3">
      <t>チュウカン</t>
    </rPh>
    <rPh sb="4" eb="6">
      <t>ケッサン</t>
    </rPh>
    <rPh sb="6" eb="9">
      <t>ホウコクショ</t>
    </rPh>
    <rPh sb="9" eb="11">
      <t>サクセイ</t>
    </rPh>
    <phoneticPr fontId="5"/>
  </si>
  <si>
    <t>　各項目間の流用を認める</t>
    <rPh sb="1" eb="4">
      <t>カクコウモク</t>
    </rPh>
    <rPh sb="4" eb="5">
      <t>カン</t>
    </rPh>
    <rPh sb="6" eb="8">
      <t>リュウヨウ</t>
    </rPh>
    <rPh sb="9" eb="10">
      <t>ミト</t>
    </rPh>
    <phoneticPr fontId="5"/>
  </si>
  <si>
    <t>次年度の予算書(案)を作成</t>
    <rPh sb="0" eb="3">
      <t>ジネンド</t>
    </rPh>
    <rPh sb="4" eb="7">
      <t>ヨサンショ</t>
    </rPh>
    <rPh sb="8" eb="9">
      <t>アン</t>
    </rPh>
    <rPh sb="11" eb="13">
      <t>サクセイ</t>
    </rPh>
    <phoneticPr fontId="5"/>
  </si>
  <si>
    <t>予 算 額</t>
    <rPh sb="0" eb="1">
      <t>ヨ</t>
    </rPh>
    <rPh sb="2" eb="3">
      <t>ザン</t>
    </rPh>
    <rPh sb="4" eb="5">
      <t>ガク</t>
    </rPh>
    <phoneticPr fontId="5"/>
  </si>
  <si>
    <t>①上の枠に必要事項を入力する。</t>
    <rPh sb="1" eb="2">
      <t>ウエ</t>
    </rPh>
    <rPh sb="3" eb="4">
      <t>ワク</t>
    </rPh>
    <rPh sb="5" eb="7">
      <t>ヒツヨウ</t>
    </rPh>
    <rPh sb="7" eb="9">
      <t>ジコウ</t>
    </rPh>
    <rPh sb="10" eb="12">
      <t>ニュウリョク</t>
    </rPh>
    <phoneticPr fontId="5"/>
  </si>
  <si>
    <t>③報告書の備考欄を入力する。</t>
    <rPh sb="1" eb="4">
      <t>ホウコクショ</t>
    </rPh>
    <rPh sb="5" eb="8">
      <t>ビコウラン</t>
    </rPh>
    <rPh sb="9" eb="11">
      <t>ニュウリョク</t>
    </rPh>
    <phoneticPr fontId="5"/>
  </si>
  <si>
    <t>④下の「印刷」をクリックする。</t>
    <rPh sb="1" eb="2">
      <t>シタ</t>
    </rPh>
    <rPh sb="4" eb="6">
      <t>インサツ</t>
    </rPh>
    <phoneticPr fontId="5"/>
  </si>
  <si>
    <t>①本年度予算額を入力する。</t>
    <rPh sb="1" eb="4">
      <t>ホンネンド</t>
    </rPh>
    <rPh sb="4" eb="7">
      <t>ヨサンガク</t>
    </rPh>
    <rPh sb="8" eb="10">
      <t>ニュウリョク</t>
    </rPh>
    <phoneticPr fontId="5"/>
  </si>
  <si>
    <t xml:space="preserve"> 予算書(案)作成</t>
    <rPh sb="1" eb="4">
      <t>ヨサンショ</t>
    </rPh>
    <rPh sb="5" eb="6">
      <t>アン</t>
    </rPh>
    <rPh sb="7" eb="9">
      <t>サクセイ</t>
    </rPh>
    <phoneticPr fontId="5"/>
  </si>
  <si>
    <t>倉田氏の要請により、ＰＴＡ会計用に報告書・予算書作成メニューを追加。</t>
    <rPh sb="0" eb="2">
      <t>クラタ</t>
    </rPh>
    <rPh sb="2" eb="3">
      <t>シ</t>
    </rPh>
    <rPh sb="4" eb="6">
      <t>ヨウセイ</t>
    </rPh>
    <rPh sb="13" eb="15">
      <t>カイケイ</t>
    </rPh>
    <rPh sb="15" eb="16">
      <t>ヨウ</t>
    </rPh>
    <rPh sb="17" eb="20">
      <t>ホウコクショ</t>
    </rPh>
    <rPh sb="21" eb="24">
      <t>ヨサンショ</t>
    </rPh>
    <rPh sb="24" eb="26">
      <t>サクセイ</t>
    </rPh>
    <rPh sb="31" eb="33">
      <t>ツイカ</t>
    </rPh>
    <phoneticPr fontId="5"/>
  </si>
  <si>
    <t>収入の部</t>
    <rPh sb="0" eb="2">
      <t>シュウニュウ</t>
    </rPh>
    <rPh sb="3" eb="4">
      <t>ブ</t>
    </rPh>
    <phoneticPr fontId="5"/>
  </si>
  <si>
    <t>支出の部</t>
    <rPh sb="0" eb="2">
      <t>シシュツ</t>
    </rPh>
    <rPh sb="3" eb="4">
      <t>ブ</t>
    </rPh>
    <phoneticPr fontId="5"/>
  </si>
  <si>
    <t>項　　　　　　目</t>
    <rPh sb="0" eb="1">
      <t>コウ</t>
    </rPh>
    <rPh sb="7" eb="8">
      <t>メ</t>
    </rPh>
    <phoneticPr fontId="5"/>
  </si>
  <si>
    <t>合　　　　　　計</t>
    <rPh sb="0" eb="1">
      <t>ゴウ</t>
    </rPh>
    <rPh sb="7" eb="8">
      <t>ケイ</t>
    </rPh>
    <phoneticPr fontId="5"/>
  </si>
  <si>
    <t>本年度予算額</t>
    <rPh sb="0" eb="3">
      <t>ホンネンド</t>
    </rPh>
    <rPh sb="3" eb="4">
      <t>ヨ</t>
    </rPh>
    <rPh sb="4" eb="5">
      <t>ザン</t>
    </rPh>
    <rPh sb="5" eb="6">
      <t>ガク</t>
    </rPh>
    <phoneticPr fontId="5"/>
  </si>
  <si>
    <t>前年度予算額</t>
    <rPh sb="0" eb="3">
      <t>ゼンネンド</t>
    </rPh>
    <rPh sb="3" eb="4">
      <t>ヨ</t>
    </rPh>
    <rPh sb="4" eb="5">
      <t>ザン</t>
    </rPh>
    <rPh sb="5" eb="6">
      <t>ガク</t>
    </rPh>
    <phoneticPr fontId="5"/>
  </si>
  <si>
    <t>貯金利息</t>
    <rPh sb="0" eb="2">
      <t>チョキン</t>
    </rPh>
    <rPh sb="2" eb="4">
      <t>リソク</t>
    </rPh>
    <phoneticPr fontId="5"/>
  </si>
  <si>
    <t>前年度より</t>
    <rPh sb="0" eb="3">
      <t>ゼンネンド</t>
    </rPh>
    <phoneticPr fontId="5"/>
  </si>
  <si>
    <t>決算</t>
  </si>
  <si>
    <t>諸謝金</t>
    <rPh sb="0" eb="3">
      <t>ショシャキン</t>
    </rPh>
    <phoneticPr fontId="5"/>
  </si>
  <si>
    <t>旅費</t>
    <rPh sb="0" eb="2">
      <t>リョヒ</t>
    </rPh>
    <phoneticPr fontId="5"/>
  </si>
  <si>
    <t>通信運搬費</t>
    <rPh sb="0" eb="5">
      <t>ツウシンウンパンヒ</t>
    </rPh>
    <phoneticPr fontId="5"/>
  </si>
  <si>
    <t>印刷製本費</t>
    <rPh sb="0" eb="5">
      <t>インサツセイホンヒ</t>
    </rPh>
    <phoneticPr fontId="5"/>
  </si>
  <si>
    <t>備品費</t>
    <rPh sb="0" eb="3">
      <t>ビヒンヒ</t>
    </rPh>
    <phoneticPr fontId="5"/>
  </si>
  <si>
    <t>消耗品費</t>
    <rPh sb="0" eb="3">
      <t>ショウモウヒン</t>
    </rPh>
    <rPh sb="3" eb="4">
      <t>ヒ</t>
    </rPh>
    <phoneticPr fontId="5"/>
  </si>
  <si>
    <t>借料及び損料</t>
    <rPh sb="0" eb="2">
      <t>シャクリョウ</t>
    </rPh>
    <rPh sb="2" eb="3">
      <t>オヨ</t>
    </rPh>
    <rPh sb="4" eb="6">
      <t>ソンリョウ</t>
    </rPh>
    <phoneticPr fontId="5"/>
  </si>
  <si>
    <t>保険料</t>
    <rPh sb="0" eb="3">
      <t>ホケンリョウ</t>
    </rPh>
    <phoneticPr fontId="5"/>
  </si>
  <si>
    <t>雑務経費</t>
    <rPh sb="0" eb="4">
      <t>ザツムケイヒ</t>
    </rPh>
    <phoneticPr fontId="5"/>
  </si>
  <si>
    <t>　 作成する報告書を選択→</t>
    <rPh sb="2" eb="4">
      <t>サクセイ</t>
    </rPh>
    <rPh sb="6" eb="9">
      <t>ホウコクショ</t>
    </rPh>
    <rPh sb="10" eb="12">
      <t>センタク</t>
    </rPh>
    <phoneticPr fontId="5"/>
  </si>
  <si>
    <t>代表者</t>
    <rPh sb="0" eb="3">
      <t>ダイヒョウシャ</t>
    </rPh>
    <phoneticPr fontId="5"/>
  </si>
  <si>
    <t>②「中間」「決算」のいずれか</t>
    <phoneticPr fontId="5"/>
  </si>
  <si>
    <t>　を選択する。</t>
    <rPh sb="2" eb="4">
      <t>センタク</t>
    </rPh>
    <phoneticPr fontId="5"/>
  </si>
  <si>
    <t>対象経費</t>
    <rPh sb="0" eb="4">
      <t>タイショウケイヒ</t>
    </rPh>
    <phoneticPr fontId="5"/>
  </si>
  <si>
    <t>対象外経費</t>
    <rPh sb="0" eb="3">
      <t>タイショウガイ</t>
    </rPh>
    <rPh sb="3" eb="5">
      <t>ケイヒ</t>
    </rPh>
    <phoneticPr fontId="5"/>
  </si>
  <si>
    <t>〇〇　〇〇</t>
    <phoneticPr fontId="5"/>
  </si>
  <si>
    <t>△△　△△</t>
    <phoneticPr fontId="5"/>
  </si>
  <si>
    <t>◇◇　◇◇</t>
    <phoneticPr fontId="5"/>
  </si>
  <si>
    <t>指導者謝礼（9月分）</t>
    <rPh sb="0" eb="3">
      <t>シドウシャ</t>
    </rPh>
    <rPh sb="3" eb="5">
      <t>シャレイ</t>
    </rPh>
    <rPh sb="7" eb="9">
      <t>ガツブン</t>
    </rPh>
    <phoneticPr fontId="5"/>
  </si>
  <si>
    <t>指導者謝礼（9月分）所得税納付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</si>
  <si>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アプリ使用料</t>
    <rPh sb="3" eb="6">
      <t>シヨウリョウ</t>
    </rPh>
    <phoneticPr fontId="5"/>
  </si>
  <si>
    <t>参加費（11月分）</t>
    <rPh sb="0" eb="3">
      <t>サンカヒ</t>
    </rPh>
    <rPh sb="6" eb="7">
      <t>ガツ</t>
    </rPh>
    <rPh sb="7" eb="8">
      <t>ブン</t>
    </rPh>
    <phoneticPr fontId="5"/>
  </si>
  <si>
    <t>市より補助金</t>
    <rPh sb="0" eb="1">
      <t>シ</t>
    </rPh>
    <rPh sb="3" eb="6">
      <t>ホジョキン</t>
    </rPh>
    <phoneticPr fontId="5"/>
  </si>
  <si>
    <t>指導者謝礼（10月分）</t>
    <rPh sb="0" eb="3">
      <t>シドウシャ</t>
    </rPh>
    <rPh sb="3" eb="5">
      <t>シャレイ</t>
    </rPh>
    <rPh sb="8" eb="10">
      <t>ガツブン</t>
    </rPh>
    <phoneticPr fontId="5"/>
  </si>
  <si>
    <t>指導者謝礼（10月分）所得税納付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</si>
  <si>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参加費（12月分）</t>
    <rPh sb="0" eb="3">
      <t>サンカヒ</t>
    </rPh>
    <rPh sb="6" eb="7">
      <t>ガツ</t>
    </rPh>
    <rPh sb="7" eb="8">
      <t>ブン</t>
    </rPh>
    <phoneticPr fontId="5"/>
  </si>
  <si>
    <t>指導者謝礼（11月分）</t>
    <rPh sb="0" eb="3">
      <t>シドウシャ</t>
    </rPh>
    <rPh sb="3" eb="5">
      <t>シャレイ</t>
    </rPh>
    <rPh sb="8" eb="10">
      <t>ガツブン</t>
    </rPh>
    <phoneticPr fontId="5"/>
  </si>
  <si>
    <t>指導者謝礼（11月分）所得税納付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</si>
  <si>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事務局スタッフ謝礼（9月分）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</si>
  <si>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事務局スタッフ謝礼（9月分）所得税納付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</si>
  <si>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スポーツ安全保険料</t>
    <rPh sb="4" eb="6">
      <t>アンゼン</t>
    </rPh>
    <rPh sb="6" eb="9">
      <t>ホケンリョウ</t>
    </rPh>
    <phoneticPr fontId="5"/>
  </si>
  <si>
    <t>参加費（1月分）</t>
    <rPh sb="0" eb="3">
      <t>サンカヒ</t>
    </rPh>
    <rPh sb="5" eb="6">
      <t>ガツ</t>
    </rPh>
    <rPh sb="6" eb="7">
      <t>ブン</t>
    </rPh>
    <phoneticPr fontId="5"/>
  </si>
  <si>
    <t>事務局スタッフ謝礼（10月分）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</si>
  <si>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事務局スタッフ謝礼（10月分）所得税納付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</si>
  <si>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事務局スタッフ謝礼（11月分）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</si>
  <si>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事務局スタッフ謝礼（11月分）所得税納付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</si>
  <si>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指導者謝礼（12月分）</t>
    <rPh sb="0" eb="3">
      <t>シドウシャ</t>
    </rPh>
    <rPh sb="3" eb="5">
      <t>シャレイ</t>
    </rPh>
    <rPh sb="8" eb="10">
      <t>ガツブン</t>
    </rPh>
    <phoneticPr fontId="5"/>
  </si>
  <si>
    <t>指導者謝礼（12月分）所得税納付</t>
    <rPh sb="0" eb="3">
      <t>シドウシャ</t>
    </rPh>
    <rPh sb="3" eb="5">
      <t>シャレイ</t>
    </rPh>
    <rPh sb="8" eb="10">
      <t>ガツブン</t>
    </rPh>
    <rPh sb="11" eb="14">
      <t>ショトクゼイ</t>
    </rPh>
    <rPh sb="14" eb="16">
      <t>ノウフ</t>
    </rPh>
    <phoneticPr fontId="5"/>
  </si>
  <si>
    <t>事務局スタッフ謝礼（12月分）</t>
    <rPh sb="0" eb="3">
      <t>ジムキョク</t>
    </rPh>
    <rPh sb="7" eb="9">
      <t>シャレイ</t>
    </rPh>
    <rPh sb="12" eb="14">
      <t>ガツブン</t>
    </rPh>
    <phoneticPr fontId="5"/>
  </si>
  <si>
    <t>事務局スタッフ謝礼（12月分）所得税納付</t>
    <rPh sb="0" eb="3">
      <t>ジムキョク</t>
    </rPh>
    <rPh sb="7" eb="9">
      <t>シャレイ</t>
    </rPh>
    <rPh sb="12" eb="14">
      <t>ガツブン</t>
    </rPh>
    <rPh sb="15" eb="18">
      <t>ショトクゼイ</t>
    </rPh>
    <rPh sb="18" eb="20">
      <t>ノウフ</t>
    </rPh>
    <phoneticPr fontId="5"/>
  </si>
  <si>
    <t>参加費（9月分）</t>
    <rPh sb="0" eb="3">
      <t>サンカヒ</t>
    </rPh>
    <rPh sb="5" eb="6">
      <t>ガツ</t>
    </rPh>
    <rPh sb="6" eb="7">
      <t>ブン</t>
    </rPh>
    <phoneticPr fontId="5"/>
  </si>
  <si>
    <t>参加費（10月分）</t>
    <rPh sb="0" eb="3">
      <t>サンカヒ</t>
    </rPh>
    <rPh sb="6" eb="7">
      <t>ガツ</t>
    </rPh>
    <rPh sb="7" eb="8">
      <t>ブン</t>
    </rPh>
    <phoneticPr fontId="5"/>
  </si>
  <si>
    <t>参加費（2月分）</t>
    <rPh sb="0" eb="3">
      <t>サンカヒ</t>
    </rPh>
    <rPh sb="5" eb="6">
      <t>ガツ</t>
    </rPh>
    <rPh sb="6" eb="7">
      <t>ブン</t>
    </rPh>
    <phoneticPr fontId="5"/>
  </si>
  <si>
    <t>指導者謝礼（1月分）</t>
    <rPh sb="0" eb="3">
      <t>シドウシャ</t>
    </rPh>
    <rPh sb="3" eb="5">
      <t>シャレイ</t>
    </rPh>
    <rPh sb="7" eb="9">
      <t>ガツブン</t>
    </rPh>
    <phoneticPr fontId="5"/>
  </si>
  <si>
    <t>指導者謝礼（1月分）所得税納付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</si>
  <si>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事務局スタッフ謝礼（1月分）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</si>
  <si>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事務局スタッフ謝礼（1月分）所得税納付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</si>
  <si>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参加費（3月分）</t>
    <rPh sb="0" eb="3">
      <t>サンカヒ</t>
    </rPh>
    <rPh sb="5" eb="6">
      <t>ガツ</t>
    </rPh>
    <rPh sb="6" eb="7">
      <t>ブン</t>
    </rPh>
    <phoneticPr fontId="5"/>
  </si>
  <si>
    <t>指導者謝礼（2月分）</t>
    <rPh sb="0" eb="3">
      <t>シドウシャ</t>
    </rPh>
    <rPh sb="3" eb="5">
      <t>シャレイ</t>
    </rPh>
    <rPh sb="7" eb="9">
      <t>ガツブン</t>
    </rPh>
    <phoneticPr fontId="5"/>
  </si>
  <si>
    <t>指導者謝礼（2月分）所得税納付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</si>
  <si>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事務局スタッフ謝礼（2月分）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</si>
  <si>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事務局スタッフ謝礼（2月分）所得税納付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</si>
  <si>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指導者謝礼（3月分）</t>
    <rPh sb="0" eb="3">
      <t>シドウシャ</t>
    </rPh>
    <rPh sb="3" eb="5">
      <t>シャレイ</t>
    </rPh>
    <rPh sb="7" eb="9">
      <t>ガツブン</t>
    </rPh>
    <phoneticPr fontId="5"/>
  </si>
  <si>
    <t>指導者謝礼（3月分）所得税納付</t>
    <rPh sb="0" eb="3">
      <t>シドウシャ</t>
    </rPh>
    <rPh sb="3" eb="5">
      <t>シャレイ</t>
    </rPh>
    <rPh sb="7" eb="9">
      <t>ガツブン</t>
    </rPh>
    <rPh sb="10" eb="13">
      <t>ショトクゼイ</t>
    </rPh>
    <rPh sb="13" eb="15">
      <t>ノウフ</t>
    </rPh>
    <phoneticPr fontId="5"/>
  </si>
  <si>
    <t>事務局スタッフ謝礼（3月分）</t>
    <rPh sb="0" eb="3">
      <t>ジムキョク</t>
    </rPh>
    <rPh sb="7" eb="9">
      <t>シャレイ</t>
    </rPh>
    <rPh sb="11" eb="13">
      <t>ガツブン</t>
    </rPh>
    <phoneticPr fontId="5"/>
  </si>
  <si>
    <t>事務局スタッフ謝礼（3月分）所得税納付</t>
    <rPh sb="0" eb="3">
      <t>ジムキョク</t>
    </rPh>
    <rPh sb="7" eb="9">
      <t>シャレイ</t>
    </rPh>
    <rPh sb="11" eb="13">
      <t>ガツブン</t>
    </rPh>
    <rPh sb="14" eb="17">
      <t>ショトクゼイ</t>
    </rPh>
    <rPh sb="17" eb="19">
      <t>ノウフ</t>
    </rPh>
    <phoneticPr fontId="5"/>
  </si>
  <si>
    <t>雑務経費</t>
  </si>
  <si>
    <t>その他の経費</t>
  </si>
  <si>
    <t>郵送料</t>
    <rPh sb="0" eb="3">
      <t>ユウソウリョウ</t>
    </rPh>
    <phoneticPr fontId="5"/>
  </si>
  <si>
    <t>参加生徒数</t>
    <rPh sb="0" eb="2">
      <t>サンカ</t>
    </rPh>
    <rPh sb="2" eb="5">
      <t>セイトスウ</t>
    </rPh>
    <phoneticPr fontId="75"/>
  </si>
  <si>
    <t>指導者数</t>
    <rPh sb="0" eb="3">
      <t>シドウシャ</t>
    </rPh>
    <rPh sb="3" eb="4">
      <t>スウ</t>
    </rPh>
    <phoneticPr fontId="75"/>
  </si>
  <si>
    <t>活動クラブ種別</t>
    <rPh sb="0" eb="2">
      <t>カツドウ</t>
    </rPh>
    <rPh sb="5" eb="7">
      <t>シュベツ</t>
    </rPh>
    <phoneticPr fontId="75"/>
  </si>
  <si>
    <t>月の活動回数</t>
    <rPh sb="0" eb="1">
      <t>ツキ</t>
    </rPh>
    <rPh sb="2" eb="4">
      <t>カツドウ</t>
    </rPh>
    <rPh sb="4" eb="6">
      <t>カイスウ</t>
    </rPh>
    <phoneticPr fontId="75"/>
  </si>
  <si>
    <t>円</t>
  </si>
  <si>
    <t>計</t>
  </si>
  <si>
    <t>旅費</t>
    <rPh sb="0" eb="2">
      <t>リョヒ</t>
    </rPh>
    <phoneticPr fontId="75"/>
  </si>
  <si>
    <t>通信運搬費</t>
    <rPh sb="0" eb="5">
      <t>ツウシンウンパンヒ</t>
    </rPh>
    <phoneticPr fontId="75"/>
  </si>
  <si>
    <t>印刷製本費</t>
    <rPh sb="0" eb="2">
      <t>インサツ</t>
    </rPh>
    <rPh sb="2" eb="4">
      <t>セイホン</t>
    </rPh>
    <rPh sb="4" eb="5">
      <t>ヒ</t>
    </rPh>
    <phoneticPr fontId="75"/>
  </si>
  <si>
    <t>会議費</t>
    <rPh sb="0" eb="3">
      <t>カイギヒ</t>
    </rPh>
    <phoneticPr fontId="75"/>
  </si>
  <si>
    <t>消耗品費</t>
  </si>
  <si>
    <t>借料及び損料</t>
    <rPh sb="0" eb="2">
      <t>シャクリョウ</t>
    </rPh>
    <rPh sb="2" eb="3">
      <t>オヨ</t>
    </rPh>
    <rPh sb="4" eb="6">
      <t>ソンリョウ</t>
    </rPh>
    <phoneticPr fontId="75"/>
  </si>
  <si>
    <t>保険料</t>
    <rPh sb="2" eb="3">
      <t>リョウ</t>
    </rPh>
    <phoneticPr fontId="75"/>
  </si>
  <si>
    <t>雑役務費</t>
    <rPh sb="0" eb="1">
      <t>ザツ</t>
    </rPh>
    <rPh sb="1" eb="4">
      <t>エキムヒ</t>
    </rPh>
    <phoneticPr fontId="75"/>
  </si>
  <si>
    <t>会費等収入計</t>
    <phoneticPr fontId="75"/>
  </si>
  <si>
    <t>補助対象経費計</t>
    <rPh sb="0" eb="2">
      <t>ホジョ</t>
    </rPh>
    <rPh sb="2" eb="6">
      <t>タイショウケイヒ</t>
    </rPh>
    <rPh sb="6" eb="7">
      <t>ケイ</t>
    </rPh>
    <phoneticPr fontId="75"/>
  </si>
  <si>
    <t>②支出ー①収入＝</t>
    <rPh sb="1" eb="3">
      <t>シシュツ</t>
    </rPh>
    <rPh sb="5" eb="7">
      <t>シュウニュウ</t>
    </rPh>
    <phoneticPr fontId="75"/>
  </si>
  <si>
    <t>補助金単価</t>
    <rPh sb="0" eb="3">
      <t>ホジョキン</t>
    </rPh>
    <rPh sb="3" eb="5">
      <t>タンカ</t>
    </rPh>
    <phoneticPr fontId="75"/>
  </si>
  <si>
    <t>補助経費上限（１/２）</t>
    <phoneticPr fontId="75"/>
  </si>
  <si>
    <t>補助金額</t>
    <rPh sb="0" eb="3">
      <t>ホジョキン</t>
    </rPh>
    <rPh sb="3" eb="4">
      <t>ガク</t>
    </rPh>
    <phoneticPr fontId="75"/>
  </si>
  <si>
    <t>スポーツ</t>
  </si>
  <si>
    <t>対象外</t>
    <rPh sb="0" eb="3">
      <t>タイショウガイ</t>
    </rPh>
    <phoneticPr fontId="75"/>
  </si>
  <si>
    <t>対象外</t>
  </si>
  <si>
    <t>休日の地域クラブ活動の活動費等の支援（補助単価）</t>
    <rPh sb="0" eb="2">
      <t>キュウジツ</t>
    </rPh>
    <rPh sb="3" eb="5">
      <t>チイキ</t>
    </rPh>
    <rPh sb="19" eb="21">
      <t>ホジョ</t>
    </rPh>
    <rPh sb="21" eb="23">
      <t>タンカ</t>
    </rPh>
    <phoneticPr fontId="80"/>
  </si>
  <si>
    <t>別　紙</t>
    <rPh sb="0" eb="1">
      <t>ベツ</t>
    </rPh>
    <rPh sb="2" eb="3">
      <t>カミ</t>
    </rPh>
    <phoneticPr fontId="80"/>
  </si>
  <si>
    <t>【補助単価（1クラブ活動当たり年額）】</t>
    <rPh sb="1" eb="5">
      <t>ホジョタンカ</t>
    </rPh>
    <rPh sb="10" eb="12">
      <t>カツドウ</t>
    </rPh>
    <rPh sb="12" eb="13">
      <t>ア</t>
    </rPh>
    <rPh sb="15" eb="17">
      <t>ネンガク</t>
    </rPh>
    <phoneticPr fontId="80"/>
  </si>
  <si>
    <t>※参加生徒数は、各月の参加生徒数の年間平均で算出する（小数点以下は切り上げ）。</t>
    <rPh sb="1" eb="6">
      <t>サンカセイトスウ</t>
    </rPh>
    <rPh sb="8" eb="10">
      <t>カクツキ</t>
    </rPh>
    <rPh sb="11" eb="16">
      <t>サンカセイトスウ</t>
    </rPh>
    <rPh sb="17" eb="21">
      <t>ネンカンヘイキン</t>
    </rPh>
    <rPh sb="22" eb="24">
      <t>サンシュツ</t>
    </rPh>
    <rPh sb="27" eb="32">
      <t>ショウスウテンイカ</t>
    </rPh>
    <rPh sb="33" eb="34">
      <t>キ</t>
    </rPh>
    <rPh sb="35" eb="36">
      <t>ア</t>
    </rPh>
    <phoneticPr fontId="80"/>
  </si>
  <si>
    <t>単位：円</t>
    <rPh sb="0" eb="2">
      <t>タンイ</t>
    </rPh>
    <rPh sb="3" eb="4">
      <t>エン</t>
    </rPh>
    <phoneticPr fontId="80"/>
  </si>
  <si>
    <t>No.</t>
    <phoneticPr fontId="80"/>
  </si>
  <si>
    <t>区分</t>
    <rPh sb="0" eb="2">
      <t>クブン</t>
    </rPh>
    <phoneticPr fontId="80"/>
  </si>
  <si>
    <t>月4回程度活動</t>
    <rPh sb="0" eb="1">
      <t>ツキ</t>
    </rPh>
    <rPh sb="2" eb="7">
      <t>カイテイドカツドウ</t>
    </rPh>
    <phoneticPr fontId="80"/>
  </si>
  <si>
    <t>クラブ数</t>
    <rPh sb="3" eb="4">
      <t>スウ</t>
    </rPh>
    <phoneticPr fontId="80"/>
  </si>
  <si>
    <t>月3回程度活動</t>
    <rPh sb="0" eb="1">
      <t>ツキ</t>
    </rPh>
    <rPh sb="2" eb="7">
      <t>カイテイドカツドウ</t>
    </rPh>
    <phoneticPr fontId="80"/>
  </si>
  <si>
    <t>月2回程度活動</t>
    <rPh sb="0" eb="1">
      <t>ツキ</t>
    </rPh>
    <rPh sb="2" eb="7">
      <t>カイテイドカツドウ</t>
    </rPh>
    <phoneticPr fontId="80"/>
  </si>
  <si>
    <t>月1回程度活動</t>
    <rPh sb="0" eb="1">
      <t>ツキ</t>
    </rPh>
    <rPh sb="2" eb="7">
      <t>カイテイドカツドウ</t>
    </rPh>
    <phoneticPr fontId="80"/>
  </si>
  <si>
    <t>参加生徒数27人以上で
指導者を3人以上配置</t>
    <rPh sb="0" eb="5">
      <t>サンカセイトスウ</t>
    </rPh>
    <rPh sb="7" eb="10">
      <t>ニンイジョウ</t>
    </rPh>
    <rPh sb="12" eb="15">
      <t>シドウシャ</t>
    </rPh>
    <rPh sb="17" eb="22">
      <t>ニンイジョウハイチ</t>
    </rPh>
    <phoneticPr fontId="80"/>
  </si>
  <si>
    <t>スポーツ</t>
    <phoneticPr fontId="80"/>
  </si>
  <si>
    <t>文化</t>
    <rPh sb="0" eb="2">
      <t>ブンカ</t>
    </rPh>
    <phoneticPr fontId="80"/>
  </si>
  <si>
    <t>参加生徒数13人～26人で
指導者を2人配置</t>
    <rPh sb="0" eb="5">
      <t>サンカセイトスウ</t>
    </rPh>
    <rPh sb="7" eb="8">
      <t>ニン</t>
    </rPh>
    <rPh sb="11" eb="12">
      <t>ニン</t>
    </rPh>
    <rPh sb="14" eb="17">
      <t>シドウシャ</t>
    </rPh>
    <rPh sb="19" eb="20">
      <t>ヒト</t>
    </rPh>
    <rPh sb="20" eb="22">
      <t>ハイチ</t>
    </rPh>
    <phoneticPr fontId="80"/>
  </si>
  <si>
    <t>参加生徒数5人～12人で
指導者を1人配置</t>
    <rPh sb="0" eb="5">
      <t>サンカセイトスウ</t>
    </rPh>
    <rPh sb="6" eb="7">
      <t>ニン</t>
    </rPh>
    <rPh sb="10" eb="11">
      <t>ニン</t>
    </rPh>
    <rPh sb="13" eb="16">
      <t>シドウシャ</t>
    </rPh>
    <rPh sb="18" eb="19">
      <t>ヒト</t>
    </rPh>
    <rPh sb="19" eb="21">
      <t>ハイチ</t>
    </rPh>
    <phoneticPr fontId="80"/>
  </si>
  <si>
    <t>＜令和9年度以降＞※12か月分</t>
    <rPh sb="1" eb="3">
      <t>レイワ</t>
    </rPh>
    <rPh sb="4" eb="6">
      <t>ネンド</t>
    </rPh>
    <rPh sb="6" eb="8">
      <t>イコウ</t>
    </rPh>
    <rPh sb="13" eb="15">
      <t>ゲツブン</t>
    </rPh>
    <phoneticPr fontId="80"/>
  </si>
  <si>
    <t>消耗品費（対象外）</t>
  </si>
  <si>
    <t>借料及び損料（対象外）</t>
  </si>
  <si>
    <t>保険料（対象外）</t>
  </si>
  <si>
    <t>雑務経費（対象外）</t>
  </si>
  <si>
    <t>コード</t>
  </si>
  <si>
    <t>見守りボランティア謝礼（9月分）</t>
    <rPh sb="0" eb="2">
      <t>ミマモ</t>
    </rPh>
    <rPh sb="9" eb="11">
      <t>シャレイ</t>
    </rPh>
    <rPh sb="13" eb="14">
      <t>ガツ</t>
    </rPh>
    <rPh sb="14" eb="15">
      <t>ブン</t>
    </rPh>
    <phoneticPr fontId="5"/>
  </si>
  <si>
    <t>見守りボランティア謝礼（9月分）所得税納付</t>
    <rPh sb="0" eb="2">
      <t>ミマモ</t>
    </rPh>
    <rPh sb="9" eb="11">
      <t>シャレイ</t>
    </rPh>
    <rPh sb="13" eb="14">
      <t>ガツ</t>
    </rPh>
    <rPh sb="14" eb="15">
      <t>ブン</t>
    </rPh>
    <rPh sb="16" eb="19">
      <t>ショトクゼイ</t>
    </rPh>
    <rPh sb="19" eb="21">
      <t>ノウフ</t>
    </rPh>
    <phoneticPr fontId="5"/>
  </si>
  <si>
    <t>見守りボランティア謝礼（10月分）</t>
    <rPh sb="0" eb="2">
      <t>ミマモ</t>
    </rPh>
    <rPh sb="9" eb="11">
      <t>シャレイ</t>
    </rPh>
    <rPh sb="14" eb="15">
      <t>ガツ</t>
    </rPh>
    <rPh sb="15" eb="16">
      <t>ブン</t>
    </rPh>
    <phoneticPr fontId="5"/>
  </si>
  <si>
    <t>見守りボランティア謝礼（10月分）所得税納付</t>
    <rPh sb="0" eb="2">
      <t>ミマモ</t>
    </rPh>
    <rPh sb="9" eb="11">
      <t>シャレイ</t>
    </rPh>
    <rPh sb="14" eb="15">
      <t>ガツ</t>
    </rPh>
    <rPh sb="15" eb="16">
      <t>ブン</t>
    </rPh>
    <rPh sb="17" eb="20">
      <t>ショトクゼイ</t>
    </rPh>
    <rPh sb="20" eb="22">
      <t>ノウフ</t>
    </rPh>
    <phoneticPr fontId="5"/>
  </si>
  <si>
    <t>見守りボランティア謝礼（11月分）</t>
    <rPh sb="0" eb="2">
      <t>ミマモ</t>
    </rPh>
    <rPh sb="9" eb="11">
      <t>シャレイ</t>
    </rPh>
    <rPh sb="14" eb="15">
      <t>ガツ</t>
    </rPh>
    <rPh sb="15" eb="16">
      <t>ブン</t>
    </rPh>
    <phoneticPr fontId="5"/>
  </si>
  <si>
    <t>見守りボランティア謝礼（11月分）所得税納付</t>
    <rPh sb="0" eb="2">
      <t>ミマモ</t>
    </rPh>
    <rPh sb="9" eb="11">
      <t>シャレイ</t>
    </rPh>
    <rPh sb="14" eb="15">
      <t>ガツ</t>
    </rPh>
    <rPh sb="15" eb="16">
      <t>ブン</t>
    </rPh>
    <rPh sb="17" eb="20">
      <t>ショトクゼイ</t>
    </rPh>
    <rPh sb="20" eb="22">
      <t>ノウフ</t>
    </rPh>
    <phoneticPr fontId="5"/>
  </si>
  <si>
    <t>見守りボランティア謝礼（12月分）</t>
    <phoneticPr fontId="5"/>
  </si>
  <si>
    <t>見守りボランティア謝礼（12月分）所得税納付</t>
    <phoneticPr fontId="5"/>
  </si>
  <si>
    <t>見守りボランティア謝礼（1月分）</t>
    <phoneticPr fontId="5"/>
  </si>
  <si>
    <t>見守りボランティア謝礼（1月分）所得税納付</t>
    <phoneticPr fontId="5"/>
  </si>
  <si>
    <t>見守りボランティア謝礼（2月分）</t>
    <phoneticPr fontId="5"/>
  </si>
  <si>
    <t>見守りボランティア謝礼（2月分）所得税納付</t>
    <phoneticPr fontId="5"/>
  </si>
  <si>
    <t>見守りボランティア謝礼（3月分）</t>
    <phoneticPr fontId="5"/>
  </si>
  <si>
    <t>見守りボランティア謝礼（3月分）所得税納付</t>
    <phoneticPr fontId="5"/>
  </si>
  <si>
    <t>対象計</t>
    <rPh sb="0" eb="2">
      <t>タイショウ</t>
    </rPh>
    <rPh sb="2" eb="3">
      <t>ケイ</t>
    </rPh>
    <phoneticPr fontId="5"/>
  </si>
  <si>
    <t>対象外計</t>
    <rPh sb="3" eb="4">
      <t>ケイ</t>
    </rPh>
    <phoneticPr fontId="5"/>
  </si>
  <si>
    <t>　　　 ↑ 目的のボタンをクリックしてください</t>
    <rPh sb="6" eb="8">
      <t>モクテキ</t>
    </rPh>
    <phoneticPr fontId="5"/>
  </si>
  <si>
    <r>
      <t>※</t>
    </r>
    <r>
      <rPr>
        <sz val="10"/>
        <rFont val="ＭＳ 明朝"/>
        <family val="1"/>
        <charset val="128"/>
      </rPr>
      <t>注１　収入は10項目、支出は50項目まで。予算額は必要なければ省略しても可。</t>
    </r>
    <rPh sb="1" eb="2">
      <t>チュウ</t>
    </rPh>
    <rPh sb="4" eb="6">
      <t>シュウニュウ</t>
    </rPh>
    <rPh sb="9" eb="11">
      <t>コウモク</t>
    </rPh>
    <rPh sb="12" eb="14">
      <t>シシュツ</t>
    </rPh>
    <rPh sb="17" eb="19">
      <t>コウモク</t>
    </rPh>
    <rPh sb="22" eb="25">
      <t>ヨサンガク</t>
    </rPh>
    <rPh sb="26" eb="28">
      <t>ヒツヨウ</t>
    </rPh>
    <rPh sb="32" eb="34">
      <t>ショウリャク</t>
    </rPh>
    <rPh sb="37" eb="38">
      <t>カ</t>
    </rPh>
    <phoneticPr fontId="5"/>
  </si>
  <si>
    <r>
      <t>　　　　</t>
    </r>
    <r>
      <rPr>
        <b/>
        <sz val="10"/>
        <color indexed="18"/>
        <rFont val="ＭＳ 明朝"/>
        <family val="1"/>
        <charset val="128"/>
      </rPr>
      <t>収入の項目に支出金額、支出の項目に収入金額を入れないでください。</t>
    </r>
    <rPh sb="4" eb="6">
      <t>シュウニュウ</t>
    </rPh>
    <rPh sb="7" eb="9">
      <t>コウモク</t>
    </rPh>
    <rPh sb="10" eb="12">
      <t>シシュツ</t>
    </rPh>
    <rPh sb="12" eb="14">
      <t>キンガク</t>
    </rPh>
    <rPh sb="15" eb="17">
      <t>シシュツ</t>
    </rPh>
    <rPh sb="18" eb="20">
      <t>コウモク</t>
    </rPh>
    <rPh sb="21" eb="23">
      <t>シュウニュウ</t>
    </rPh>
    <rPh sb="23" eb="25">
      <t>キンガク</t>
    </rPh>
    <rPh sb="26" eb="27">
      <t>イ</t>
    </rPh>
    <phoneticPr fontId="5"/>
  </si>
  <si>
    <r>
      <t>※</t>
    </r>
    <r>
      <rPr>
        <sz val="10"/>
        <rFont val="ＭＳ 明朝"/>
        <family val="1"/>
        <charset val="128"/>
      </rPr>
      <t>注４　自動保存ではありませんので、各自保存を。ファイル名は自由に変更してください。</t>
    </r>
    <rPh sb="1" eb="2">
      <t>チュウ</t>
    </rPh>
    <rPh sb="4" eb="6">
      <t>ジドウ</t>
    </rPh>
    <rPh sb="6" eb="8">
      <t>ホゾン</t>
    </rPh>
    <rPh sb="18" eb="20">
      <t>カクジ</t>
    </rPh>
    <rPh sb="20" eb="22">
      <t>ホゾン</t>
    </rPh>
    <rPh sb="28" eb="29">
      <t>ナ</t>
    </rPh>
    <rPh sb="30" eb="32">
      <t>ジユウ</t>
    </rPh>
    <rPh sb="33" eb="35">
      <t>ヘンコウ</t>
    </rPh>
    <phoneticPr fontId="5"/>
  </si>
  <si>
    <r>
      <t>※</t>
    </r>
    <r>
      <rPr>
        <sz val="10"/>
        <rFont val="ＭＳ 明朝"/>
        <family val="1"/>
        <charset val="128"/>
      </rPr>
      <t>注５　会計報告書の様式は必要であれば変更してください。</t>
    </r>
    <rPh sb="1" eb="2">
      <t>チュウ</t>
    </rPh>
    <rPh sb="4" eb="6">
      <t>カイケイ</t>
    </rPh>
    <rPh sb="6" eb="9">
      <t>ホウコクショ</t>
    </rPh>
    <rPh sb="10" eb="12">
      <t>ヨウシキ</t>
    </rPh>
    <rPh sb="13" eb="15">
      <t>ヒツヨウ</t>
    </rPh>
    <rPh sb="19" eb="21">
      <t>ヘンコウ</t>
    </rPh>
    <phoneticPr fontId="5"/>
  </si>
  <si>
    <r>
      <t>※</t>
    </r>
    <r>
      <rPr>
        <sz val="10"/>
        <rFont val="ＭＳ 明朝"/>
        <family val="1"/>
        <charset val="128"/>
      </rPr>
      <t>注６　本ファイルは</t>
    </r>
    <r>
      <rPr>
        <sz val="10"/>
        <rFont val="ＭＳ Ｐ明朝"/>
        <family val="1"/>
        <charset val="128"/>
      </rPr>
      <t>Excel 2000</t>
    </r>
    <r>
      <rPr>
        <sz val="10"/>
        <rFont val="ＭＳ 明朝"/>
        <family val="1"/>
        <charset val="128"/>
      </rPr>
      <t>で作成しています。他のバージョンでの動作確認はしておりません。</t>
    </r>
    <rPh sb="1" eb="2">
      <t>チュウ</t>
    </rPh>
    <rPh sb="4" eb="5">
      <t>ホン</t>
    </rPh>
    <rPh sb="21" eb="23">
      <t>サクセイ</t>
    </rPh>
    <rPh sb="29" eb="30">
      <t>タ</t>
    </rPh>
    <rPh sb="38" eb="40">
      <t>ドウサ</t>
    </rPh>
    <rPh sb="40" eb="42">
      <t>カクニン</t>
    </rPh>
    <phoneticPr fontId="5"/>
  </si>
  <si>
    <t>補助金</t>
  </si>
  <si>
    <t>保険料（対象外）</t>
    <rPh sb="0" eb="3">
      <t>ホケンリョウ</t>
    </rPh>
    <rPh sb="4" eb="7">
      <t>タイショウガイ</t>
    </rPh>
    <phoneticPr fontId="5"/>
  </si>
  <si>
    <t>雑収入（対象外）</t>
    <rPh sb="4" eb="7">
      <t>タイショウガイ</t>
    </rPh>
    <phoneticPr fontId="5"/>
  </si>
  <si>
    <t>諸謝金（対象外）</t>
  </si>
  <si>
    <t>旅費（対象外）</t>
  </si>
  <si>
    <t>通信運搬費（対象外）</t>
  </si>
  <si>
    <t>印刷製本費（対象外）</t>
  </si>
  <si>
    <t>備品費（対象外）</t>
  </si>
  <si>
    <t>諸謝金</t>
  </si>
  <si>
    <t>旅費</t>
  </si>
  <si>
    <t>通信運搬費</t>
  </si>
  <si>
    <t>印刷製本費</t>
  </si>
  <si>
    <t>備品費</t>
  </si>
  <si>
    <t>保険料</t>
  </si>
  <si>
    <t>バレーボール</t>
    <phoneticPr fontId="5"/>
  </si>
  <si>
    <t>事務用品</t>
    <rPh sb="0" eb="4">
      <t>ジムヨウヒン</t>
    </rPh>
    <phoneticPr fontId="5"/>
  </si>
  <si>
    <t>借料及び損料</t>
    <rPh sb="0" eb="2">
      <t>シャクリョウ</t>
    </rPh>
    <rPh sb="2" eb="3">
      <t>オヨ</t>
    </rPh>
    <rPh sb="4" eb="6">
      <t>ソンリョウ</t>
    </rPh>
    <phoneticPr fontId="5"/>
  </si>
  <si>
    <r>
      <t xml:space="preserve"> 　　　　　　　　　　　　</t>
    </r>
    <r>
      <rPr>
        <b/>
        <sz val="10"/>
        <color indexed="12"/>
        <rFont val="ＭＳ 明朝"/>
        <family val="1"/>
        <charset val="128"/>
      </rPr>
      <t>を一気に消去</t>
    </r>
    <rPh sb="14" eb="16">
      <t>イッキ</t>
    </rPh>
    <rPh sb="17" eb="19">
      <t>ショウキョ</t>
    </rPh>
    <phoneticPr fontId="5"/>
  </si>
  <si>
    <t>貸切バス代</t>
    <rPh sb="0" eb="2">
      <t>カシキリ</t>
    </rPh>
    <rPh sb="4" eb="5">
      <t>ダイ</t>
    </rPh>
    <phoneticPr fontId="5"/>
  </si>
  <si>
    <t>利息</t>
    <rPh sb="0" eb="2">
      <t>リソク</t>
    </rPh>
    <phoneticPr fontId="5"/>
  </si>
  <si>
    <t>大会交通費</t>
    <rPh sb="0" eb="2">
      <t>タイカイ</t>
    </rPh>
    <rPh sb="2" eb="5">
      <t>コウツウヒ</t>
    </rPh>
    <phoneticPr fontId="5"/>
  </si>
  <si>
    <t>切手代</t>
    <rPh sb="0" eb="3">
      <t>キッテダイ</t>
    </rPh>
    <phoneticPr fontId="5"/>
  </si>
  <si>
    <t>クラブ募集チラシ</t>
    <rPh sb="3" eb="5">
      <t>ボシュウ</t>
    </rPh>
    <phoneticPr fontId="5"/>
  </si>
  <si>
    <t>第１１号様式（第１２条関係）</t>
    <phoneticPr fontId="80"/>
  </si>
  <si>
    <t>収支決算書</t>
    <rPh sb="2" eb="4">
      <t>ケッサン</t>
    </rPh>
    <phoneticPr fontId="80"/>
  </si>
  <si>
    <t>【支出】</t>
    <phoneticPr fontId="80"/>
  </si>
  <si>
    <t>(単位：円）</t>
    <phoneticPr fontId="80"/>
  </si>
  <si>
    <t>区分(勘定科目)</t>
  </si>
  <si>
    <t>決算額</t>
    <rPh sb="0" eb="2">
      <t>ケッサン</t>
    </rPh>
    <phoneticPr fontId="80"/>
  </si>
  <si>
    <t>積算根拠・内訳</t>
  </si>
  <si>
    <t>謝金</t>
    <rPh sb="0" eb="2">
      <t>シャキン</t>
    </rPh>
    <phoneticPr fontId="80"/>
  </si>
  <si>
    <t>指導者大会交通費</t>
    <rPh sb="0" eb="3">
      <t>シドウシャ</t>
    </rPh>
    <rPh sb="3" eb="5">
      <t>タイカイ</t>
    </rPh>
    <rPh sb="5" eb="8">
      <t>コウツウヒ</t>
    </rPh>
    <phoneticPr fontId="80"/>
  </si>
  <si>
    <t>切手代等</t>
    <rPh sb="0" eb="2">
      <t>キッテ</t>
    </rPh>
    <rPh sb="2" eb="3">
      <t>ダイ</t>
    </rPh>
    <rPh sb="3" eb="4">
      <t>トウ</t>
    </rPh>
    <phoneticPr fontId="80"/>
  </si>
  <si>
    <t>チラシ印刷代</t>
    <rPh sb="3" eb="5">
      <t>インサツ</t>
    </rPh>
    <rPh sb="5" eb="6">
      <t>ダイ</t>
    </rPh>
    <phoneticPr fontId="80"/>
  </si>
  <si>
    <t>クラブ用具、事務用品</t>
    <rPh sb="3" eb="5">
      <t>ヨウグ</t>
    </rPh>
    <rPh sb="6" eb="10">
      <t>ジムヨウヒン</t>
    </rPh>
    <phoneticPr fontId="80"/>
  </si>
  <si>
    <t>会場使用料、貸切バス代</t>
    <rPh sb="0" eb="2">
      <t>カイジョウ</t>
    </rPh>
    <rPh sb="2" eb="5">
      <t>シヨウリョウ</t>
    </rPh>
    <rPh sb="6" eb="8">
      <t>カシキリ</t>
    </rPh>
    <rPh sb="10" eb="11">
      <t>ダイ</t>
    </rPh>
    <phoneticPr fontId="80"/>
  </si>
  <si>
    <t>スポーツ安全保険800円/年×22人</t>
    <rPh sb="4" eb="6">
      <t>アンゼン</t>
    </rPh>
    <rPh sb="6" eb="8">
      <t>ホケン</t>
    </rPh>
    <rPh sb="11" eb="12">
      <t>エン</t>
    </rPh>
    <rPh sb="13" eb="14">
      <t>ネン</t>
    </rPh>
    <rPh sb="17" eb="18">
      <t>ニン</t>
    </rPh>
    <phoneticPr fontId="80"/>
  </si>
  <si>
    <t>アプリ使用料、手数料等</t>
    <rPh sb="3" eb="6">
      <t>シヨウリョウ</t>
    </rPh>
    <rPh sb="7" eb="10">
      <t>テスウリョウ</t>
    </rPh>
    <rPh sb="10" eb="11">
      <t>トウ</t>
    </rPh>
    <phoneticPr fontId="80"/>
  </si>
  <si>
    <t>旅費（対象外経費）</t>
    <rPh sb="0" eb="2">
      <t>リョヒ</t>
    </rPh>
    <rPh sb="3" eb="8">
      <t>タイショウガイケイヒ</t>
    </rPh>
    <phoneticPr fontId="75"/>
  </si>
  <si>
    <t>通信運搬費（対象外経費）</t>
    <rPh sb="0" eb="5">
      <t>ツウシンウンパンヒ</t>
    </rPh>
    <rPh sb="6" eb="11">
      <t>タイショウガイケイヒ</t>
    </rPh>
    <phoneticPr fontId="75"/>
  </si>
  <si>
    <t>印刷製本費（対象外経費）</t>
    <rPh sb="0" eb="2">
      <t>インサツ</t>
    </rPh>
    <rPh sb="2" eb="4">
      <t>セイホン</t>
    </rPh>
    <rPh sb="4" eb="5">
      <t>ヒ</t>
    </rPh>
    <phoneticPr fontId="75"/>
  </si>
  <si>
    <t>会議費（対象外経費）</t>
    <rPh sb="0" eb="3">
      <t>カイギヒ</t>
    </rPh>
    <phoneticPr fontId="75"/>
  </si>
  <si>
    <t>備品費（対象外経費）</t>
    <phoneticPr fontId="80"/>
  </si>
  <si>
    <t>消耗品費（対象外経費）</t>
    <phoneticPr fontId="80"/>
  </si>
  <si>
    <t>３月購入消耗品</t>
  </si>
  <si>
    <t>借料及び損料（対象外経費）</t>
    <rPh sb="0" eb="2">
      <t>シャクリョウ</t>
    </rPh>
    <rPh sb="2" eb="3">
      <t>オヨ</t>
    </rPh>
    <rPh sb="4" eb="6">
      <t>ソンリョウ</t>
    </rPh>
    <phoneticPr fontId="75"/>
  </si>
  <si>
    <t>保険料（対象外経費）</t>
    <rPh sb="2" eb="3">
      <t>リョウ</t>
    </rPh>
    <phoneticPr fontId="75"/>
  </si>
  <si>
    <t>スポーツ安全保険800円/年×22人</t>
  </si>
  <si>
    <t>雑役務費（対象外経費）</t>
    <rPh sb="0" eb="1">
      <t>ザツ</t>
    </rPh>
    <rPh sb="1" eb="4">
      <t>エキムヒ</t>
    </rPh>
    <phoneticPr fontId="75"/>
  </si>
  <si>
    <t>（うち補助対象経費）</t>
  </si>
  <si>
    <t>【収入】</t>
    <rPh sb="1" eb="3">
      <t>シュウニュウ</t>
    </rPh>
    <phoneticPr fontId="80"/>
  </si>
  <si>
    <t>生徒参加費（算定対象）</t>
    <rPh sb="0" eb="2">
      <t>セイト</t>
    </rPh>
    <rPh sb="2" eb="5">
      <t>サンカヒ</t>
    </rPh>
    <rPh sb="6" eb="8">
      <t>サンテイ</t>
    </rPh>
    <rPh sb="8" eb="10">
      <t>タイショウ</t>
    </rPh>
    <phoneticPr fontId="80"/>
  </si>
  <si>
    <t>円/月×</t>
  </si>
  <si>
    <t>月×</t>
  </si>
  <si>
    <t>人</t>
    <rPh sb="0" eb="1">
      <t>ニン</t>
    </rPh>
    <phoneticPr fontId="80"/>
  </si>
  <si>
    <t>保険料（算定対象）</t>
    <rPh sb="0" eb="2">
      <t>ホケン</t>
    </rPh>
    <rPh sb="2" eb="3">
      <t>リョウ</t>
    </rPh>
    <rPh sb="4" eb="6">
      <t>サンテイ</t>
    </rPh>
    <rPh sb="6" eb="8">
      <t>タイショウ</t>
    </rPh>
    <phoneticPr fontId="80"/>
  </si>
  <si>
    <t>円/年×</t>
    <rPh sb="2" eb="3">
      <t>ネン</t>
    </rPh>
    <phoneticPr fontId="80"/>
  </si>
  <si>
    <t>人（生徒＋指導者）</t>
    <rPh sb="0" eb="1">
      <t>ニン</t>
    </rPh>
    <rPh sb="2" eb="4">
      <t>セイト</t>
    </rPh>
    <rPh sb="5" eb="8">
      <t>シドウシャ</t>
    </rPh>
    <phoneticPr fontId="80"/>
  </si>
  <si>
    <t>雑収入（算定対象）</t>
    <rPh sb="0" eb="3">
      <t>ザツシュウニュウ</t>
    </rPh>
    <phoneticPr fontId="80"/>
  </si>
  <si>
    <t>利息等</t>
    <rPh sb="0" eb="2">
      <t>リソク</t>
    </rPh>
    <rPh sb="2" eb="3">
      <t>トウ</t>
    </rPh>
    <phoneticPr fontId="80"/>
  </si>
  <si>
    <t>生徒参加費（算定対象外）</t>
    <rPh sb="0" eb="2">
      <t>セイト</t>
    </rPh>
    <rPh sb="2" eb="5">
      <t>サンカヒ</t>
    </rPh>
    <rPh sb="6" eb="8">
      <t>サンテイ</t>
    </rPh>
    <rPh sb="8" eb="10">
      <t>タイショウ</t>
    </rPh>
    <rPh sb="10" eb="11">
      <t>ガイ</t>
    </rPh>
    <phoneticPr fontId="80"/>
  </si>
  <si>
    <t>前年度繰越（算定対象外）</t>
    <rPh sb="0" eb="3">
      <t>ゼンネンド</t>
    </rPh>
    <rPh sb="3" eb="5">
      <t>クリコシ</t>
    </rPh>
    <rPh sb="6" eb="8">
      <t>サンテイ</t>
    </rPh>
    <rPh sb="8" eb="11">
      <t>タイショウガイ</t>
    </rPh>
    <phoneticPr fontId="80"/>
  </si>
  <si>
    <t>雑収入（算定対象外）</t>
    <rPh sb="0" eb="3">
      <t>ザツシュウニュウ</t>
    </rPh>
    <rPh sb="4" eb="6">
      <t>サンテイ</t>
    </rPh>
    <rPh sb="6" eb="9">
      <t>タイショウガイ</t>
    </rPh>
    <phoneticPr fontId="80"/>
  </si>
  <si>
    <t>寄付金等</t>
    <rPh sb="0" eb="3">
      <t>キフキン</t>
    </rPh>
    <rPh sb="3" eb="4">
      <t>トウ</t>
    </rPh>
    <phoneticPr fontId="80"/>
  </si>
  <si>
    <t>※【支出】は補助対象経費とそれ以外を区分けして記載し、補助対象外経費の区分及び金額は</t>
  </si>
  <si>
    <t>　　　　で囲むこと</t>
    <phoneticPr fontId="80"/>
  </si>
  <si>
    <t>収入</t>
    <rPh sb="0" eb="2">
      <t>シュウニュウ</t>
    </rPh>
    <phoneticPr fontId="80"/>
  </si>
  <si>
    <t>※支出の区分は、別表１の区分から記入すること</t>
  </si>
  <si>
    <t>補助金</t>
    <rPh sb="0" eb="3">
      <t>ホジョキン</t>
    </rPh>
    <phoneticPr fontId="80"/>
  </si>
  <si>
    <t>総収入</t>
    <rPh sb="0" eb="3">
      <t>ソウシュウニュウ</t>
    </rPh>
    <phoneticPr fontId="80"/>
  </si>
  <si>
    <t>　　　補助対象経費　　　　　　　　　　　　参加費等収入　　　　　　　　　補助金算定額</t>
    <rPh sb="21" eb="23">
      <t>サンカ</t>
    </rPh>
    <rPh sb="23" eb="24">
      <t>ヒ</t>
    </rPh>
    <rPh sb="24" eb="25">
      <t>トウ</t>
    </rPh>
    <rPh sb="36" eb="39">
      <t>ホジョキン</t>
    </rPh>
    <rPh sb="39" eb="42">
      <t>サンテイガク</t>
    </rPh>
    <phoneticPr fontId="80"/>
  </si>
  <si>
    <t>総支出</t>
    <rPh sb="0" eb="1">
      <t>ソウ</t>
    </rPh>
    <rPh sb="1" eb="3">
      <t>シシュツ</t>
    </rPh>
    <phoneticPr fontId="80"/>
  </si>
  <si>
    <t>－</t>
  </si>
  <si>
    <t>＝</t>
  </si>
  <si>
    <t>差引額</t>
    <rPh sb="0" eb="3">
      <t>サシヒキガク</t>
    </rPh>
    <phoneticPr fontId="80"/>
  </si>
  <si>
    <t>　　　　　　　　　　　　　　　　　　↑
ここが「0」以外の場合、収支が合っていないため、「0」となるように計画を見直してください。</t>
    <phoneticPr fontId="80"/>
  </si>
  <si>
    <t>その他の経費（対象外）</t>
    <rPh sb="2" eb="3">
      <t>タ</t>
    </rPh>
    <rPh sb="4" eb="6">
      <t>ケイヒ</t>
    </rPh>
    <rPh sb="7" eb="10">
      <t>タイショウガイ</t>
    </rPh>
    <phoneticPr fontId="5"/>
  </si>
  <si>
    <t>その他の経費</t>
    <phoneticPr fontId="5"/>
  </si>
  <si>
    <t>その他の経費（対象外経費）</t>
    <rPh sb="2" eb="3">
      <t>タ</t>
    </rPh>
    <rPh sb="4" eb="6">
      <t>ケイヒ</t>
    </rPh>
    <phoneticPr fontId="75"/>
  </si>
  <si>
    <t>円</t>
    <rPh sb="0" eb="1">
      <t>エン</t>
    </rPh>
    <phoneticPr fontId="80"/>
  </si>
  <si>
    <t>指導者等報酬</t>
    <rPh sb="0" eb="3">
      <t>シドウシャ</t>
    </rPh>
    <rPh sb="3" eb="4">
      <t>トウ</t>
    </rPh>
    <rPh sb="4" eb="6">
      <t>ホウシュウ</t>
    </rPh>
    <phoneticPr fontId="80"/>
  </si>
  <si>
    <t>会費</t>
    <rPh sb="0" eb="2">
      <t>カイヒ</t>
    </rPh>
    <phoneticPr fontId="5"/>
  </si>
  <si>
    <t>雑収入</t>
    <phoneticPr fontId="5"/>
  </si>
  <si>
    <t>会費（対象外）</t>
    <phoneticPr fontId="5"/>
  </si>
  <si>
    <t>繰越金（対象外）</t>
    <phoneticPr fontId="5"/>
  </si>
  <si>
    <t>〇〇中はまクル認定クラブ</t>
    <rPh sb="2" eb="3">
      <t>チュウ</t>
    </rPh>
    <rPh sb="7" eb="9">
      <t>ニンテイ</t>
    </rPh>
    <phoneticPr fontId="5"/>
  </si>
  <si>
    <t>②備考欄を入力する。</t>
    <rPh sb="1" eb="4">
      <t>ビコウラン</t>
    </rPh>
    <rPh sb="5" eb="7">
      <t>ニュウリョク</t>
    </rPh>
    <phoneticPr fontId="5"/>
  </si>
  <si>
    <t>③下の「印刷」をクリックする。</t>
    <rPh sb="1" eb="2">
      <t>シタ</t>
    </rPh>
    <rPh sb="4" eb="6">
      <t>インサツ</t>
    </rPh>
    <phoneticPr fontId="5"/>
  </si>
  <si>
    <t>○収入は№１～8、支出は№11～29を使用</t>
    <rPh sb="1" eb="3">
      <t>シュウニュウ</t>
    </rPh>
    <rPh sb="9" eb="11">
      <t>シシュツ</t>
    </rPh>
    <rPh sb="19" eb="21">
      <t>シヨウ</t>
    </rPh>
    <phoneticPr fontId="5"/>
  </si>
  <si>
    <t>○使用しない№の項目名は、何も入力しない。</t>
    <rPh sb="1" eb="3">
      <t>シヨウ</t>
    </rPh>
    <rPh sb="8" eb="10">
      <t>コウモク</t>
    </rPh>
    <rPh sb="10" eb="11">
      <t>ナ</t>
    </rPh>
    <rPh sb="13" eb="14">
      <t>ナニ</t>
    </rPh>
    <rPh sb="15" eb="17">
      <t>ニュウリョク</t>
    </rPh>
    <phoneticPr fontId="5"/>
  </si>
  <si>
    <t>　　(スペースでも駄目です)</t>
    <rPh sb="9" eb="11">
      <t>ダメ</t>
    </rPh>
    <phoneticPr fontId="5"/>
  </si>
  <si>
    <t>はまクル認定クラブ会計　メニュー</t>
    <rPh sb="4" eb="6">
      <t>ニンテイ</t>
    </rPh>
    <rPh sb="9" eb="11">
      <t>カイケイ</t>
    </rPh>
    <phoneticPr fontId="5"/>
  </si>
  <si>
    <r>
      <t xml:space="preserve">№
</t>
    </r>
    <r>
      <rPr>
        <sz val="6"/>
        <rFont val="ＭＳ 明朝"/>
        <family val="1"/>
        <charset val="128"/>
      </rPr>
      <t>（コード）</t>
    </r>
    <phoneticPr fontId="5"/>
  </si>
  <si>
    <r>
      <t>　 月日で並び替え　　　　</t>
    </r>
    <r>
      <rPr>
        <b/>
        <sz val="10"/>
        <color indexed="12"/>
        <rFont val="ＭＳ 明朝"/>
        <family val="1"/>
        <charset val="128"/>
      </rPr>
      <t xml:space="preserve">入力済データ　　　　 </t>
    </r>
    <r>
      <rPr>
        <b/>
        <sz val="10"/>
        <color indexed="57"/>
        <rFont val="ＭＳ 明朝"/>
        <family val="1"/>
        <charset val="128"/>
      </rPr>
      <t>会計簿を印刷</t>
    </r>
    <r>
      <rPr>
        <b/>
        <sz val="10"/>
        <color indexed="12"/>
        <rFont val="ＭＳ 明朝"/>
        <family val="1"/>
        <charset val="128"/>
      </rPr>
      <t>　　　　</t>
    </r>
    <r>
      <rPr>
        <b/>
        <sz val="10"/>
        <color indexed="53"/>
        <rFont val="ＭＳ 明朝"/>
        <family val="1"/>
        <charset val="128"/>
      </rPr>
      <t>メニューに戻る</t>
    </r>
    <rPh sb="2" eb="4">
      <t>ツキヒ</t>
    </rPh>
    <rPh sb="5" eb="6">
      <t>ナラ</t>
    </rPh>
    <rPh sb="7" eb="8">
      <t>カ</t>
    </rPh>
    <rPh sb="13" eb="15">
      <t>ニュウリョク</t>
    </rPh>
    <rPh sb="15" eb="16">
      <t>ズミ</t>
    </rPh>
    <rPh sb="24" eb="26">
      <t>カイケイ</t>
    </rPh>
    <rPh sb="26" eb="27">
      <t>ボ</t>
    </rPh>
    <rPh sb="28" eb="30">
      <t>インサツ</t>
    </rPh>
    <rPh sb="39" eb="40">
      <t>モド</t>
    </rPh>
    <phoneticPr fontId="5"/>
  </si>
  <si>
    <t>文化</t>
  </si>
  <si>
    <t>＜令和8年度＞※9月以降の6か月分とした補助単価</t>
    <rPh sb="1" eb="3">
      <t>レイワ</t>
    </rPh>
    <rPh sb="4" eb="6">
      <t>ネンド</t>
    </rPh>
    <rPh sb="9" eb="12">
      <t>ガツイコウ</t>
    </rPh>
    <rPh sb="15" eb="17">
      <t>ゲツブン</t>
    </rPh>
    <rPh sb="20" eb="24">
      <t>ホジョタンカ</t>
    </rPh>
    <phoneticPr fontId="80"/>
  </si>
  <si>
    <r>
      <t>　</t>
    </r>
    <r>
      <rPr>
        <b/>
        <sz val="11"/>
        <color indexed="20"/>
        <rFont val="ＭＳ Ｐ明朝"/>
        <family val="1"/>
        <charset val="128"/>
      </rPr>
      <t>途中に空白を作らないよう願います。</t>
    </r>
    <rPh sb="1" eb="3">
      <t>トチュウ</t>
    </rPh>
    <rPh sb="4" eb="6">
      <t>クウハク</t>
    </rPh>
    <rPh sb="7" eb="8">
      <t>ツク</t>
    </rPh>
    <rPh sb="13" eb="14">
      <t>ネガ</t>
    </rPh>
    <phoneticPr fontId="5"/>
  </si>
  <si>
    <t>Ver.2.0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</si>
</sst>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;&quot;△ &quot;#,##0"/>
    <numFmt numFmtId="177" formatCode="#,##0_ "/>
    <numFmt numFmtId="178" formatCode="0.00_ "/>
    <numFmt numFmtId="179" formatCode="0.00_);[Red]\(0.00\)"/>
    <numFmt numFmtId="180" formatCode="#,##0_);[Red]\(#,##0\)"/>
    <numFmt numFmtId="181" formatCode="0;[Red]0"/>
    <numFmt numFmtId="182" formatCode="##\ &quot;回×&quot;"/>
    <numFmt numFmtId="183" formatCode="##\ &quot;月&quot;"/>
    <numFmt numFmtId="184" formatCode="&quot;×&quot;##\ &quot;人&quot;"/>
    <numFmt numFmtId="185" formatCode="##\ &quot;人×&quot;"/>
  </numFmts>
  <fonts count="97">
    <font>
      <sz val="10"/>
      <name val="ＭＳ 明朝"/>
      <family val="1"/>
      <charset val="128"/>
    </font>
    <font>
      <sz val="11"/>
      <color theme="1"/>
      <name val="ＭＳ 明朝"/>
      <family val="2"/>
      <charset val="128"/>
    </font>
    <font>
      <sz val="11"/>
      <color theme="1"/>
      <name val="ＭＳ 明朝"/>
      <family val="2"/>
      <charset val="128"/>
    </font>
    <font>
      <sz val="12"/>
      <name val="ＭＳ 明朝"/>
      <family val="1"/>
      <charset val="128"/>
    </font>
    <font>
      <sz val="12"/>
      <name val="ＭＳ 明朝"/>
      <family val="1"/>
      <charset val="128"/>
    </font>
    <font>
      <sz val="6"/>
      <name val="ＭＳ 明朝"/>
      <family val="1"/>
      <charset val="128"/>
    </font>
    <font>
      <b/>
      <sz val="12"/>
      <name val="ＭＳ 明朝"/>
      <family val="1"/>
      <charset val="128"/>
    </font>
    <font>
      <sz val="14"/>
      <name val="ＭＳ 明朝"/>
      <family val="1"/>
      <charset val="128"/>
    </font>
    <font>
      <b/>
      <sz val="11"/>
      <color indexed="10"/>
      <name val="ＭＳ ゴシック"/>
      <family val="3"/>
      <charset val="128"/>
    </font>
    <font>
      <b/>
      <sz val="11"/>
      <color indexed="17"/>
      <name val="ＭＳ ゴシック"/>
      <family val="3"/>
      <charset val="128"/>
    </font>
    <font>
      <b/>
      <sz val="14"/>
      <name val="ＭＳ 明朝"/>
      <family val="1"/>
      <charset val="128"/>
    </font>
    <font>
      <sz val="8"/>
      <name val="ＭＳ 明朝"/>
      <family val="1"/>
      <charset val="128"/>
    </font>
    <font>
      <sz val="10"/>
      <name val="ＭＳ 明朝"/>
      <family val="1"/>
      <charset val="128"/>
    </font>
    <font>
      <sz val="10"/>
      <color indexed="9"/>
      <name val="ＭＳ 明朝"/>
      <family val="1"/>
      <charset val="128"/>
    </font>
    <font>
      <sz val="10"/>
      <name val="ＭＳ 明朝"/>
      <family val="1"/>
      <charset val="128"/>
    </font>
    <font>
      <b/>
      <sz val="10"/>
      <name val="ＭＳ 明朝"/>
      <family val="1"/>
      <charset val="128"/>
    </font>
    <font>
      <b/>
      <sz val="11"/>
      <color indexed="62"/>
      <name val="ＭＳ 明朝"/>
      <family val="1"/>
      <charset val="128"/>
    </font>
    <font>
      <b/>
      <sz val="12"/>
      <color indexed="48"/>
      <name val="ＭＳ 明朝"/>
      <family val="1"/>
      <charset val="128"/>
    </font>
    <font>
      <sz val="10"/>
      <color indexed="10"/>
      <name val="ＭＳ 明朝"/>
      <family val="1"/>
      <charset val="128"/>
    </font>
    <font>
      <b/>
      <sz val="26"/>
      <color indexed="13"/>
      <name val="ＭＳ ゴシック"/>
      <family val="3"/>
      <charset val="128"/>
    </font>
    <font>
      <b/>
      <sz val="9"/>
      <color indexed="10"/>
      <name val="ＭＳ 明朝"/>
      <family val="1"/>
      <charset val="128"/>
    </font>
    <font>
      <b/>
      <sz val="18"/>
      <color indexed="12"/>
      <name val="ＭＳ ゴシック"/>
      <family val="3"/>
      <charset val="128"/>
    </font>
    <font>
      <b/>
      <sz val="11"/>
      <color indexed="20"/>
      <name val="ＭＳ 明朝"/>
      <family val="1"/>
      <charset val="128"/>
    </font>
    <font>
      <sz val="10"/>
      <color indexed="48"/>
      <name val="ＭＳ 明朝"/>
      <family val="1"/>
      <charset val="128"/>
    </font>
    <font>
      <b/>
      <sz val="14"/>
      <color indexed="60"/>
      <name val="ＭＳ Ｐゴシック"/>
      <family val="3"/>
      <charset val="128"/>
    </font>
    <font>
      <b/>
      <sz val="18"/>
      <color indexed="12"/>
      <name val="ＭＳ Ｐ明朝"/>
      <family val="1"/>
      <charset val="128"/>
    </font>
    <font>
      <b/>
      <sz val="18"/>
      <color indexed="10"/>
      <name val="ＭＳ Ｐ明朝"/>
      <family val="1"/>
      <charset val="128"/>
    </font>
    <font>
      <b/>
      <sz val="18"/>
      <color indexed="17"/>
      <name val="ＭＳ Ｐ明朝"/>
      <family val="1"/>
      <charset val="128"/>
    </font>
    <font>
      <b/>
      <sz val="26"/>
      <color indexed="60"/>
      <name val="ＭＳ ゴシック"/>
      <family val="3"/>
      <charset val="128"/>
    </font>
    <font>
      <sz val="10"/>
      <color indexed="60"/>
      <name val="ＭＳ ゴシック"/>
      <family val="3"/>
      <charset val="128"/>
    </font>
    <font>
      <b/>
      <sz val="14"/>
      <color indexed="20"/>
      <name val="ＭＳ Ｐ明朝"/>
      <family val="1"/>
      <charset val="128"/>
    </font>
    <font>
      <sz val="10"/>
      <color indexed="60"/>
      <name val="ＭＳ 明朝"/>
      <family val="1"/>
      <charset val="128"/>
    </font>
    <font>
      <b/>
      <sz val="10"/>
      <color indexed="10"/>
      <name val="ＭＳ 明朝"/>
      <family val="1"/>
      <charset val="128"/>
    </font>
    <font>
      <sz val="10"/>
      <color indexed="60"/>
      <name val="ＭＳ Ｐ明朝"/>
      <family val="1"/>
      <charset val="128"/>
    </font>
    <font>
      <b/>
      <sz val="8"/>
      <name val="ＭＳ 明朝"/>
      <family val="1"/>
      <charset val="128"/>
    </font>
    <font>
      <b/>
      <sz val="10"/>
      <color indexed="53"/>
      <name val="ＭＳ Ｐ明朝"/>
      <family val="1"/>
      <charset val="128"/>
    </font>
    <font>
      <sz val="9"/>
      <color indexed="17"/>
      <name val="ＭＳ 明朝"/>
      <family val="1"/>
      <charset val="128"/>
    </font>
    <font>
      <b/>
      <sz val="10"/>
      <color indexed="12"/>
      <name val="ＭＳ Ｐ明朝"/>
      <family val="1"/>
      <charset val="128"/>
    </font>
    <font>
      <sz val="10"/>
      <name val="ＭＳ Ｐ明朝"/>
      <family val="1"/>
      <charset val="128"/>
    </font>
    <font>
      <sz val="11"/>
      <color indexed="14"/>
      <name val="ＭＳ Ｐ明朝"/>
      <family val="1"/>
      <charset val="128"/>
    </font>
    <font>
      <b/>
      <sz val="11"/>
      <color indexed="20"/>
      <name val="ＭＳ Ｐ明朝"/>
      <family val="1"/>
      <charset val="128"/>
    </font>
    <font>
      <b/>
      <sz val="12"/>
      <color indexed="10"/>
      <name val="ＭＳ ゴシック"/>
      <family val="3"/>
      <charset val="128"/>
    </font>
    <font>
      <sz val="10"/>
      <color indexed="20"/>
      <name val="ＭＳ 明朝"/>
      <family val="1"/>
      <charset val="128"/>
    </font>
    <font>
      <sz val="10"/>
      <color indexed="18"/>
      <name val="ＭＳ 明朝"/>
      <family val="1"/>
      <charset val="128"/>
    </font>
    <font>
      <b/>
      <sz val="10"/>
      <color indexed="18"/>
      <name val="ＭＳ 明朝"/>
      <family val="1"/>
      <charset val="128"/>
    </font>
    <font>
      <sz val="10"/>
      <color indexed="62"/>
      <name val="ＭＳ 明朝"/>
      <family val="1"/>
      <charset val="128"/>
    </font>
    <font>
      <sz val="10"/>
      <color indexed="17"/>
      <name val="ＭＳ 明朝"/>
      <family val="1"/>
      <charset val="128"/>
    </font>
    <font>
      <sz val="16"/>
      <name val="ＭＳ 明朝"/>
      <family val="1"/>
      <charset val="128"/>
    </font>
    <font>
      <sz val="12"/>
      <name val="ＭＳ ゴシック"/>
      <family val="3"/>
      <charset val="128"/>
    </font>
    <font>
      <b/>
      <sz val="20"/>
      <color indexed="19"/>
      <name val="ＭＳ ゴシック"/>
      <family val="3"/>
      <charset val="128"/>
    </font>
    <font>
      <b/>
      <sz val="20"/>
      <color indexed="14"/>
      <name val="ＭＳ Ｐ明朝"/>
      <family val="1"/>
      <charset val="128"/>
    </font>
    <font>
      <b/>
      <sz val="10"/>
      <color indexed="52"/>
      <name val="ＭＳ 明朝"/>
      <family val="1"/>
      <charset val="128"/>
    </font>
    <font>
      <b/>
      <sz val="18"/>
      <color indexed="60"/>
      <name val="ＭＳ Ｐ明朝"/>
      <family val="1"/>
      <charset val="128"/>
    </font>
    <font>
      <b/>
      <sz val="20"/>
      <color indexed="20"/>
      <name val="ＭＳ ゴシック"/>
      <family val="3"/>
      <charset val="128"/>
    </font>
    <font>
      <b/>
      <sz val="16"/>
      <color indexed="12"/>
      <name val="ＭＳ 明朝"/>
      <family val="1"/>
      <charset val="128"/>
    </font>
    <font>
      <b/>
      <sz val="10"/>
      <color indexed="14"/>
      <name val="ＭＳ 明朝"/>
      <family val="1"/>
      <charset val="128"/>
    </font>
    <font>
      <b/>
      <sz val="10"/>
      <color indexed="12"/>
      <name val="ＭＳ 明朝"/>
      <family val="1"/>
      <charset val="128"/>
    </font>
    <font>
      <b/>
      <sz val="10"/>
      <color indexed="57"/>
      <name val="ＭＳ 明朝"/>
      <family val="1"/>
      <charset val="128"/>
    </font>
    <font>
      <b/>
      <sz val="10"/>
      <color indexed="53"/>
      <name val="ＭＳ 明朝"/>
      <family val="1"/>
      <charset val="128"/>
    </font>
    <font>
      <sz val="9"/>
      <name val="ＭＳ 明朝"/>
      <family val="1"/>
      <charset val="128"/>
    </font>
    <font>
      <b/>
      <sz val="20"/>
      <color rgb="FF000080"/>
      <name val="ＭＳ Ｐゴシック"/>
      <family val="3"/>
      <charset val="128"/>
    </font>
    <font>
      <b/>
      <sz val="20"/>
      <color rgb="FF800000"/>
      <name val="ＭＳ Ｐゴシック"/>
      <family val="3"/>
      <charset val="128"/>
    </font>
    <font>
      <b/>
      <sz val="20"/>
      <color rgb="FF003300"/>
      <name val="ＭＳ Ｐゴシック"/>
      <family val="3"/>
      <charset val="128"/>
    </font>
    <font>
      <b/>
      <sz val="18"/>
      <color rgb="FF80800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4"/>
      <color rgb="FF000080"/>
      <name val="ＭＳ Ｐゴシック"/>
      <family val="3"/>
      <charset val="128"/>
    </font>
    <font>
      <b/>
      <sz val="14"/>
      <color rgb="FF800080"/>
      <name val="ＭＳ Ｐゴシック"/>
      <family val="3"/>
      <charset val="128"/>
    </font>
    <font>
      <b/>
      <sz val="14"/>
      <color rgb="FF993300"/>
      <name val="ＭＳ Ｐゴシック"/>
      <family val="3"/>
      <charset val="128"/>
    </font>
    <font>
      <b/>
      <sz val="14"/>
      <color rgb="FF008000"/>
      <name val="ＭＳ Ｐゴシック"/>
      <family val="3"/>
      <charset val="128"/>
    </font>
    <font>
      <b/>
      <sz val="12"/>
      <color rgb="FF008000"/>
      <name val="ＭＳ Ｐゴシック"/>
      <family val="3"/>
      <charset val="128"/>
    </font>
    <font>
      <b/>
      <sz val="12"/>
      <color rgb="FF993366"/>
      <name val="ＭＳ Ｐゴシック"/>
      <family val="3"/>
      <charset val="128"/>
    </font>
    <font>
      <b/>
      <sz val="12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11"/>
      <color theme="1"/>
      <name val="Yu Gothic"/>
      <family val="3"/>
      <charset val="128"/>
    </font>
    <font>
      <sz val="11"/>
      <name val="Yu Gothic"/>
      <family val="3"/>
      <charset val="128"/>
    </font>
    <font>
      <b/>
      <sz val="11"/>
      <color theme="1"/>
      <name val="ＭＳ ゴシック"/>
      <family val="3"/>
      <charset val="128"/>
    </font>
    <font>
      <sz val="11"/>
      <color theme="1"/>
      <name val="Meiryo UI"/>
      <family val="3"/>
      <charset val="128"/>
    </font>
    <font>
      <sz val="6"/>
      <name val="ＭＳ 明朝"/>
      <family val="2"/>
      <charset val="128"/>
    </font>
    <font>
      <b/>
      <sz val="11"/>
      <name val="Meiryo UI"/>
      <family val="3"/>
      <charset val="128"/>
    </font>
    <font>
      <b/>
      <sz val="8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10"/>
      <color theme="0"/>
      <name val="ＭＳ 明朝"/>
      <family val="1"/>
      <charset val="128"/>
    </font>
    <font>
      <sz val="11"/>
      <color rgb="FFFF0000"/>
      <name val="ＭＳ 明朝"/>
      <family val="2"/>
      <charset val="128"/>
    </font>
    <font>
      <sz val="10.5"/>
      <color theme="1"/>
      <name val="ＭＳ 明朝"/>
      <family val="1"/>
      <charset val="128"/>
    </font>
    <font>
      <sz val="9"/>
      <color theme="1"/>
      <name val="ＭＳ 明朝"/>
      <family val="1"/>
      <charset val="128"/>
    </font>
    <font>
      <sz val="8"/>
      <color theme="1"/>
      <name val="ＭＳ 明朝"/>
      <family val="2"/>
      <charset val="128"/>
    </font>
    <font>
      <sz val="8"/>
      <color theme="1"/>
      <name val="ＭＳ 明朝"/>
      <family val="1"/>
      <charset val="128"/>
    </font>
    <font>
      <sz val="10.5"/>
      <name val="ＭＳ 明朝"/>
      <family val="1"/>
      <charset val="128"/>
    </font>
    <font>
      <sz val="11"/>
      <name val="ＭＳ 明朝"/>
      <family val="1"/>
      <charset val="128"/>
    </font>
    <font>
      <sz val="11"/>
      <name val="ＭＳ 明朝"/>
      <family val="2"/>
      <charset val="128"/>
    </font>
    <font>
      <sz val="9"/>
      <name val="Yu Gothic"/>
      <family val="3"/>
      <charset val="128"/>
    </font>
    <font>
      <sz val="18"/>
      <name val="ＭＳ 明朝"/>
      <family val="1"/>
      <charset val="128"/>
    </font>
    <font>
      <sz val="9"/>
      <color indexed="81"/>
      <name val="MS P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mediumGray">
        <fgColor indexed="43"/>
      </patternFill>
    </fill>
    <fill>
      <patternFill patternType="lightGray">
        <fgColor indexed="45"/>
      </patternFill>
    </fill>
    <fill>
      <patternFill patternType="lightGray">
        <fgColor indexed="50"/>
      </patternFill>
    </fill>
    <fill>
      <patternFill patternType="lightTrellis">
        <fgColor indexed="44"/>
      </patternFill>
    </fill>
    <fill>
      <patternFill patternType="lightGray">
        <fgColor indexed="47"/>
      </patternFill>
    </fill>
    <fill>
      <patternFill patternType="lightGray">
        <fgColor indexed="41"/>
      </patternFill>
    </fill>
    <fill>
      <patternFill patternType="mediumGray">
        <fgColor indexed="12"/>
        <bgColor indexed="44"/>
      </patternFill>
    </fill>
    <fill>
      <patternFill patternType="darkUp">
        <fgColor indexed="44"/>
      </patternFill>
    </fill>
    <fill>
      <patternFill patternType="darkGrid">
        <fgColor indexed="45"/>
      </patternFill>
    </fill>
    <fill>
      <patternFill patternType="lightDown">
        <fgColor indexed="50"/>
      </patternFill>
    </fill>
    <fill>
      <patternFill patternType="lightGray">
        <fgColor indexed="22"/>
      </patternFill>
    </fill>
    <fill>
      <patternFill patternType="lightDown">
        <fgColor indexed="13"/>
      </patternFill>
    </fill>
    <fill>
      <patternFill patternType="lightGray">
        <fgColor indexed="44"/>
      </patternFill>
    </fill>
    <fill>
      <patternFill patternType="lightGray">
        <fgColor indexed="46"/>
      </patternFill>
    </fill>
    <fill>
      <patternFill patternType="lightGray">
        <fgColor indexed="41"/>
        <bgColor indexed="43"/>
      </patternFill>
    </fill>
    <fill>
      <patternFill patternType="gray125">
        <fgColor indexed="46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50"/>
      </patternFill>
    </fill>
    <fill>
      <patternFill patternType="solid">
        <fgColor rgb="FFCCFF99"/>
        <bgColor indexed="45"/>
      </patternFill>
    </fill>
    <fill>
      <patternFill patternType="solid">
        <fgColor rgb="FFCCFF99"/>
        <bgColor indexed="5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45"/>
      </patternFill>
    </fill>
  </fills>
  <borders count="1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19"/>
      </left>
      <right style="medium">
        <color indexed="19"/>
      </right>
      <top style="medium">
        <color indexed="19"/>
      </top>
      <bottom style="medium">
        <color indexed="19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44"/>
      </left>
      <right/>
      <top/>
      <bottom style="medium">
        <color indexed="44"/>
      </bottom>
      <diagonal/>
    </border>
    <border>
      <left style="medium">
        <color indexed="44"/>
      </left>
      <right style="thin">
        <color indexed="44"/>
      </right>
      <top style="medium">
        <color indexed="44"/>
      </top>
      <bottom/>
      <diagonal/>
    </border>
    <border>
      <left style="medium">
        <color indexed="44"/>
      </left>
      <right style="thin">
        <color indexed="44"/>
      </right>
      <top/>
      <bottom style="medium">
        <color indexed="44"/>
      </bottom>
      <diagonal/>
    </border>
    <border>
      <left style="medium">
        <color indexed="44"/>
      </left>
      <right style="thin">
        <color indexed="44"/>
      </right>
      <top style="hair">
        <color indexed="44"/>
      </top>
      <bottom style="thin">
        <color indexed="44"/>
      </bottom>
      <diagonal/>
    </border>
    <border>
      <left/>
      <right/>
      <top style="hair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 style="medium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 style="thin">
        <color indexed="44"/>
      </top>
      <bottom/>
      <diagonal/>
    </border>
    <border>
      <left style="dashed">
        <color indexed="44"/>
      </left>
      <right style="medium">
        <color indexed="44"/>
      </right>
      <top style="hair">
        <color indexed="44"/>
      </top>
      <bottom style="thin">
        <color indexed="44"/>
      </bottom>
      <diagonal/>
    </border>
    <border>
      <left style="dashed">
        <color indexed="44"/>
      </left>
      <right style="medium">
        <color indexed="44"/>
      </right>
      <top/>
      <bottom style="medium">
        <color indexed="4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3"/>
      </left>
      <right/>
      <top style="thick">
        <color indexed="63"/>
      </top>
      <bottom style="thin">
        <color indexed="63"/>
      </bottom>
      <diagonal/>
    </border>
    <border>
      <left/>
      <right style="thick">
        <color indexed="63"/>
      </right>
      <top style="thick">
        <color indexed="63"/>
      </top>
      <bottom style="thin">
        <color indexed="63"/>
      </bottom>
      <diagonal/>
    </border>
    <border>
      <left style="thick">
        <color indexed="63"/>
      </left>
      <right/>
      <top/>
      <bottom style="thin">
        <color indexed="63"/>
      </bottom>
      <diagonal/>
    </border>
    <border>
      <left/>
      <right style="thick">
        <color indexed="63"/>
      </right>
      <top/>
      <bottom style="thin">
        <color indexed="63"/>
      </bottom>
      <diagonal/>
    </border>
    <border>
      <left style="thick">
        <color indexed="63"/>
      </left>
      <right/>
      <top style="thin">
        <color indexed="63"/>
      </top>
      <bottom style="hair">
        <color indexed="63"/>
      </bottom>
      <diagonal/>
    </border>
    <border>
      <left/>
      <right style="thick">
        <color indexed="63"/>
      </right>
      <top style="thin">
        <color indexed="63"/>
      </top>
      <bottom style="hair">
        <color indexed="63"/>
      </bottom>
      <diagonal/>
    </border>
    <border>
      <left style="medium">
        <color indexed="44"/>
      </left>
      <right/>
      <top style="medium">
        <color indexed="44"/>
      </top>
      <bottom style="thin">
        <color indexed="4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ck">
        <color indexed="63"/>
      </left>
      <right/>
      <top/>
      <bottom/>
      <diagonal/>
    </border>
    <border>
      <left/>
      <right style="thick">
        <color indexed="63"/>
      </right>
      <top/>
      <bottom/>
      <diagonal/>
    </border>
    <border>
      <left style="thick">
        <color indexed="63"/>
      </left>
      <right/>
      <top style="hair">
        <color indexed="63"/>
      </top>
      <bottom style="thick">
        <color indexed="6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ck">
        <color indexed="63"/>
      </right>
      <top style="hair">
        <color indexed="63"/>
      </top>
      <bottom style="thick">
        <color indexed="63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0"/>
      </left>
      <right/>
      <top style="medium">
        <color indexed="60"/>
      </top>
      <bottom style="medium">
        <color indexed="60"/>
      </bottom>
      <diagonal/>
    </border>
    <border>
      <left/>
      <right/>
      <top style="medium">
        <color indexed="60"/>
      </top>
      <bottom style="medium">
        <color indexed="60"/>
      </bottom>
      <diagonal/>
    </border>
    <border>
      <left/>
      <right style="medium">
        <color indexed="60"/>
      </right>
      <top style="medium">
        <color indexed="60"/>
      </top>
      <bottom style="medium">
        <color indexed="6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slantDashDot">
        <color indexed="10"/>
      </left>
      <right style="slantDashDot">
        <color indexed="10"/>
      </right>
      <top style="slantDashDot">
        <color indexed="10"/>
      </top>
      <bottom/>
      <diagonal/>
    </border>
    <border>
      <left style="slantDashDot">
        <color indexed="10"/>
      </left>
      <right style="slantDashDot">
        <color indexed="10"/>
      </right>
      <top/>
      <bottom style="slantDashDot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0" fontId="73" fillId="0" borderId="0"/>
    <xf numFmtId="0" fontId="73" fillId="0" borderId="0"/>
    <xf numFmtId="0" fontId="73" fillId="0" borderId="0"/>
    <xf numFmtId="0" fontId="2" fillId="0" borderId="0">
      <alignment vertical="center"/>
    </xf>
    <xf numFmtId="0" fontId="1" fillId="0" borderId="0">
      <alignment vertical="center"/>
    </xf>
  </cellStyleXfs>
  <cellXfs count="636">
    <xf numFmtId="0" fontId="0" fillId="0" borderId="0" xfId="0"/>
    <xf numFmtId="0" fontId="0" fillId="0" borderId="0" xfId="0" applyAlignment="1">
      <alignment vertical="center"/>
    </xf>
    <xf numFmtId="0" fontId="0" fillId="0" borderId="2" xfId="0" quotePrefix="1" applyBorder="1" applyAlignment="1">
      <alignment horizontal="center" vertical="center" shrinkToFit="1"/>
    </xf>
    <xf numFmtId="0" fontId="0" fillId="0" borderId="3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8" fillId="0" borderId="0" xfId="0" quotePrefix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11" fillId="0" borderId="0" xfId="0" applyFont="1" applyAlignment="1">
      <alignment vertical="center" shrinkToFit="1"/>
    </xf>
    <xf numFmtId="0" fontId="4" fillId="0" borderId="0" xfId="0" applyFont="1" applyAlignment="1">
      <alignment horizontal="left" vertical="center" shrinkToFit="1"/>
    </xf>
    <xf numFmtId="0" fontId="0" fillId="0" borderId="5" xfId="0" quotePrefix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7" xfId="0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179" fontId="0" fillId="0" borderId="9" xfId="0" applyNumberFormat="1" applyBorder="1" applyAlignment="1">
      <alignment vertical="center" shrinkToFit="1"/>
    </xf>
    <xf numFmtId="180" fontId="0" fillId="0" borderId="0" xfId="0" applyNumberFormat="1" applyAlignment="1">
      <alignment vertical="center" shrinkToFit="1"/>
    </xf>
    <xf numFmtId="0" fontId="0" fillId="0" borderId="10" xfId="0" quotePrefix="1" applyBorder="1" applyAlignment="1">
      <alignment horizontal="center" vertical="center" shrinkToFit="1"/>
    </xf>
    <xf numFmtId="0" fontId="12" fillId="0" borderId="0" xfId="0" applyFont="1" applyAlignment="1">
      <alignment vertical="center" shrinkToFit="1"/>
    </xf>
    <xf numFmtId="176" fontId="0" fillId="0" borderId="11" xfId="0" applyNumberFormat="1" applyBorder="1" applyAlignment="1">
      <alignment vertical="center" shrinkToFit="1"/>
    </xf>
    <xf numFmtId="176" fontId="0" fillId="0" borderId="12" xfId="0" applyNumberFormat="1" applyBorder="1" applyAlignment="1">
      <alignment vertical="center" shrinkToFit="1"/>
    </xf>
    <xf numFmtId="176" fontId="0" fillId="0" borderId="13" xfId="0" applyNumberFormat="1" applyBorder="1" applyAlignment="1">
      <alignment vertical="center" shrinkToFit="1"/>
    </xf>
    <xf numFmtId="176" fontId="0" fillId="0" borderId="14" xfId="0" applyNumberFormat="1" applyBorder="1" applyAlignment="1">
      <alignment vertical="center" shrinkToFit="1"/>
    </xf>
    <xf numFmtId="0" fontId="0" fillId="0" borderId="15" xfId="0" quotePrefix="1" applyBorder="1" applyAlignment="1">
      <alignment horizontal="center" vertical="center" shrinkToFit="1"/>
    </xf>
    <xf numFmtId="178" fontId="0" fillId="0" borderId="16" xfId="0" applyNumberFormat="1" applyBorder="1" applyAlignment="1">
      <alignment vertical="center" shrinkToFit="1"/>
    </xf>
    <xf numFmtId="178" fontId="0" fillId="0" borderId="17" xfId="0" applyNumberFormat="1" applyBorder="1" applyAlignment="1">
      <alignment vertical="center" shrinkToFit="1"/>
    </xf>
    <xf numFmtId="0" fontId="0" fillId="0" borderId="0" xfId="0" quotePrefix="1" applyAlignment="1">
      <alignment horizontal="left" vertical="center" shrinkToFit="1"/>
    </xf>
    <xf numFmtId="176" fontId="4" fillId="0" borderId="0" xfId="0" applyNumberFormat="1" applyFont="1" applyAlignment="1" applyProtection="1">
      <alignment vertical="center" shrinkToFit="1"/>
      <protection locked="0"/>
    </xf>
    <xf numFmtId="0" fontId="4" fillId="0" borderId="18" xfId="0" applyFont="1" applyBorder="1" applyAlignment="1">
      <alignment horizontal="center" vertical="center" shrinkToFit="1"/>
    </xf>
    <xf numFmtId="0" fontId="4" fillId="0" borderId="19" xfId="0" applyFont="1" applyBorder="1" applyAlignment="1">
      <alignment horizontal="center" vertical="center" shrinkToFit="1"/>
    </xf>
    <xf numFmtId="0" fontId="4" fillId="0" borderId="18" xfId="0" quotePrefix="1" applyFont="1" applyBorder="1" applyAlignment="1">
      <alignment horizontal="center" vertical="center" shrinkToFit="1"/>
    </xf>
    <xf numFmtId="0" fontId="4" fillId="0" borderId="18" xfId="0" applyFont="1" applyBorder="1" applyAlignment="1">
      <alignment vertical="center" shrinkToFit="1"/>
    </xf>
    <xf numFmtId="0" fontId="10" fillId="2" borderId="20" xfId="0" applyFont="1" applyFill="1" applyBorder="1" applyAlignment="1" applyProtection="1">
      <alignment horizontal="center" vertical="center"/>
      <protection locked="0"/>
    </xf>
    <xf numFmtId="0" fontId="0" fillId="4" borderId="11" xfId="0" applyFill="1" applyBorder="1" applyAlignment="1" applyProtection="1">
      <alignment vertical="center" shrinkToFit="1"/>
      <protection locked="0"/>
    </xf>
    <xf numFmtId="0" fontId="0" fillId="4" borderId="21" xfId="0" applyFill="1" applyBorder="1" applyAlignment="1" applyProtection="1">
      <alignment vertical="center" shrinkToFit="1"/>
      <protection locked="0"/>
    </xf>
    <xf numFmtId="176" fontId="0" fillId="5" borderId="21" xfId="0" applyNumberFormat="1" applyFill="1" applyBorder="1" applyAlignment="1" applyProtection="1">
      <alignment vertical="center" shrinkToFit="1"/>
      <protection locked="0"/>
    </xf>
    <xf numFmtId="0" fontId="0" fillId="4" borderId="22" xfId="0" applyFill="1" applyBorder="1" applyAlignment="1" applyProtection="1">
      <alignment vertical="center" shrinkToFit="1"/>
      <protection locked="0"/>
    </xf>
    <xf numFmtId="176" fontId="0" fillId="5" borderId="22" xfId="0" applyNumberFormat="1" applyFill="1" applyBorder="1" applyAlignment="1" applyProtection="1">
      <alignment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4" fillId="0" borderId="18" xfId="0" applyFont="1" applyBorder="1" applyAlignment="1" applyProtection="1">
      <alignment vertical="center" shrinkToFit="1"/>
      <protection locked="0"/>
    </xf>
    <xf numFmtId="0" fontId="13" fillId="0" borderId="18" xfId="0" applyFont="1" applyBorder="1" applyAlignment="1">
      <alignment horizontal="center" vertical="center" shrinkToFit="1"/>
    </xf>
    <xf numFmtId="0" fontId="12" fillId="0" borderId="18" xfId="0" applyFont="1" applyBorder="1" applyAlignment="1">
      <alignment horizontal="center" vertical="center" shrinkToFit="1"/>
    </xf>
    <xf numFmtId="0" fontId="0" fillId="0" borderId="0" xfId="0" quotePrefix="1" applyAlignment="1">
      <alignment horizontal="center" vertical="center" shrinkToFit="1"/>
    </xf>
    <xf numFmtId="0" fontId="12" fillId="0" borderId="0" xfId="0" applyFont="1" applyAlignment="1">
      <alignment vertical="center"/>
    </xf>
    <xf numFmtId="0" fontId="12" fillId="0" borderId="18" xfId="0" quotePrefix="1" applyFont="1" applyBorder="1" applyAlignment="1">
      <alignment horizontal="center" vertical="center"/>
    </xf>
    <xf numFmtId="176" fontId="4" fillId="0" borderId="0" xfId="0" applyNumberFormat="1" applyFont="1" applyAlignment="1">
      <alignment vertical="center" shrinkToFit="1"/>
    </xf>
    <xf numFmtId="176" fontId="4" fillId="0" borderId="18" xfId="0" applyNumberFormat="1" applyFont="1" applyBorder="1" applyAlignment="1" applyProtection="1">
      <alignment vertical="center" shrinkToFit="1"/>
      <protection locked="0"/>
    </xf>
    <xf numFmtId="176" fontId="4" fillId="0" borderId="18" xfId="0" applyNumberFormat="1" applyFont="1" applyBorder="1" applyAlignment="1">
      <alignment vertical="center" shrinkToFit="1"/>
    </xf>
    <xf numFmtId="176" fontId="0" fillId="0" borderId="7" xfId="0" applyNumberFormat="1" applyBorder="1" applyAlignment="1">
      <alignment vertical="center" shrinkToFit="1"/>
    </xf>
    <xf numFmtId="176" fontId="0" fillId="0" borderId="23" xfId="0" applyNumberFormat="1" applyBorder="1" applyAlignment="1">
      <alignment vertical="center" shrinkToFit="1"/>
    </xf>
    <xf numFmtId="176" fontId="0" fillId="0" borderId="8" xfId="0" applyNumberFormat="1" applyBorder="1" applyAlignment="1">
      <alignment vertical="center" shrinkToFit="1"/>
    </xf>
    <xf numFmtId="176" fontId="0" fillId="0" borderId="24" xfId="0" applyNumberFormat="1" applyBorder="1" applyAlignment="1">
      <alignment vertical="center" shrinkToFit="1"/>
    </xf>
    <xf numFmtId="176" fontId="0" fillId="0" borderId="25" xfId="0" applyNumberFormat="1" applyBorder="1" applyAlignment="1">
      <alignment vertical="center" shrinkToFit="1"/>
    </xf>
    <xf numFmtId="176" fontId="0" fillId="0" borderId="26" xfId="0" applyNumberFormat="1" applyBorder="1" applyAlignment="1">
      <alignment vertical="center" shrinkToFit="1"/>
    </xf>
    <xf numFmtId="176" fontId="0" fillId="0" borderId="27" xfId="0" applyNumberFormat="1" applyBorder="1" applyAlignment="1">
      <alignment vertical="center" shrinkToFit="1"/>
    </xf>
    <xf numFmtId="176" fontId="0" fillId="0" borderId="28" xfId="0" applyNumberFormat="1" applyBorder="1" applyAlignment="1">
      <alignment vertical="center" shrinkToFit="1"/>
    </xf>
    <xf numFmtId="176" fontId="0" fillId="0" borderId="0" xfId="0" applyNumberFormat="1" applyAlignment="1">
      <alignment vertical="center" shrinkToFit="1"/>
    </xf>
    <xf numFmtId="178" fontId="0" fillId="0" borderId="29" xfId="0" applyNumberFormat="1" applyBorder="1" applyAlignment="1">
      <alignment vertical="center" shrinkToFit="1"/>
    </xf>
    <xf numFmtId="0" fontId="0" fillId="0" borderId="30" xfId="0" applyBorder="1" applyAlignment="1">
      <alignment vertical="center" shrinkToFit="1"/>
    </xf>
    <xf numFmtId="176" fontId="0" fillId="0" borderId="30" xfId="0" applyNumberFormat="1" applyBorder="1" applyAlignment="1">
      <alignment vertical="center" shrinkToFit="1"/>
    </xf>
    <xf numFmtId="176" fontId="0" fillId="0" borderId="31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178" fontId="4" fillId="0" borderId="19" xfId="0" applyNumberFormat="1" applyFont="1" applyBorder="1" applyAlignment="1" applyProtection="1">
      <alignment vertical="center" shrinkToFit="1"/>
      <protection locked="0"/>
    </xf>
    <xf numFmtId="178" fontId="4" fillId="0" borderId="32" xfId="0" applyNumberFormat="1" applyFont="1" applyBorder="1" applyAlignment="1" applyProtection="1">
      <alignment vertical="center" shrinkToFit="1"/>
      <protection locked="0"/>
    </xf>
    <xf numFmtId="0" fontId="14" fillId="0" borderId="18" xfId="0" applyFont="1" applyBorder="1" applyAlignment="1">
      <alignment horizontal="center" vertical="center" shrinkToFit="1"/>
    </xf>
    <xf numFmtId="0" fontId="14" fillId="0" borderId="0" xfId="0" applyFont="1" applyAlignment="1">
      <alignment vertical="center" shrinkToFit="1"/>
    </xf>
    <xf numFmtId="177" fontId="14" fillId="0" borderId="0" xfId="0" applyNumberFormat="1" applyFont="1" applyAlignment="1">
      <alignment vertical="center" shrinkToFit="1"/>
    </xf>
    <xf numFmtId="0" fontId="14" fillId="0" borderId="0" xfId="0" quotePrefix="1" applyFont="1" applyAlignment="1">
      <alignment horizontal="center" vertical="center"/>
    </xf>
    <xf numFmtId="179" fontId="0" fillId="0" borderId="33" xfId="0" applyNumberFormat="1" applyBorder="1" applyAlignment="1">
      <alignment vertical="center" shrinkToFit="1"/>
    </xf>
    <xf numFmtId="0" fontId="15" fillId="6" borderId="0" xfId="0" applyFont="1" applyFill="1" applyAlignment="1">
      <alignment vertical="center" shrinkToFit="1"/>
    </xf>
    <xf numFmtId="0" fontId="15" fillId="7" borderId="0" xfId="0" applyFont="1" applyFill="1" applyAlignment="1">
      <alignment vertical="center" shrinkToFit="1"/>
    </xf>
    <xf numFmtId="0" fontId="12" fillId="0" borderId="0" xfId="0" applyFont="1" applyAlignment="1" applyProtection="1">
      <alignment vertical="center" shrinkToFit="1"/>
      <protection locked="0"/>
    </xf>
    <xf numFmtId="0" fontId="0" fillId="0" borderId="0" xfId="0" applyAlignment="1">
      <alignment horizontal="left" vertical="center"/>
    </xf>
    <xf numFmtId="0" fontId="14" fillId="0" borderId="0" xfId="0" applyFont="1" applyAlignment="1" applyProtection="1">
      <alignment vertical="center"/>
      <protection locked="0"/>
    </xf>
    <xf numFmtId="0" fontId="14" fillId="0" borderId="0" xfId="0" applyFont="1" applyAlignment="1" applyProtection="1">
      <alignment vertical="center" shrinkToFit="1"/>
      <protection locked="0"/>
    </xf>
    <xf numFmtId="177" fontId="14" fillId="0" borderId="0" xfId="0" applyNumberFormat="1" applyFont="1" applyAlignment="1" applyProtection="1">
      <alignment vertical="center" shrinkToFit="1"/>
      <protection locked="0"/>
    </xf>
    <xf numFmtId="0" fontId="14" fillId="0" borderId="18" xfId="0" applyFont="1" applyBorder="1" applyAlignment="1" applyProtection="1">
      <alignment vertical="center"/>
      <protection locked="0"/>
    </xf>
    <xf numFmtId="0" fontId="14" fillId="0" borderId="18" xfId="0" applyFont="1" applyBorder="1" applyAlignment="1" applyProtection="1">
      <alignment vertical="center" shrinkToFit="1"/>
      <protection locked="0"/>
    </xf>
    <xf numFmtId="177" fontId="14" fillId="0" borderId="18" xfId="0" applyNumberFormat="1" applyFont="1" applyBorder="1" applyAlignment="1" applyProtection="1">
      <alignment vertical="center" shrinkToFit="1"/>
      <protection locked="0"/>
    </xf>
    <xf numFmtId="176" fontId="0" fillId="0" borderId="0" xfId="0" applyNumberFormat="1" applyBorder="1" applyAlignment="1">
      <alignment vertical="center" shrinkToFit="1"/>
    </xf>
    <xf numFmtId="176" fontId="0" fillId="0" borderId="34" xfId="0" applyNumberFormat="1" applyBorder="1" applyAlignment="1">
      <alignment vertical="center" shrinkToFi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6" fillId="0" borderId="0" xfId="0" applyFont="1" applyBorder="1" applyAlignment="1">
      <alignment horizontal="left" vertical="top"/>
    </xf>
    <xf numFmtId="0" fontId="0" fillId="0" borderId="37" xfId="0" applyBorder="1" applyAlignment="1">
      <alignment horizontal="center" vertical="center"/>
    </xf>
    <xf numFmtId="176" fontId="0" fillId="0" borderId="38" xfId="0" applyNumberFormat="1" applyBorder="1" applyAlignment="1">
      <alignment vertical="center" shrinkToFit="1"/>
    </xf>
    <xf numFmtId="0" fontId="0" fillId="0" borderId="39" xfId="0" applyBorder="1" applyAlignment="1">
      <alignment horizontal="center" vertical="center" shrinkToFit="1"/>
    </xf>
    <xf numFmtId="176" fontId="0" fillId="0" borderId="40" xfId="0" applyNumberFormat="1" applyBorder="1" applyAlignment="1">
      <alignment vertical="center" shrinkToFit="1"/>
    </xf>
    <xf numFmtId="176" fontId="0" fillId="0" borderId="41" xfId="0" applyNumberFormat="1" applyBorder="1" applyAlignment="1">
      <alignment vertical="center" shrinkToFit="1"/>
    </xf>
    <xf numFmtId="176" fontId="0" fillId="0" borderId="42" xfId="0" applyNumberFormat="1" applyBorder="1" applyAlignment="1">
      <alignment vertical="center" shrinkToFit="1"/>
    </xf>
    <xf numFmtId="0" fontId="17" fillId="0" borderId="0" xfId="0" quotePrefix="1" applyFont="1" applyAlignment="1">
      <alignment horizontal="left" vertical="center"/>
    </xf>
    <xf numFmtId="0" fontId="18" fillId="0" borderId="0" xfId="0" quotePrefix="1" applyFont="1" applyAlignment="1">
      <alignment horizontal="left" vertical="center" shrinkToFit="1"/>
    </xf>
    <xf numFmtId="0" fontId="20" fillId="0" borderId="0" xfId="0" quotePrefix="1" applyFont="1" applyAlignment="1">
      <alignment horizontal="left" vertical="top"/>
    </xf>
    <xf numFmtId="0" fontId="7" fillId="0" borderId="0" xfId="0" applyFont="1" applyAlignment="1">
      <alignment vertical="center"/>
    </xf>
    <xf numFmtId="0" fontId="21" fillId="0" borderId="0" xfId="0" quotePrefix="1" applyFont="1" applyAlignment="1">
      <alignment horizontal="left" shrinkToFit="1"/>
    </xf>
    <xf numFmtId="178" fontId="14" fillId="0" borderId="32" xfId="0" applyNumberFormat="1" applyFont="1" applyBorder="1" applyAlignment="1" applyProtection="1">
      <alignment vertical="center" shrinkToFit="1"/>
      <protection locked="0"/>
    </xf>
    <xf numFmtId="178" fontId="14" fillId="0" borderId="19" xfId="0" applyNumberFormat="1" applyFont="1" applyBorder="1" applyAlignment="1" applyProtection="1">
      <alignment vertical="center" shrinkToFit="1"/>
      <protection locked="0"/>
    </xf>
    <xf numFmtId="0" fontId="0" fillId="0" borderId="43" xfId="0" applyBorder="1" applyAlignment="1" applyProtection="1">
      <alignment vertical="center"/>
    </xf>
    <xf numFmtId="0" fontId="0" fillId="0" borderId="44" xfId="0" applyBorder="1" applyAlignment="1" applyProtection="1">
      <alignment vertical="center"/>
    </xf>
    <xf numFmtId="0" fontId="0" fillId="0" borderId="45" xfId="0" applyBorder="1" applyAlignment="1" applyProtection="1">
      <alignment vertical="center"/>
    </xf>
    <xf numFmtId="0" fontId="0" fillId="0" borderId="46" xfId="0" applyBorder="1" applyAlignment="1" applyProtection="1">
      <alignment vertical="center"/>
    </xf>
    <xf numFmtId="0" fontId="23" fillId="0" borderId="0" xfId="0" quotePrefix="1" applyFont="1" applyAlignment="1">
      <alignment horizontal="left" vertical="center"/>
    </xf>
    <xf numFmtId="0" fontId="19" fillId="8" borderId="0" xfId="0" applyFont="1" applyFill="1" applyBorder="1" applyAlignment="1" applyProtection="1">
      <alignment horizontal="center" vertical="center" shrinkToFit="1"/>
      <protection locked="0"/>
    </xf>
    <xf numFmtId="0" fontId="0" fillId="9" borderId="47" xfId="0" applyFill="1" applyBorder="1"/>
    <xf numFmtId="0" fontId="25" fillId="9" borderId="48" xfId="0" quotePrefix="1" applyFont="1" applyFill="1" applyBorder="1" applyAlignment="1">
      <alignment horizontal="left" vertical="center"/>
    </xf>
    <xf numFmtId="0" fontId="0" fillId="10" borderId="49" xfId="0" applyFill="1" applyBorder="1"/>
    <xf numFmtId="0" fontId="26" fillId="10" borderId="50" xfId="0" applyFont="1" applyFill="1" applyBorder="1" applyAlignment="1">
      <alignment vertical="center"/>
    </xf>
    <xf numFmtId="0" fontId="0" fillId="10" borderId="51" xfId="0" applyFill="1" applyBorder="1"/>
    <xf numFmtId="0" fontId="26" fillId="10" borderId="52" xfId="0" applyFont="1" applyFill="1" applyBorder="1" applyAlignment="1">
      <alignment vertical="center"/>
    </xf>
    <xf numFmtId="0" fontId="0" fillId="11" borderId="51" xfId="0" applyFill="1" applyBorder="1"/>
    <xf numFmtId="0" fontId="27" fillId="11" borderId="52" xfId="0" quotePrefix="1" applyFont="1" applyFill="1" applyBorder="1" applyAlignment="1">
      <alignment horizontal="left" vertical="center"/>
    </xf>
    <xf numFmtId="0" fontId="30" fillId="0" borderId="0" xfId="0" quotePrefix="1" applyFont="1" applyAlignment="1">
      <alignment horizontal="left"/>
    </xf>
    <xf numFmtId="0" fontId="12" fillId="0" borderId="0" xfId="0" quotePrefix="1" applyFont="1" applyAlignment="1">
      <alignment horizontal="left" vertical="top"/>
    </xf>
    <xf numFmtId="0" fontId="31" fillId="0" borderId="0" xfId="0" applyFont="1" applyAlignment="1"/>
    <xf numFmtId="0" fontId="33" fillId="0" borderId="0" xfId="0" quotePrefix="1" applyFont="1" applyAlignment="1">
      <alignment horizontal="left"/>
    </xf>
    <xf numFmtId="0" fontId="15" fillId="0" borderId="0" xfId="0" applyFont="1" applyAlignment="1">
      <alignment horizontal="center" vertical="center"/>
    </xf>
    <xf numFmtId="0" fontId="34" fillId="0" borderId="0" xfId="0" quotePrefix="1" applyFont="1" applyAlignment="1">
      <alignment horizontal="center" vertical="center"/>
    </xf>
    <xf numFmtId="0" fontId="11" fillId="0" borderId="0" xfId="0" quotePrefix="1" applyFont="1" applyAlignment="1">
      <alignment horizontal="left"/>
    </xf>
    <xf numFmtId="0" fontId="11" fillId="0" borderId="0" xfId="0" applyFont="1" applyAlignment="1" applyProtection="1">
      <alignment vertical="center" shrinkToFit="1"/>
      <protection locked="0"/>
    </xf>
    <xf numFmtId="0" fontId="35" fillId="0" borderId="0" xfId="0" quotePrefix="1" applyFont="1" applyAlignment="1">
      <alignment horizontal="left" vertical="top"/>
    </xf>
    <xf numFmtId="0" fontId="22" fillId="0" borderId="0" xfId="0" quotePrefix="1" applyFont="1" applyAlignment="1">
      <alignment horizontal="left" vertical="top"/>
    </xf>
    <xf numFmtId="0" fontId="32" fillId="0" borderId="0" xfId="0" applyFont="1" applyAlignment="1"/>
    <xf numFmtId="0" fontId="32" fillId="0" borderId="0" xfId="0" applyFont="1" applyAlignment="1">
      <alignment vertical="top"/>
    </xf>
    <xf numFmtId="0" fontId="0" fillId="0" borderId="53" xfId="0" quotePrefix="1" applyBorder="1" applyAlignment="1">
      <alignment horizontal="center" vertical="center"/>
    </xf>
    <xf numFmtId="0" fontId="32" fillId="0" borderId="0" xfId="0" quotePrefix="1" applyFont="1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37" fillId="0" borderId="0" xfId="0" quotePrefix="1" applyFont="1" applyFill="1" applyAlignment="1">
      <alignment horizontal="left"/>
    </xf>
    <xf numFmtId="0" fontId="37" fillId="0" borderId="0" xfId="0" quotePrefix="1" applyFont="1" applyFill="1" applyAlignment="1">
      <alignment horizontal="left" vertical="top"/>
    </xf>
    <xf numFmtId="0" fontId="36" fillId="0" borderId="0" xfId="0" quotePrefix="1" applyFont="1" applyFill="1" applyAlignment="1">
      <alignment horizontal="left" vertical="top"/>
    </xf>
    <xf numFmtId="0" fontId="39" fillId="0" borderId="0" xfId="0" quotePrefix="1" applyFont="1" applyAlignment="1">
      <alignment horizontal="left"/>
    </xf>
    <xf numFmtId="0" fontId="39" fillId="0" borderId="0" xfId="0" applyFont="1" applyAlignment="1">
      <alignment vertical="top"/>
    </xf>
    <xf numFmtId="0" fontId="39" fillId="0" borderId="0" xfId="0" applyFont="1" applyAlignment="1">
      <alignment vertical="center"/>
    </xf>
    <xf numFmtId="0" fontId="39" fillId="0" borderId="0" xfId="0" quotePrefix="1" applyFont="1" applyAlignment="1">
      <alignment horizontal="left" vertical="top"/>
    </xf>
    <xf numFmtId="0" fontId="35" fillId="0" borderId="0" xfId="0" quotePrefix="1" applyFont="1" applyAlignment="1">
      <alignment horizontal="left"/>
    </xf>
    <xf numFmtId="0" fontId="24" fillId="0" borderId="0" xfId="0" quotePrefix="1" applyFont="1" applyAlignment="1">
      <alignment horizontal="right" vertical="center"/>
    </xf>
    <xf numFmtId="0" fontId="41" fillId="0" borderId="0" xfId="0" applyFont="1"/>
    <xf numFmtId="0" fontId="42" fillId="0" borderId="0" xfId="0" applyFont="1"/>
    <xf numFmtId="0" fontId="0" fillId="0" borderId="0" xfId="0" quotePrefix="1" applyAlignment="1">
      <alignment horizontal="left"/>
    </xf>
    <xf numFmtId="0" fontId="43" fillId="0" borderId="0" xfId="0" quotePrefix="1" applyFont="1" applyAlignment="1">
      <alignment horizontal="left" vertical="center"/>
    </xf>
    <xf numFmtId="0" fontId="31" fillId="0" borderId="54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  <xf numFmtId="0" fontId="45" fillId="0" borderId="56" xfId="0" applyFont="1" applyBorder="1" applyAlignment="1">
      <alignment horizontal="center" vertical="center"/>
    </xf>
    <xf numFmtId="0" fontId="46" fillId="0" borderId="56" xfId="0" applyFont="1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distributed" vertical="center"/>
    </xf>
    <xf numFmtId="176" fontId="0" fillId="0" borderId="0" xfId="0" applyNumberFormat="1" applyAlignment="1">
      <alignment vertical="center"/>
    </xf>
    <xf numFmtId="0" fontId="0" fillId="0" borderId="32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32" xfId="0" quotePrefix="1" applyBorder="1" applyAlignment="1">
      <alignment horizontal="left" vertical="center"/>
    </xf>
    <xf numFmtId="0" fontId="0" fillId="0" borderId="57" xfId="0" applyBorder="1" applyAlignment="1">
      <alignment vertical="center"/>
    </xf>
    <xf numFmtId="176" fontId="0" fillId="0" borderId="8" xfId="0" applyNumberFormat="1" applyBorder="1" applyAlignment="1">
      <alignment vertical="center"/>
    </xf>
    <xf numFmtId="0" fontId="0" fillId="0" borderId="59" xfId="0" applyBorder="1" applyAlignment="1">
      <alignment vertical="center"/>
    </xf>
    <xf numFmtId="0" fontId="0" fillId="0" borderId="60" xfId="0" applyBorder="1" applyAlignment="1">
      <alignment vertical="center"/>
    </xf>
    <xf numFmtId="176" fontId="15" fillId="0" borderId="61" xfId="0" applyNumberFormat="1" applyFont="1" applyBorder="1" applyAlignment="1">
      <alignment vertical="center"/>
    </xf>
    <xf numFmtId="176" fontId="15" fillId="0" borderId="5" xfId="0" applyNumberFormat="1" applyFont="1" applyBorder="1" applyAlignment="1">
      <alignment vertical="center"/>
    </xf>
    <xf numFmtId="0" fontId="4" fillId="0" borderId="0" xfId="0" quotePrefix="1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8" fillId="0" borderId="0" xfId="0" quotePrefix="1" applyFont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11" fillId="0" borderId="0" xfId="0" applyFont="1" applyAlignment="1">
      <alignment vertical="center"/>
    </xf>
    <xf numFmtId="0" fontId="11" fillId="0" borderId="46" xfId="0" applyFont="1" applyBorder="1" applyAlignment="1">
      <alignment vertical="center"/>
    </xf>
    <xf numFmtId="0" fontId="0" fillId="12" borderId="0" xfId="0" applyFill="1" applyAlignment="1">
      <alignment vertical="center"/>
    </xf>
    <xf numFmtId="0" fontId="49" fillId="0" borderId="0" xfId="0" quotePrefix="1" applyFont="1" applyAlignment="1">
      <alignment horizontal="left" vertical="center"/>
    </xf>
    <xf numFmtId="0" fontId="51" fillId="0" borderId="0" xfId="0" quotePrefix="1" applyFont="1" applyAlignment="1">
      <alignment horizontal="left" vertical="center"/>
    </xf>
    <xf numFmtId="0" fontId="0" fillId="11" borderId="62" xfId="0" applyFill="1" applyBorder="1"/>
    <xf numFmtId="0" fontId="0" fillId="13" borderId="51" xfId="0" applyFill="1" applyBorder="1"/>
    <xf numFmtId="0" fontId="0" fillId="13" borderId="64" xfId="0" applyFill="1" applyBorder="1"/>
    <xf numFmtId="0" fontId="52" fillId="13" borderId="52" xfId="0" applyFont="1" applyFill="1" applyBorder="1" applyAlignment="1">
      <alignment horizontal="left" vertical="center"/>
    </xf>
    <xf numFmtId="0" fontId="54" fillId="0" borderId="0" xfId="0" applyFont="1" applyAlignment="1">
      <alignment vertical="center"/>
    </xf>
    <xf numFmtId="0" fontId="4" fillId="0" borderId="0" xfId="0" quotePrefix="1" applyFont="1" applyAlignment="1">
      <alignment horizontal="left" vertical="center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vertical="top"/>
    </xf>
    <xf numFmtId="0" fontId="55" fillId="0" borderId="0" xfId="0" quotePrefix="1" applyFont="1" applyAlignment="1">
      <alignment horizontal="left"/>
    </xf>
    <xf numFmtId="0" fontId="55" fillId="0" borderId="0" xfId="0" quotePrefix="1" applyFont="1" applyAlignment="1">
      <alignment horizontal="left" vertical="top"/>
    </xf>
    <xf numFmtId="178" fontId="7" fillId="14" borderId="65" xfId="0" applyNumberFormat="1" applyFont="1" applyFill="1" applyBorder="1" applyAlignment="1" applyProtection="1">
      <alignment vertical="center"/>
      <protection locked="0"/>
    </xf>
    <xf numFmtId="178" fontId="7" fillId="14" borderId="66" xfId="0" applyNumberFormat="1" applyFont="1" applyFill="1" applyBorder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5" xfId="0" quotePrefix="1" applyBorder="1" applyAlignment="1">
      <alignment horizontal="center" vertical="center"/>
    </xf>
    <xf numFmtId="0" fontId="52" fillId="13" borderId="67" xfId="0" quotePrefix="1" applyFont="1" applyFill="1" applyBorder="1" applyAlignment="1">
      <alignment horizontal="left" vertical="center"/>
    </xf>
    <xf numFmtId="176" fontId="12" fillId="0" borderId="25" xfId="0" applyNumberFormat="1" applyFont="1" applyBorder="1" applyAlignment="1">
      <alignment vertical="center"/>
    </xf>
    <xf numFmtId="0" fontId="0" fillId="0" borderId="32" xfId="0" quotePrefix="1" applyBorder="1" applyAlignment="1">
      <alignment horizontal="center" vertical="center"/>
    </xf>
    <xf numFmtId="0" fontId="0" fillId="0" borderId="69" xfId="0" quotePrefix="1" applyBorder="1" applyAlignment="1">
      <alignment horizontal="center" vertical="center"/>
    </xf>
    <xf numFmtId="0" fontId="0" fillId="0" borderId="70" xfId="0" quotePrefix="1" applyBorder="1" applyAlignment="1">
      <alignment horizontal="center" vertical="center"/>
    </xf>
    <xf numFmtId="0" fontId="0" fillId="0" borderId="71" xfId="0" applyBorder="1" applyAlignment="1">
      <alignment vertical="center"/>
    </xf>
    <xf numFmtId="176" fontId="12" fillId="0" borderId="25" xfId="0" applyNumberFormat="1" applyFont="1" applyBorder="1" applyAlignment="1">
      <alignment vertical="center" shrinkToFit="1"/>
    </xf>
    <xf numFmtId="176" fontId="15" fillId="0" borderId="5" xfId="0" applyNumberFormat="1" applyFont="1" applyBorder="1" applyAlignment="1">
      <alignment vertical="center" shrinkToFit="1"/>
    </xf>
    <xf numFmtId="176" fontId="15" fillId="0" borderId="61" xfId="0" applyNumberFormat="1" applyFont="1" applyBorder="1" applyAlignment="1">
      <alignment vertical="center" shrinkToFit="1"/>
    </xf>
    <xf numFmtId="176" fontId="12" fillId="0" borderId="8" xfId="0" applyNumberFormat="1" applyFont="1" applyBorder="1" applyAlignment="1">
      <alignment vertical="center" shrinkToFit="1"/>
    </xf>
    <xf numFmtId="0" fontId="0" fillId="0" borderId="72" xfId="0" applyBorder="1" applyAlignment="1">
      <alignment vertical="center"/>
    </xf>
    <xf numFmtId="0" fontId="0" fillId="0" borderId="75" xfId="0" quotePrefix="1" applyBorder="1" applyAlignment="1">
      <alignment horizontal="center" vertical="center"/>
    </xf>
    <xf numFmtId="176" fontId="12" fillId="0" borderId="8" xfId="0" applyNumberFormat="1" applyFont="1" applyBorder="1" applyAlignment="1">
      <alignment vertical="center"/>
    </xf>
    <xf numFmtId="176" fontId="0" fillId="0" borderId="61" xfId="0" applyNumberFormat="1" applyBorder="1" applyAlignment="1">
      <alignment vertical="center"/>
    </xf>
    <xf numFmtId="0" fontId="3" fillId="0" borderId="0" xfId="0" applyFont="1" applyAlignment="1" applyProtection="1">
      <alignment vertical="center" shrinkToFit="1"/>
      <protection locked="0"/>
    </xf>
    <xf numFmtId="181" fontId="4" fillId="0" borderId="0" xfId="0" applyNumberFormat="1" applyFont="1" applyAlignment="1" applyProtection="1">
      <alignment vertical="center" shrinkToFit="1"/>
      <protection locked="0"/>
    </xf>
    <xf numFmtId="181" fontId="4" fillId="0" borderId="0" xfId="0" quotePrefix="1" applyNumberFormat="1" applyFont="1" applyAlignment="1" applyProtection="1">
      <alignment vertical="center" shrinkToFit="1"/>
      <protection locked="0"/>
    </xf>
    <xf numFmtId="181" fontId="4" fillId="0" borderId="18" xfId="0" applyNumberFormat="1" applyFont="1" applyBorder="1" applyAlignment="1" applyProtection="1">
      <alignment vertical="center" shrinkToFit="1"/>
      <protection locked="0"/>
    </xf>
    <xf numFmtId="0" fontId="3" fillId="0" borderId="0" xfId="0" quotePrefix="1" applyFont="1" applyAlignment="1" applyProtection="1">
      <alignment horizontal="left" vertical="center" shrinkToFit="1"/>
      <protection locked="0"/>
    </xf>
    <xf numFmtId="181" fontId="0" fillId="0" borderId="7" xfId="0" applyNumberFormat="1" applyBorder="1" applyAlignment="1">
      <alignment vertical="center" shrinkToFit="1"/>
    </xf>
    <xf numFmtId="181" fontId="0" fillId="0" borderId="30" xfId="0" applyNumberFormat="1" applyBorder="1" applyAlignment="1">
      <alignment vertical="center" shrinkToFit="1"/>
    </xf>
    <xf numFmtId="181" fontId="0" fillId="0" borderId="8" xfId="0" applyNumberFormat="1" applyBorder="1" applyAlignment="1">
      <alignment vertical="center" shrinkToFit="1"/>
    </xf>
    <xf numFmtId="181" fontId="3" fillId="0" borderId="0" xfId="0" applyNumberFormat="1" applyFont="1" applyAlignment="1" applyProtection="1">
      <alignment vertical="center" shrinkToFit="1"/>
      <protection locked="0"/>
    </xf>
    <xf numFmtId="181" fontId="3" fillId="0" borderId="0" xfId="0" quotePrefix="1" applyNumberFormat="1" applyFont="1" applyAlignment="1" applyProtection="1">
      <alignment vertical="center" shrinkToFit="1"/>
      <protection locked="0"/>
    </xf>
    <xf numFmtId="0" fontId="0" fillId="0" borderId="57" xfId="0" applyBorder="1" applyAlignment="1">
      <alignment vertical="center"/>
    </xf>
    <xf numFmtId="176" fontId="0" fillId="0" borderId="21" xfId="0" applyNumberFormat="1" applyFont="1" applyFill="1" applyBorder="1" applyAlignment="1" applyProtection="1">
      <alignment vertical="center" shrinkToFit="1"/>
      <protection locked="0"/>
    </xf>
    <xf numFmtId="0" fontId="3" fillId="0" borderId="0" xfId="0" quotePrefix="1" applyFont="1" applyAlignment="1">
      <alignment horizontal="left"/>
    </xf>
    <xf numFmtId="0" fontId="3" fillId="0" borderId="0" xfId="0" quotePrefix="1" applyFont="1" applyAlignment="1">
      <alignment horizontal="left" vertical="center"/>
    </xf>
    <xf numFmtId="176" fontId="0" fillId="0" borderId="8" xfId="0" applyNumberFormat="1" applyFont="1" applyBorder="1" applyAlignment="1">
      <alignment vertical="center"/>
    </xf>
    <xf numFmtId="176" fontId="15" fillId="0" borderId="7" xfId="0" applyNumberFormat="1" applyFont="1" applyBorder="1" applyAlignment="1">
      <alignment vertical="center"/>
    </xf>
    <xf numFmtId="176" fontId="15" fillId="0" borderId="7" xfId="0" applyNumberFormat="1" applyFont="1" applyBorder="1" applyAlignment="1">
      <alignment vertical="center" shrinkToFit="1"/>
    </xf>
    <xf numFmtId="0" fontId="46" fillId="0" borderId="101" xfId="0" applyFont="1" applyBorder="1" applyAlignment="1">
      <alignment horizontal="center" vertical="center"/>
    </xf>
    <xf numFmtId="0" fontId="46" fillId="0" borderId="100" xfId="0" applyFont="1" applyFill="1" applyBorder="1" applyAlignment="1">
      <alignment horizontal="center" vertical="center"/>
    </xf>
    <xf numFmtId="176" fontId="0" fillId="0" borderId="8" xfId="0" applyNumberFormat="1" applyFont="1" applyBorder="1" applyAlignment="1">
      <alignment vertical="center" shrinkToFit="1"/>
    </xf>
    <xf numFmtId="0" fontId="0" fillId="0" borderId="57" xfId="0" applyBorder="1" applyAlignment="1">
      <alignment vertical="center"/>
    </xf>
    <xf numFmtId="38" fontId="76" fillId="0" borderId="0" xfId="1" applyNumberFormat="1" applyFont="1" applyAlignment="1">
      <alignment vertical="center"/>
    </xf>
    <xf numFmtId="38" fontId="76" fillId="0" borderId="104" xfId="1" applyNumberFormat="1" applyFont="1" applyBorder="1" applyAlignment="1">
      <alignment horizontal="center" vertical="center" shrinkToFit="1"/>
    </xf>
    <xf numFmtId="38" fontId="77" fillId="0" borderId="0" xfId="1" applyNumberFormat="1" applyFont="1" applyAlignment="1">
      <alignment vertical="center"/>
    </xf>
    <xf numFmtId="0" fontId="76" fillId="0" borderId="0" xfId="1" applyNumberFormat="1" applyFont="1" applyAlignment="1">
      <alignment vertical="center"/>
    </xf>
    <xf numFmtId="0" fontId="72" fillId="0" borderId="0" xfId="3" applyFont="1" applyAlignment="1"/>
    <xf numFmtId="38" fontId="72" fillId="0" borderId="0" xfId="3" applyNumberFormat="1" applyFont="1" applyAlignment="1"/>
    <xf numFmtId="3" fontId="72" fillId="0" borderId="0" xfId="3" applyNumberFormat="1" applyFont="1" applyAlignment="1"/>
    <xf numFmtId="177" fontId="79" fillId="0" borderId="0" xfId="4" applyNumberFormat="1" applyFont="1">
      <alignment vertical="center"/>
    </xf>
    <xf numFmtId="177" fontId="79" fillId="0" borderId="0" xfId="4" applyNumberFormat="1" applyFont="1" applyAlignment="1">
      <alignment vertical="center" shrinkToFit="1"/>
    </xf>
    <xf numFmtId="177" fontId="79" fillId="0" borderId="104" xfId="4" applyNumberFormat="1" applyFont="1" applyBorder="1" applyAlignment="1">
      <alignment horizontal="center" vertical="center"/>
    </xf>
    <xf numFmtId="177" fontId="79" fillId="0" borderId="0" xfId="4" applyNumberFormat="1" applyFont="1" applyAlignment="1">
      <alignment horizontal="center" vertical="center"/>
    </xf>
    <xf numFmtId="177" fontId="81" fillId="18" borderId="104" xfId="4" applyNumberFormat="1" applyFont="1" applyFill="1" applyBorder="1" applyAlignment="1">
      <alignment horizontal="center" vertical="center"/>
    </xf>
    <xf numFmtId="177" fontId="82" fillId="18" borderId="104" xfId="4" applyNumberFormat="1" applyFont="1" applyFill="1" applyBorder="1" applyAlignment="1">
      <alignment horizontal="center" vertical="center" shrinkToFit="1"/>
    </xf>
    <xf numFmtId="177" fontId="83" fillId="0" borderId="104" xfId="4" applyNumberFormat="1" applyFont="1" applyBorder="1">
      <alignment vertical="center"/>
    </xf>
    <xf numFmtId="177" fontId="79" fillId="0" borderId="104" xfId="4" applyNumberFormat="1" applyFont="1" applyFill="1" applyBorder="1" applyAlignment="1">
      <alignment vertical="center" shrinkToFit="1"/>
    </xf>
    <xf numFmtId="177" fontId="79" fillId="0" borderId="104" xfId="4" applyNumberFormat="1" applyFont="1" applyFill="1" applyBorder="1" applyAlignment="1">
      <alignment horizontal="center" vertical="center"/>
    </xf>
    <xf numFmtId="177" fontId="83" fillId="0" borderId="104" xfId="4" applyNumberFormat="1" applyFont="1" applyFill="1" applyBorder="1">
      <alignment vertical="center"/>
    </xf>
    <xf numFmtId="177" fontId="79" fillId="19" borderId="104" xfId="4" applyNumberFormat="1" applyFont="1" applyFill="1" applyBorder="1">
      <alignment vertical="center"/>
    </xf>
    <xf numFmtId="177" fontId="84" fillId="19" borderId="104" xfId="4" applyNumberFormat="1" applyFont="1" applyFill="1" applyBorder="1" applyAlignment="1">
      <alignment horizontal="center" vertical="center" shrinkToFit="1"/>
    </xf>
    <xf numFmtId="177" fontId="79" fillId="0" borderId="104" xfId="4" applyNumberFormat="1" applyFont="1" applyBorder="1">
      <alignment vertical="center"/>
    </xf>
    <xf numFmtId="177" fontId="79" fillId="0" borderId="104" xfId="4" applyNumberFormat="1" applyFont="1" applyBorder="1" applyAlignment="1">
      <alignment vertical="center" shrinkToFit="1"/>
    </xf>
    <xf numFmtId="176" fontId="15" fillId="0" borderId="27" xfId="0" applyNumberFormat="1" applyFont="1" applyBorder="1" applyAlignment="1">
      <alignment vertical="center"/>
    </xf>
    <xf numFmtId="176" fontId="15" fillId="0" borderId="27" xfId="0" applyNumberFormat="1" applyFont="1" applyBorder="1" applyAlignment="1">
      <alignment vertical="center" shrinkToFit="1"/>
    </xf>
    <xf numFmtId="0" fontId="0" fillId="0" borderId="94" xfId="0" applyBorder="1" applyAlignment="1">
      <alignment vertical="center"/>
    </xf>
    <xf numFmtId="176" fontId="0" fillId="0" borderId="99" xfId="0" applyNumberFormat="1" applyFont="1" applyBorder="1" applyAlignment="1">
      <alignment vertical="center"/>
    </xf>
    <xf numFmtId="176" fontId="0" fillId="0" borderId="99" xfId="0" applyNumberFormat="1" applyFont="1" applyBorder="1" applyAlignment="1">
      <alignment vertical="center" shrinkToFit="1"/>
    </xf>
    <xf numFmtId="176" fontId="15" fillId="0" borderId="118" xfId="0" applyNumberFormat="1" applyFont="1" applyBorder="1" applyAlignment="1">
      <alignment vertical="center"/>
    </xf>
    <xf numFmtId="176" fontId="15" fillId="0" borderId="118" xfId="0" applyNumberFormat="1" applyFont="1" applyBorder="1" applyAlignment="1">
      <alignment vertical="center" shrinkToFit="1"/>
    </xf>
    <xf numFmtId="0" fontId="0" fillId="0" borderId="121" xfId="0" quotePrefix="1" applyBorder="1" applyAlignment="1">
      <alignment horizontal="center" vertical="center"/>
    </xf>
    <xf numFmtId="0" fontId="0" fillId="0" borderId="123" xfId="0" applyBorder="1" applyAlignment="1">
      <alignment vertical="center"/>
    </xf>
    <xf numFmtId="176" fontId="0" fillId="0" borderId="124" xfId="0" applyNumberFormat="1" applyBorder="1" applyAlignment="1">
      <alignment vertical="center"/>
    </xf>
    <xf numFmtId="176" fontId="0" fillId="0" borderId="124" xfId="0" applyNumberFormat="1" applyBorder="1" applyAlignment="1">
      <alignment vertical="center" shrinkToFit="1"/>
    </xf>
    <xf numFmtId="0" fontId="0" fillId="0" borderId="92" xfId="0" applyBorder="1" applyAlignment="1">
      <alignment vertical="center"/>
    </xf>
    <xf numFmtId="176" fontId="0" fillId="0" borderId="5" xfId="0" applyNumberFormat="1" applyBorder="1" applyAlignment="1">
      <alignment vertical="center"/>
    </xf>
    <xf numFmtId="176" fontId="0" fillId="0" borderId="5" xfId="0" applyNumberFormat="1" applyBorder="1" applyAlignment="1">
      <alignment vertical="center" shrinkToFit="1"/>
    </xf>
    <xf numFmtId="0" fontId="0" fillId="0" borderId="10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176" fontId="0" fillId="0" borderId="129" xfId="0" applyNumberFormat="1" applyBorder="1" applyAlignment="1">
      <alignment vertical="center" shrinkToFit="1"/>
    </xf>
    <xf numFmtId="176" fontId="0" fillId="0" borderId="130" xfId="0" applyNumberFormat="1" applyBorder="1" applyAlignment="1">
      <alignment vertical="center" shrinkToFit="1"/>
    </xf>
    <xf numFmtId="176" fontId="0" fillId="0" borderId="131" xfId="0" applyNumberFormat="1" applyBorder="1" applyAlignment="1">
      <alignment vertical="center" shrinkToFit="1"/>
    </xf>
    <xf numFmtId="176" fontId="0" fillId="0" borderId="127" xfId="0" applyNumberFormat="1" applyBorder="1" applyAlignment="1">
      <alignment vertical="center" shrinkToFit="1"/>
    </xf>
    <xf numFmtId="0" fontId="0" fillId="0" borderId="81" xfId="0" quotePrefix="1" applyBorder="1" applyAlignment="1">
      <alignment horizontal="center" vertical="center"/>
    </xf>
    <xf numFmtId="176" fontId="0" fillId="0" borderId="25" xfId="0" applyNumberFormat="1" applyBorder="1" applyAlignment="1">
      <alignment vertical="center"/>
    </xf>
    <xf numFmtId="0" fontId="0" fillId="0" borderId="80" xfId="0" applyBorder="1" applyAlignment="1">
      <alignment vertical="center"/>
    </xf>
    <xf numFmtId="0" fontId="27" fillId="11" borderId="63" xfId="0" quotePrefix="1" applyFont="1" applyFill="1" applyBorder="1" applyAlignment="1">
      <alignment horizontal="left" vertical="center" shrinkToFit="1"/>
    </xf>
    <xf numFmtId="176" fontId="0" fillId="0" borderId="61" xfId="0" applyNumberFormat="1" applyBorder="1" applyAlignment="1">
      <alignment vertical="center" shrinkToFit="1"/>
    </xf>
    <xf numFmtId="176" fontId="0" fillId="0" borderId="76" xfId="0" applyNumberFormat="1" applyBorder="1" applyAlignment="1">
      <alignment vertical="center"/>
    </xf>
    <xf numFmtId="176" fontId="0" fillId="0" borderId="76" xfId="0" applyNumberFormat="1" applyBorder="1" applyAlignment="1">
      <alignment vertical="center" shrinkToFit="1"/>
    </xf>
    <xf numFmtId="176" fontId="0" fillId="5" borderId="11" xfId="0" applyNumberFormat="1" applyFill="1" applyBorder="1" applyAlignment="1" applyProtection="1">
      <alignment vertical="center" shrinkToFit="1"/>
      <protection locked="0"/>
    </xf>
    <xf numFmtId="0" fontId="0" fillId="4" borderId="13" xfId="0" applyFill="1" applyBorder="1" applyAlignment="1" applyProtection="1">
      <alignment vertical="center" shrinkToFit="1"/>
      <protection locked="0"/>
    </xf>
    <xf numFmtId="176" fontId="0" fillId="0" borderId="13" xfId="0" applyNumberFormat="1" applyFont="1" applyFill="1" applyBorder="1" applyAlignment="1" applyProtection="1">
      <alignment vertical="center" shrinkToFit="1"/>
      <protection locked="0"/>
    </xf>
    <xf numFmtId="176" fontId="0" fillId="0" borderId="11" xfId="0" applyNumberFormat="1" applyFont="1" applyFill="1" applyBorder="1" applyAlignment="1" applyProtection="1">
      <alignment vertical="center" shrinkToFit="1"/>
      <protection locked="0"/>
    </xf>
    <xf numFmtId="176" fontId="0" fillId="0" borderId="135" xfId="0" applyNumberFormat="1" applyBorder="1" applyAlignment="1">
      <alignment vertical="center" shrinkToFit="1"/>
    </xf>
    <xf numFmtId="176" fontId="0" fillId="0" borderId="65" xfId="0" applyNumberFormat="1" applyBorder="1" applyAlignment="1">
      <alignment vertical="center" shrinkToFit="1"/>
    </xf>
    <xf numFmtId="14" fontId="85" fillId="0" borderId="0" xfId="0" applyNumberFormat="1" applyFont="1" applyAlignment="1" applyProtection="1">
      <alignment vertical="center" shrinkToFit="1"/>
      <protection locked="0"/>
    </xf>
    <xf numFmtId="0" fontId="85" fillId="0" borderId="0" xfId="0" applyFont="1" applyAlignment="1" applyProtection="1">
      <alignment vertical="center" shrinkToFit="1"/>
      <protection locked="0"/>
    </xf>
    <xf numFmtId="0" fontId="85" fillId="0" borderId="18" xfId="0" applyFont="1" applyBorder="1" applyAlignment="1" applyProtection="1">
      <alignment vertical="center" shrinkToFit="1"/>
      <protection locked="0"/>
    </xf>
    <xf numFmtId="0" fontId="1" fillId="0" borderId="0" xfId="5">
      <alignment vertical="center"/>
    </xf>
    <xf numFmtId="0" fontId="1" fillId="0" borderId="0" xfId="5" applyAlignment="1">
      <alignment vertical="center"/>
    </xf>
    <xf numFmtId="0" fontId="87" fillId="0" borderId="0" xfId="5" applyFont="1" applyAlignment="1">
      <alignment horizontal="justify" vertical="center"/>
    </xf>
    <xf numFmtId="0" fontId="87" fillId="0" borderId="0" xfId="5" applyFont="1" applyAlignment="1">
      <alignment horizontal="left" vertical="center"/>
    </xf>
    <xf numFmtId="0" fontId="87" fillId="0" borderId="0" xfId="5" applyFont="1" applyAlignment="1">
      <alignment horizontal="right" vertical="center"/>
    </xf>
    <xf numFmtId="0" fontId="87" fillId="0" borderId="10" xfId="5" applyFont="1" applyBorder="1" applyAlignment="1">
      <alignment horizontal="center" vertical="center" wrapText="1"/>
    </xf>
    <xf numFmtId="0" fontId="87" fillId="0" borderId="10" xfId="5" applyFont="1" applyBorder="1" applyAlignment="1">
      <alignment horizontal="justify" vertical="center"/>
    </xf>
    <xf numFmtId="0" fontId="87" fillId="0" borderId="10" xfId="5" applyFont="1" applyBorder="1" applyAlignment="1">
      <alignment horizontal="justify" vertical="center" wrapText="1"/>
    </xf>
    <xf numFmtId="0" fontId="87" fillId="0" borderId="81" xfId="5" applyFont="1" applyBorder="1" applyAlignment="1">
      <alignment horizontal="justify" vertical="center" wrapText="1"/>
    </xf>
    <xf numFmtId="0" fontId="87" fillId="0" borderId="146" xfId="5" applyFont="1" applyBorder="1" applyAlignment="1">
      <alignment horizontal="justify" vertical="center" wrapText="1"/>
    </xf>
    <xf numFmtId="0" fontId="87" fillId="0" borderId="148" xfId="5" applyFont="1" applyBorder="1" applyAlignment="1">
      <alignment vertical="center" shrinkToFit="1"/>
    </xf>
    <xf numFmtId="0" fontId="87" fillId="0" borderId="32" xfId="5" applyFont="1" applyBorder="1" applyAlignment="1">
      <alignment horizontal="center" vertical="center" wrapText="1"/>
    </xf>
    <xf numFmtId="0" fontId="88" fillId="0" borderId="19" xfId="5" applyFont="1" applyBorder="1" applyAlignment="1">
      <alignment horizontal="center" vertical="center" wrapText="1"/>
    </xf>
    <xf numFmtId="0" fontId="87" fillId="0" borderId="148" xfId="5" applyFont="1" applyBorder="1" applyAlignment="1">
      <alignment horizontal="justify" vertical="center" wrapText="1"/>
    </xf>
    <xf numFmtId="0" fontId="87" fillId="0" borderId="1" xfId="5" applyFont="1" applyBorder="1" applyAlignment="1">
      <alignment horizontal="justify" vertical="center" wrapText="1"/>
    </xf>
    <xf numFmtId="38" fontId="74" fillId="0" borderId="105" xfId="5" applyNumberFormat="1" applyFont="1" applyFill="1" applyBorder="1" applyAlignment="1">
      <alignment vertical="center"/>
    </xf>
    <xf numFmtId="38" fontId="74" fillId="0" borderId="107" xfId="5" applyNumberFormat="1" applyFont="1" applyBorder="1" applyAlignment="1">
      <alignment vertical="center"/>
    </xf>
    <xf numFmtId="0" fontId="87" fillId="0" borderId="146" xfId="5" applyFont="1" applyBorder="1" applyAlignment="1">
      <alignment horizontal="center" vertical="center" shrinkToFit="1"/>
    </xf>
    <xf numFmtId="38" fontId="74" fillId="0" borderId="106" xfId="5" applyNumberFormat="1" applyFont="1" applyBorder="1" applyAlignment="1">
      <alignment vertical="center" shrinkToFit="1"/>
    </xf>
    <xf numFmtId="38" fontId="74" fillId="0" borderId="108" xfId="5" applyNumberFormat="1" applyFont="1" applyBorder="1" applyAlignment="1">
      <alignment vertical="center"/>
    </xf>
    <xf numFmtId="38" fontId="74" fillId="0" borderId="103" xfId="5" applyNumberFormat="1" applyFont="1" applyBorder="1" applyAlignment="1">
      <alignment vertical="center"/>
    </xf>
    <xf numFmtId="38" fontId="74" fillId="0" borderId="106" xfId="5" applyNumberFormat="1" applyFont="1" applyBorder="1" applyAlignment="1">
      <alignment vertical="center"/>
    </xf>
    <xf numFmtId="38" fontId="78" fillId="0" borderId="109" xfId="5" applyNumberFormat="1" applyFont="1" applyBorder="1" applyAlignment="1">
      <alignment vertical="center"/>
    </xf>
    <xf numFmtId="38" fontId="74" fillId="0" borderId="110" xfId="5" applyNumberFormat="1" applyFont="1" applyBorder="1" applyAlignment="1">
      <alignment vertical="center"/>
    </xf>
    <xf numFmtId="0" fontId="1" fillId="0" borderId="0" xfId="5" applyFont="1" applyBorder="1" applyAlignment="1">
      <alignment horizontal="left" vertical="center"/>
    </xf>
    <xf numFmtId="3" fontId="1" fillId="0" borderId="106" xfId="5" applyNumberFormat="1" applyBorder="1">
      <alignment vertical="center"/>
    </xf>
    <xf numFmtId="0" fontId="1" fillId="0" borderId="107" xfId="5" applyBorder="1">
      <alignment vertical="center"/>
    </xf>
    <xf numFmtId="38" fontId="1" fillId="0" borderId="106" xfId="5" applyNumberFormat="1" applyBorder="1">
      <alignment vertical="center"/>
    </xf>
    <xf numFmtId="0" fontId="1" fillId="0" borderId="0" xfId="5" applyAlignment="1">
      <alignment horizontal="center" vertical="center"/>
    </xf>
    <xf numFmtId="38" fontId="1" fillId="0" borderId="10" xfId="5" applyNumberFormat="1" applyBorder="1">
      <alignment vertical="center"/>
    </xf>
    <xf numFmtId="0" fontId="1" fillId="0" borderId="84" xfId="5" applyBorder="1">
      <alignment vertical="center"/>
    </xf>
    <xf numFmtId="0" fontId="87" fillId="0" borderId="158" xfId="5" applyFont="1" applyBorder="1" applyAlignment="1">
      <alignment vertical="center" shrinkToFit="1"/>
    </xf>
    <xf numFmtId="0" fontId="87" fillId="0" borderId="160" xfId="5" applyFont="1" applyBorder="1" applyAlignment="1">
      <alignment horizontal="justify" vertical="center" wrapText="1"/>
    </xf>
    <xf numFmtId="0" fontId="87" fillId="0" borderId="149" xfId="5" applyFont="1" applyBorder="1" applyAlignment="1">
      <alignment horizontal="justify" vertical="center" wrapText="1"/>
    </xf>
    <xf numFmtId="0" fontId="0" fillId="0" borderId="10" xfId="0" quotePrefix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38" fontId="94" fillId="0" borderId="0" xfId="1" applyNumberFormat="1" applyFont="1" applyAlignment="1">
      <alignment vertical="center"/>
    </xf>
    <xf numFmtId="176" fontId="0" fillId="0" borderId="128" xfId="0" applyNumberFormat="1" applyBorder="1" applyAlignment="1">
      <alignment vertical="center" shrinkToFit="1"/>
    </xf>
    <xf numFmtId="176" fontId="0" fillId="0" borderId="161" xfId="0" applyNumberFormat="1" applyBorder="1" applyAlignment="1">
      <alignment vertical="center" shrinkToFit="1"/>
    </xf>
    <xf numFmtId="0" fontId="0" fillId="21" borderId="131" xfId="0" applyFill="1" applyBorder="1" applyAlignment="1" applyProtection="1">
      <alignment vertical="center" shrinkToFit="1"/>
      <protection locked="0"/>
    </xf>
    <xf numFmtId="0" fontId="0" fillId="21" borderId="21" xfId="0" applyFill="1" applyBorder="1" applyAlignment="1" applyProtection="1">
      <alignment vertical="center" shrinkToFit="1"/>
      <protection locked="0"/>
    </xf>
    <xf numFmtId="0" fontId="0" fillId="21" borderId="21" xfId="0" applyFill="1" applyBorder="1" applyAlignment="1" applyProtection="1">
      <alignment horizontal="left" vertical="center" shrinkToFit="1"/>
      <protection locked="0"/>
    </xf>
    <xf numFmtId="0" fontId="0" fillId="21" borderId="128" xfId="0" applyFill="1" applyBorder="1" applyAlignment="1" applyProtection="1">
      <alignment vertical="center" shrinkToFit="1"/>
      <protection locked="0"/>
    </xf>
    <xf numFmtId="0" fontId="0" fillId="21" borderId="13" xfId="0" applyFill="1" applyBorder="1" applyAlignment="1" applyProtection="1">
      <alignment vertical="center" shrinkToFit="1"/>
      <protection locked="0"/>
    </xf>
    <xf numFmtId="0" fontId="0" fillId="22" borderId="11" xfId="0" applyFill="1" applyBorder="1" applyAlignment="1" applyProtection="1">
      <alignment vertical="center" shrinkToFit="1"/>
      <protection locked="0"/>
    </xf>
    <xf numFmtId="0" fontId="0" fillId="22" borderId="128" xfId="0" applyFill="1" applyBorder="1" applyAlignment="1" applyProtection="1">
      <alignment vertical="center" shrinkToFit="1"/>
      <protection locked="0"/>
    </xf>
    <xf numFmtId="0" fontId="0" fillId="23" borderId="135" xfId="0" applyFill="1" applyBorder="1" applyAlignment="1" applyProtection="1">
      <alignment vertical="center" shrinkToFit="1"/>
      <protection locked="0"/>
    </xf>
    <xf numFmtId="0" fontId="0" fillId="23" borderId="21" xfId="0" applyFill="1" applyBorder="1" applyAlignment="1" applyProtection="1">
      <alignment vertical="center" shrinkToFit="1"/>
      <protection locked="0"/>
    </xf>
    <xf numFmtId="0" fontId="0" fillId="23" borderId="128" xfId="0" applyFill="1" applyBorder="1" applyAlignment="1" applyProtection="1">
      <alignment vertical="center" shrinkToFit="1"/>
      <protection locked="0"/>
    </xf>
    <xf numFmtId="38" fontId="76" fillId="24" borderId="104" xfId="1" applyNumberFormat="1" applyFont="1" applyFill="1" applyBorder="1" applyAlignment="1" applyProtection="1">
      <alignment vertical="center"/>
      <protection locked="0"/>
    </xf>
    <xf numFmtId="38" fontId="76" fillId="24" borderId="104" xfId="1" applyNumberFormat="1" applyFont="1" applyFill="1" applyBorder="1" applyAlignment="1" applyProtection="1">
      <alignment horizontal="center" vertical="center"/>
      <protection locked="0"/>
    </xf>
    <xf numFmtId="176" fontId="12" fillId="25" borderId="25" xfId="0" applyNumberFormat="1" applyFont="1" applyFill="1" applyBorder="1" applyAlignment="1" applyProtection="1">
      <alignment vertical="center"/>
      <protection locked="0"/>
    </xf>
    <xf numFmtId="176" fontId="0" fillId="25" borderId="99" xfId="0" applyNumberFormat="1" applyFill="1" applyBorder="1" applyAlignment="1" applyProtection="1">
      <alignment vertical="center"/>
      <protection locked="0"/>
    </xf>
    <xf numFmtId="176" fontId="0" fillId="20" borderId="131" xfId="0" applyNumberFormat="1" applyFill="1" applyBorder="1" applyAlignment="1" applyProtection="1">
      <alignment vertical="center" shrinkToFit="1"/>
      <protection locked="0"/>
    </xf>
    <xf numFmtId="176" fontId="0" fillId="20" borderId="21" xfId="0" applyNumberFormat="1" applyFill="1" applyBorder="1" applyAlignment="1" applyProtection="1">
      <alignment vertical="center" shrinkToFit="1"/>
      <protection locked="0"/>
    </xf>
    <xf numFmtId="176" fontId="0" fillId="20" borderId="128" xfId="0" applyNumberFormat="1" applyFill="1" applyBorder="1" applyAlignment="1" applyProtection="1">
      <alignment vertical="center" shrinkToFit="1"/>
      <protection locked="0"/>
    </xf>
    <xf numFmtId="0" fontId="0" fillId="26" borderId="131" xfId="0" applyFill="1" applyBorder="1" applyAlignment="1" applyProtection="1">
      <alignment vertical="center" shrinkToFit="1"/>
      <protection locked="0"/>
    </xf>
    <xf numFmtId="0" fontId="0" fillId="26" borderId="21" xfId="0" applyFill="1" applyBorder="1" applyAlignment="1" applyProtection="1">
      <alignment vertical="center" shrinkToFit="1"/>
      <protection locked="0"/>
    </xf>
    <xf numFmtId="0" fontId="0" fillId="26" borderId="128" xfId="0" applyFill="1" applyBorder="1" applyAlignment="1" applyProtection="1">
      <alignment vertical="center" shrinkToFit="1"/>
      <protection locked="0"/>
    </xf>
    <xf numFmtId="176" fontId="0" fillId="25" borderId="134" xfId="0" applyNumberFormat="1" applyFill="1" applyBorder="1" applyAlignment="1" applyProtection="1">
      <alignment vertical="center"/>
      <protection locked="0"/>
    </xf>
    <xf numFmtId="176" fontId="0" fillId="25" borderId="8" xfId="0" applyNumberFormat="1" applyFill="1" applyBorder="1" applyAlignment="1" applyProtection="1">
      <alignment vertical="center"/>
      <protection locked="0"/>
    </xf>
    <xf numFmtId="176" fontId="0" fillId="20" borderId="7" xfId="0" applyNumberFormat="1" applyFill="1" applyBorder="1" applyAlignment="1" applyProtection="1">
      <alignment vertical="center"/>
      <protection locked="0"/>
    </xf>
    <xf numFmtId="176" fontId="0" fillId="20" borderId="8" xfId="0" applyNumberFormat="1" applyFont="1" applyFill="1" applyBorder="1" applyAlignment="1" applyProtection="1">
      <alignment vertical="center"/>
      <protection locked="0"/>
    </xf>
    <xf numFmtId="176" fontId="0" fillId="20" borderId="61" xfId="0" applyNumberFormat="1" applyFont="1" applyFill="1" applyBorder="1" applyAlignment="1" applyProtection="1">
      <alignment vertical="center"/>
      <protection locked="0"/>
    </xf>
    <xf numFmtId="176" fontId="0" fillId="20" borderId="99" xfId="0" applyNumberFormat="1" applyFont="1" applyFill="1" applyBorder="1" applyAlignment="1" applyProtection="1">
      <alignment vertical="center"/>
      <protection locked="0"/>
    </xf>
    <xf numFmtId="176" fontId="0" fillId="20" borderId="21" xfId="0" applyNumberFormat="1" applyFont="1" applyFill="1" applyBorder="1" applyAlignment="1" applyProtection="1">
      <alignment vertical="center" shrinkToFit="1"/>
      <protection locked="0"/>
    </xf>
    <xf numFmtId="176" fontId="0" fillId="20" borderId="128" xfId="0" applyNumberFormat="1" applyFont="1" applyFill="1" applyBorder="1" applyAlignment="1" applyProtection="1">
      <alignment vertical="center" shrinkToFit="1"/>
      <protection locked="0"/>
    </xf>
    <xf numFmtId="176" fontId="0" fillId="20" borderId="13" xfId="0" applyNumberFormat="1" applyFont="1" applyFill="1" applyBorder="1" applyAlignment="1" applyProtection="1">
      <alignment vertical="center" shrinkToFit="1"/>
      <protection locked="0"/>
    </xf>
    <xf numFmtId="176" fontId="0" fillId="24" borderId="73" xfId="0" applyNumberFormat="1" applyFill="1" applyBorder="1" applyAlignment="1" applyProtection="1">
      <alignment vertical="center" shrinkToFit="1"/>
      <protection locked="0"/>
    </xf>
    <xf numFmtId="0" fontId="0" fillId="24" borderId="74" xfId="0" applyFill="1" applyBorder="1" applyAlignment="1" applyProtection="1">
      <alignment vertical="center" shrinkToFit="1"/>
      <protection locked="0"/>
    </xf>
    <xf numFmtId="176" fontId="0" fillId="24" borderId="97" xfId="0" applyNumberFormat="1" applyFill="1" applyBorder="1" applyAlignment="1" applyProtection="1">
      <alignment vertical="center" shrinkToFit="1"/>
      <protection locked="0"/>
    </xf>
    <xf numFmtId="0" fontId="0" fillId="24" borderId="98" xfId="0" applyFill="1" applyBorder="1" applyAlignment="1" applyProtection="1">
      <alignment vertical="center" shrinkToFit="1"/>
      <protection locked="0"/>
    </xf>
    <xf numFmtId="176" fontId="0" fillId="24" borderId="58" xfId="0" applyNumberFormat="1" applyFill="1" applyBorder="1" applyAlignment="1" applyProtection="1">
      <alignment vertical="center" shrinkToFit="1"/>
      <protection locked="0"/>
    </xf>
    <xf numFmtId="0" fontId="0" fillId="24" borderId="68" xfId="0" applyFill="1" applyBorder="1" applyAlignment="1" applyProtection="1">
      <alignment vertical="center" shrinkToFit="1"/>
      <protection locked="0"/>
    </xf>
    <xf numFmtId="176" fontId="0" fillId="24" borderId="87" xfId="0" applyNumberFormat="1" applyFill="1" applyBorder="1" applyAlignment="1" applyProtection="1">
      <alignment vertical="center" shrinkToFit="1"/>
      <protection locked="0"/>
    </xf>
    <xf numFmtId="0" fontId="0" fillId="24" borderId="88" xfId="0" applyFill="1" applyBorder="1" applyAlignment="1" applyProtection="1">
      <alignment vertical="center" shrinkToFit="1"/>
      <protection locked="0"/>
    </xf>
    <xf numFmtId="0" fontId="0" fillId="0" borderId="57" xfId="0" applyBorder="1" applyAlignment="1">
      <alignment vertical="center"/>
    </xf>
    <xf numFmtId="0" fontId="0" fillId="0" borderId="96" xfId="0" applyBorder="1" applyAlignment="1">
      <alignment horizontal="distributed" vertical="center"/>
    </xf>
    <xf numFmtId="0" fontId="0" fillId="0" borderId="19" xfId="0" quotePrefix="1" applyBorder="1" applyAlignment="1">
      <alignment horizontal="center" vertical="center"/>
    </xf>
    <xf numFmtId="0" fontId="91" fillId="24" borderId="81" xfId="5" applyFont="1" applyFill="1" applyBorder="1" applyAlignment="1" applyProtection="1">
      <alignment horizontal="center" vertical="center" shrinkToFit="1"/>
      <protection locked="0"/>
    </xf>
    <xf numFmtId="177" fontId="92" fillId="24" borderId="82" xfId="5" applyNumberFormat="1" applyFont="1" applyFill="1" applyBorder="1" applyAlignment="1" applyProtection="1">
      <alignment vertical="center" shrinkToFit="1"/>
      <protection locked="0"/>
    </xf>
    <xf numFmtId="0" fontId="92" fillId="24" borderId="82" xfId="5" applyFont="1" applyFill="1" applyBorder="1" applyAlignment="1" applyProtection="1">
      <alignment horizontal="left" vertical="center" shrinkToFit="1"/>
      <protection locked="0"/>
    </xf>
    <xf numFmtId="182" fontId="92" fillId="24" borderId="82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82" xfId="5" applyNumberFormat="1" applyFont="1" applyFill="1" applyBorder="1" applyAlignment="1" applyProtection="1">
      <alignment horizontal="center" vertical="center" shrinkToFit="1"/>
      <protection locked="0"/>
    </xf>
    <xf numFmtId="184" fontId="92" fillId="24" borderId="133" xfId="5" applyNumberFormat="1" applyFont="1" applyFill="1" applyBorder="1" applyAlignment="1" applyProtection="1">
      <alignment horizontal="center" vertical="center" shrinkToFit="1"/>
      <protection locked="0"/>
    </xf>
    <xf numFmtId="0" fontId="91" fillId="24" borderId="32" xfId="5" applyFont="1" applyFill="1" applyBorder="1" applyAlignment="1" applyProtection="1">
      <alignment horizontal="center" vertical="center" shrinkToFit="1"/>
      <protection locked="0"/>
    </xf>
    <xf numFmtId="177" fontId="92" fillId="24" borderId="0" xfId="5" applyNumberFormat="1" applyFont="1" applyFill="1" applyBorder="1" applyAlignment="1" applyProtection="1">
      <alignment vertical="center" shrinkToFit="1"/>
      <protection locked="0"/>
    </xf>
    <xf numFmtId="0" fontId="92" fillId="24" borderId="0" xfId="5" applyFont="1" applyFill="1" applyBorder="1" applyAlignment="1" applyProtection="1">
      <alignment horizontal="center" vertical="center" shrinkToFit="1"/>
      <protection locked="0"/>
    </xf>
    <xf numFmtId="182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74" xfId="5" applyFont="1" applyFill="1" applyBorder="1" applyAlignment="1" applyProtection="1">
      <alignment horizontal="center" vertical="center" shrinkToFit="1"/>
      <protection locked="0"/>
    </xf>
    <xf numFmtId="185" fontId="92" fillId="24" borderId="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74" xfId="5" applyNumberFormat="1" applyFont="1" applyFill="1" applyBorder="1" applyAlignment="1" applyProtection="1">
      <alignment horizontal="center" vertical="center" shrinkToFit="1"/>
      <protection locked="0"/>
    </xf>
    <xf numFmtId="0" fontId="91" fillId="24" borderId="19" xfId="5" applyFont="1" applyFill="1" applyBorder="1" applyAlignment="1" applyProtection="1">
      <alignment horizontal="center" vertical="center" shrinkToFit="1"/>
      <protection locked="0"/>
    </xf>
    <xf numFmtId="0" fontId="92" fillId="24" borderId="18" xfId="5" applyFont="1" applyFill="1" applyBorder="1" applyAlignment="1" applyProtection="1">
      <alignment horizontal="center" vertical="center" shrinkToFit="1"/>
      <protection locked="0"/>
    </xf>
    <xf numFmtId="0" fontId="92" fillId="24" borderId="114" xfId="5" applyFont="1" applyFill="1" applyBorder="1" applyAlignment="1" applyProtection="1">
      <alignment horizontal="center" vertical="center" shrinkToFit="1"/>
      <protection locked="0"/>
    </xf>
    <xf numFmtId="0" fontId="91" fillId="24" borderId="139" xfId="5" applyFont="1" applyFill="1" applyBorder="1" applyAlignment="1" applyProtection="1">
      <alignment horizontal="center" vertical="center" shrinkToFit="1"/>
      <protection locked="0"/>
    </xf>
    <xf numFmtId="177" fontId="92" fillId="24" borderId="100" xfId="5" applyNumberFormat="1" applyFont="1" applyFill="1" applyBorder="1" applyAlignment="1" applyProtection="1">
      <alignment vertical="center" shrinkToFit="1"/>
      <protection locked="0"/>
    </xf>
    <xf numFmtId="0" fontId="92" fillId="24" borderId="100" xfId="5" applyFont="1" applyFill="1" applyBorder="1" applyAlignment="1" applyProtection="1">
      <alignment horizontal="left" vertical="center" shrinkToFit="1"/>
      <protection locked="0"/>
    </xf>
    <xf numFmtId="182" fontId="92" fillId="24" borderId="100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100" xfId="5" applyNumberFormat="1" applyFont="1" applyFill="1" applyBorder="1" applyAlignment="1" applyProtection="1">
      <alignment horizontal="center" vertical="center" shrinkToFit="1"/>
      <protection locked="0"/>
    </xf>
    <xf numFmtId="184" fontId="92" fillId="24" borderId="141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143" xfId="5" applyFont="1" applyFill="1" applyBorder="1" applyAlignment="1" applyProtection="1">
      <alignment horizontal="center" vertical="center" shrinkToFit="1"/>
      <protection locked="0"/>
    </xf>
    <xf numFmtId="183" fontId="92" fillId="24" borderId="143" xfId="5" applyNumberFormat="1" applyFont="1" applyFill="1" applyBorder="1" applyAlignment="1" applyProtection="1">
      <alignment horizontal="center" vertical="center" shrinkToFit="1"/>
      <protection locked="0"/>
    </xf>
    <xf numFmtId="177" fontId="92" fillId="24" borderId="18" xfId="5" applyNumberFormat="1" applyFont="1" applyFill="1" applyBorder="1" applyAlignment="1" applyProtection="1">
      <alignment vertical="center" shrinkToFit="1"/>
      <protection locked="0"/>
    </xf>
    <xf numFmtId="185" fontId="92" fillId="24" borderId="18" xfId="5" applyNumberFormat="1" applyFont="1" applyFill="1" applyBorder="1" applyAlignment="1" applyProtection="1">
      <alignment horizontal="center" vertical="center" shrinkToFit="1"/>
      <protection locked="0"/>
    </xf>
    <xf numFmtId="183" fontId="92" fillId="24" borderId="18" xfId="5" applyNumberFormat="1" applyFont="1" applyFill="1" applyBorder="1" applyAlignment="1" applyProtection="1">
      <alignment horizontal="center" vertical="center" shrinkToFit="1"/>
      <protection locked="0"/>
    </xf>
    <xf numFmtId="0" fontId="92" fillId="24" borderId="145" xfId="5" applyFont="1" applyFill="1" applyBorder="1" applyAlignment="1" applyProtection="1">
      <alignment horizontal="center" vertical="center" shrinkToFit="1"/>
      <protection locked="0"/>
    </xf>
    <xf numFmtId="3" fontId="93" fillId="24" borderId="10" xfId="5" applyNumberFormat="1" applyFont="1" applyFill="1" applyBorder="1" applyAlignment="1" applyProtection="1">
      <alignment vertical="center" wrapText="1"/>
      <protection locked="0"/>
    </xf>
    <xf numFmtId="0" fontId="1" fillId="24" borderId="91" xfId="5" applyFill="1" applyBorder="1" applyAlignment="1" applyProtection="1">
      <alignment horizontal="center" vertical="center" wrapText="1"/>
      <protection locked="0"/>
    </xf>
    <xf numFmtId="0" fontId="93" fillId="24" borderId="91" xfId="5" applyFont="1" applyFill="1" applyBorder="1" applyAlignment="1" applyProtection="1">
      <alignment horizontal="center" vertical="center" wrapText="1"/>
      <protection locked="0"/>
    </xf>
    <xf numFmtId="0" fontId="1" fillId="24" borderId="84" xfId="5" applyFill="1" applyBorder="1" applyAlignment="1" applyProtection="1">
      <alignment horizontal="justify" vertical="center" wrapText="1"/>
      <protection locked="0"/>
    </xf>
    <xf numFmtId="3" fontId="86" fillId="24" borderId="81" xfId="5" applyNumberFormat="1" applyFont="1" applyFill="1" applyBorder="1" applyAlignment="1" applyProtection="1">
      <alignment vertical="center" wrapText="1"/>
      <protection locked="0"/>
    </xf>
    <xf numFmtId="0" fontId="1" fillId="24" borderId="82" xfId="5" applyFill="1" applyBorder="1" applyAlignment="1" applyProtection="1">
      <alignment horizontal="center" vertical="center" wrapText="1"/>
      <protection locked="0"/>
    </xf>
    <xf numFmtId="0" fontId="86" fillId="24" borderId="82" xfId="5" applyFont="1" applyFill="1" applyBorder="1" applyAlignment="1" applyProtection="1">
      <alignment horizontal="center" vertical="center" wrapText="1"/>
      <protection locked="0"/>
    </xf>
    <xf numFmtId="3" fontId="93" fillId="24" borderId="153" xfId="5" applyNumberFormat="1" applyFont="1" applyFill="1" applyBorder="1" applyAlignment="1" applyProtection="1">
      <alignment vertical="center" wrapText="1"/>
      <protection locked="0"/>
    </xf>
    <xf numFmtId="0" fontId="93" fillId="24" borderId="155" xfId="5" applyFont="1" applyFill="1" applyBorder="1" applyAlignment="1" applyProtection="1">
      <alignment horizontal="center" vertical="center" wrapText="1"/>
      <protection locked="0"/>
    </xf>
    <xf numFmtId="0" fontId="92" fillId="24" borderId="155" xfId="5" applyFont="1" applyFill="1" applyBorder="1" applyAlignment="1" applyProtection="1">
      <alignment horizontal="center" vertical="center" wrapText="1"/>
      <protection locked="0"/>
    </xf>
    <xf numFmtId="0" fontId="92" fillId="24" borderId="156" xfId="5" applyFont="1" applyFill="1" applyBorder="1" applyAlignment="1" applyProtection="1">
      <alignment horizontal="justify" vertical="center" wrapText="1"/>
      <protection locked="0"/>
    </xf>
    <xf numFmtId="3" fontId="92" fillId="24" borderId="81" xfId="5" applyNumberFormat="1" applyFont="1" applyFill="1" applyBorder="1" applyAlignment="1" applyProtection="1">
      <alignment vertical="center" wrapText="1"/>
      <protection locked="0"/>
    </xf>
    <xf numFmtId="0" fontId="92" fillId="24" borderId="82" xfId="5" applyFont="1" applyFill="1" applyBorder="1" applyAlignment="1" applyProtection="1">
      <alignment horizontal="center" vertical="center" wrapText="1"/>
      <protection locked="0"/>
    </xf>
    <xf numFmtId="0" fontId="0" fillId="0" borderId="71" xfId="0" quotePrefix="1" applyBorder="1" applyAlignment="1">
      <alignment horizontal="left" vertical="center"/>
    </xf>
    <xf numFmtId="0" fontId="0" fillId="0" borderId="71" xfId="0" quotePrefix="1" applyBorder="1" applyAlignment="1">
      <alignment horizontal="center" vertical="center"/>
    </xf>
    <xf numFmtId="176" fontId="0" fillId="0" borderId="99" xfId="0" applyNumberFormat="1" applyBorder="1" applyAlignment="1">
      <alignment vertical="center"/>
    </xf>
    <xf numFmtId="176" fontId="12" fillId="0" borderId="99" xfId="0" applyNumberFormat="1" applyFont="1" applyBorder="1" applyAlignment="1">
      <alignment vertical="center" shrinkToFit="1"/>
    </xf>
    <xf numFmtId="176" fontId="0" fillId="0" borderId="87" xfId="0" applyNumberFormat="1" applyBorder="1" applyAlignment="1" applyProtection="1">
      <alignment vertical="center" shrinkToFit="1"/>
      <protection locked="0"/>
    </xf>
    <xf numFmtId="176" fontId="0" fillId="0" borderId="88" xfId="0" applyNumberFormat="1" applyBorder="1" applyAlignment="1" applyProtection="1">
      <alignment vertical="center" shrinkToFit="1"/>
      <protection locked="0"/>
    </xf>
    <xf numFmtId="176" fontId="0" fillId="0" borderId="76" xfId="0" applyNumberFormat="1" applyFont="1" applyBorder="1" applyAlignment="1">
      <alignment vertical="center"/>
    </xf>
    <xf numFmtId="176" fontId="0" fillId="0" borderId="76" xfId="0" applyNumberFormat="1" applyFont="1" applyBorder="1" applyAlignment="1">
      <alignment vertical="center" shrinkToFit="1"/>
    </xf>
    <xf numFmtId="176" fontId="15" fillId="0" borderId="7" xfId="0" applyNumberFormat="1" applyFont="1" applyBorder="1" applyAlignment="1" applyProtection="1">
      <alignment vertical="center"/>
      <protection locked="0"/>
    </xf>
    <xf numFmtId="176" fontId="0" fillId="24" borderId="61" xfId="0" applyNumberFormat="1" applyFill="1" applyBorder="1" applyAlignment="1" applyProtection="1">
      <alignment vertical="center"/>
      <protection locked="0"/>
    </xf>
    <xf numFmtId="176" fontId="0" fillId="0" borderId="5" xfId="0" applyNumberFormat="1" applyFill="1" applyBorder="1" applyAlignment="1">
      <alignment vertical="center"/>
    </xf>
    <xf numFmtId="176" fontId="0" fillId="24" borderId="8" xfId="0" applyNumberFormat="1" applyFill="1" applyBorder="1" applyAlignment="1" applyProtection="1">
      <alignment vertical="center"/>
      <protection locked="0"/>
    </xf>
    <xf numFmtId="176" fontId="0" fillId="24" borderId="99" xfId="0" applyNumberFormat="1" applyFill="1" applyBorder="1" applyAlignment="1" applyProtection="1">
      <alignment vertical="center"/>
      <protection locked="0"/>
    </xf>
    <xf numFmtId="176" fontId="0" fillId="24" borderId="8" xfId="0" applyNumberFormat="1" applyFont="1" applyFill="1" applyBorder="1" applyAlignment="1" applyProtection="1">
      <alignment vertical="center"/>
      <protection locked="0"/>
    </xf>
    <xf numFmtId="176" fontId="0" fillId="24" borderId="76" xfId="0" applyNumberFormat="1" applyFont="1" applyFill="1" applyBorder="1" applyAlignment="1" applyProtection="1">
      <alignment vertical="center"/>
      <protection locked="0"/>
    </xf>
    <xf numFmtId="176" fontId="12" fillId="24" borderId="25" xfId="0" applyNumberFormat="1" applyFont="1" applyFill="1" applyBorder="1" applyAlignment="1" applyProtection="1">
      <alignment vertical="center"/>
      <protection locked="0"/>
    </xf>
    <xf numFmtId="176" fontId="0" fillId="24" borderId="25" xfId="0" applyNumberFormat="1" applyFill="1" applyBorder="1" applyAlignment="1" applyProtection="1">
      <alignment vertical="center"/>
      <protection locked="0"/>
    </xf>
    <xf numFmtId="176" fontId="0" fillId="24" borderId="76" xfId="0" applyNumberFormat="1" applyFill="1" applyBorder="1" applyAlignment="1" applyProtection="1">
      <alignment vertical="center"/>
      <protection locked="0"/>
    </xf>
    <xf numFmtId="176" fontId="0" fillId="24" borderId="124" xfId="0" applyNumberFormat="1" applyFill="1" applyBorder="1" applyAlignment="1" applyProtection="1">
      <alignment vertical="center"/>
      <protection locked="0"/>
    </xf>
    <xf numFmtId="0" fontId="6" fillId="0" borderId="0" xfId="0" applyFont="1" applyFill="1" applyBorder="1" applyAlignment="1" applyProtection="1">
      <alignment horizontal="center" vertical="center" shrinkToFit="1"/>
      <protection locked="0"/>
    </xf>
    <xf numFmtId="0" fontId="0" fillId="0" borderId="1" xfId="0" applyBorder="1" applyAlignment="1">
      <alignment horizontal="center" vertical="center" wrapText="1"/>
    </xf>
    <xf numFmtId="0" fontId="28" fillId="0" borderId="0" xfId="0" quotePrefix="1" applyFont="1" applyAlignment="1">
      <alignment horizontal="center"/>
    </xf>
    <xf numFmtId="0" fontId="29" fillId="0" borderId="0" xfId="0" applyFont="1" applyAlignment="1">
      <alignment horizontal="center"/>
    </xf>
    <xf numFmtId="0" fontId="6" fillId="0" borderId="0" xfId="0" applyFont="1" applyAlignment="1">
      <alignment horizontal="center" vertical="center" shrinkToFit="1"/>
    </xf>
    <xf numFmtId="0" fontId="6" fillId="15" borderId="77" xfId="0" applyFont="1" applyFill="1" applyBorder="1" applyAlignment="1" applyProtection="1">
      <alignment horizontal="center" vertical="center" shrinkToFit="1"/>
      <protection locked="0"/>
    </xf>
    <xf numFmtId="0" fontId="6" fillId="15" borderId="78" xfId="0" applyFont="1" applyFill="1" applyBorder="1" applyAlignment="1" applyProtection="1">
      <alignment horizontal="center" vertical="center" shrinkToFit="1"/>
      <protection locked="0"/>
    </xf>
    <xf numFmtId="0" fontId="6" fillId="15" borderId="79" xfId="0" applyFont="1" applyFill="1" applyBorder="1" applyAlignment="1" applyProtection="1">
      <alignment horizontal="center" vertical="center" shrinkToFit="1"/>
      <protection locked="0"/>
    </xf>
    <xf numFmtId="0" fontId="0" fillId="0" borderId="19" xfId="0" quotePrefix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80" xfId="0" applyBorder="1" applyAlignment="1">
      <alignment horizontal="center" vertical="center" shrinkToFit="1"/>
    </xf>
    <xf numFmtId="0" fontId="0" fillId="0" borderId="5" xfId="0" quotePrefix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7" fillId="0" borderId="0" xfId="0" applyFont="1" applyAlignment="1">
      <alignment horizontal="left" vertical="top" shrinkToFit="1"/>
    </xf>
    <xf numFmtId="0" fontId="4" fillId="0" borderId="0" xfId="0" applyFont="1" applyAlignment="1">
      <alignment horizontal="right" vertical="top" shrinkToFit="1"/>
    </xf>
    <xf numFmtId="0" fontId="0" fillId="0" borderId="0" xfId="0" applyAlignment="1">
      <alignment shrinkToFit="1"/>
    </xf>
    <xf numFmtId="0" fontId="0" fillId="0" borderId="81" xfId="0" quotePrefix="1" applyBorder="1" applyAlignment="1">
      <alignment horizontal="center" vertical="center" shrinkToFit="1"/>
    </xf>
    <xf numFmtId="0" fontId="0" fillId="0" borderId="82" xfId="0" applyBorder="1" applyAlignment="1">
      <alignment horizontal="center" vertical="center" shrinkToFit="1"/>
    </xf>
    <xf numFmtId="0" fontId="0" fillId="0" borderId="59" xfId="0" applyBorder="1" applyAlignment="1">
      <alignment horizontal="center" vertical="center" shrinkToFit="1"/>
    </xf>
    <xf numFmtId="0" fontId="0" fillId="0" borderId="10" xfId="0" applyBorder="1" applyAlignment="1">
      <alignment horizontal="distributed" vertical="center" indent="1"/>
    </xf>
    <xf numFmtId="0" fontId="0" fillId="0" borderId="91" xfId="0" applyBorder="1" applyAlignment="1">
      <alignment horizontal="distributed" vertical="center" indent="1"/>
    </xf>
    <xf numFmtId="0" fontId="0" fillId="0" borderId="93" xfId="0" applyBorder="1" applyAlignment="1">
      <alignment horizontal="distributed" vertical="center" justifyLastLine="1"/>
    </xf>
    <xf numFmtId="176" fontId="12" fillId="24" borderId="87" xfId="0" applyNumberFormat="1" applyFont="1" applyFill="1" applyBorder="1" applyAlignment="1" applyProtection="1">
      <alignment vertical="center" shrinkToFit="1"/>
      <protection locked="0"/>
    </xf>
    <xf numFmtId="0" fontId="12" fillId="24" borderId="88" xfId="0" applyFont="1" applyFill="1" applyBorder="1" applyAlignment="1" applyProtection="1">
      <alignment vertical="center" shrinkToFit="1"/>
      <protection locked="0"/>
    </xf>
    <xf numFmtId="0" fontId="0" fillId="0" borderId="94" xfId="0" applyBorder="1" applyAlignment="1">
      <alignment horizontal="distributed" vertical="center" justifyLastLine="1"/>
    </xf>
    <xf numFmtId="176" fontId="0" fillId="24" borderId="58" xfId="0" applyNumberFormat="1" applyFill="1" applyBorder="1" applyAlignment="1" applyProtection="1">
      <alignment vertical="center" shrinkToFit="1"/>
      <protection locked="0"/>
    </xf>
    <xf numFmtId="0" fontId="0" fillId="24" borderId="68" xfId="0" applyFill="1" applyBorder="1" applyAlignment="1" applyProtection="1">
      <alignment vertical="center" shrinkToFit="1"/>
      <protection locked="0"/>
    </xf>
    <xf numFmtId="0" fontId="0" fillId="0" borderId="95" xfId="0" applyBorder="1" applyAlignment="1">
      <alignment horizontal="distributed" vertical="center" justifyLastLine="1"/>
    </xf>
    <xf numFmtId="0" fontId="0" fillId="0" borderId="91" xfId="0" applyBorder="1" applyAlignment="1">
      <alignment horizontal="distributed" vertical="center"/>
    </xf>
    <xf numFmtId="0" fontId="0" fillId="0" borderId="91" xfId="0" applyBorder="1" applyAlignment="1">
      <alignment vertical="center"/>
    </xf>
    <xf numFmtId="176" fontId="0" fillId="0" borderId="83" xfId="0" applyNumberFormat="1" applyBorder="1" applyAlignment="1" applyProtection="1">
      <alignment vertical="center" shrinkToFit="1"/>
      <protection locked="0"/>
    </xf>
    <xf numFmtId="0" fontId="0" fillId="0" borderId="84" xfId="0" applyBorder="1" applyAlignment="1" applyProtection="1">
      <alignment vertical="center" shrinkToFit="1"/>
      <protection locked="0"/>
    </xf>
    <xf numFmtId="0" fontId="0" fillId="0" borderId="57" xfId="0" applyBorder="1" applyAlignment="1">
      <alignment horizontal="distributed" vertical="center"/>
    </xf>
    <xf numFmtId="0" fontId="0" fillId="0" borderId="57" xfId="0" applyBorder="1" applyAlignment="1">
      <alignment vertical="center"/>
    </xf>
    <xf numFmtId="176" fontId="0" fillId="24" borderId="132" xfId="0" applyNumberFormat="1" applyFill="1" applyBorder="1" applyAlignment="1" applyProtection="1">
      <alignment vertical="center" shrinkToFit="1"/>
      <protection locked="0"/>
    </xf>
    <xf numFmtId="0" fontId="0" fillId="24" borderId="133" xfId="0" applyFill="1" applyBorder="1" applyAlignment="1" applyProtection="1">
      <alignment vertical="center" shrinkToFit="1"/>
      <protection locked="0"/>
    </xf>
    <xf numFmtId="176" fontId="0" fillId="24" borderId="125" xfId="0" applyNumberFormat="1" applyFill="1" applyBorder="1" applyAlignment="1" applyProtection="1">
      <alignment vertical="center" shrinkToFit="1"/>
      <protection locked="0"/>
    </xf>
    <xf numFmtId="0" fontId="0" fillId="24" borderId="126" xfId="0" applyFill="1" applyBorder="1" applyAlignment="1" applyProtection="1">
      <alignment vertical="center" shrinkToFit="1"/>
      <protection locked="0"/>
    </xf>
    <xf numFmtId="0" fontId="0" fillId="0" borderId="10" xfId="0" quotePrefix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0" borderId="122" xfId="0" applyBorder="1" applyAlignment="1">
      <alignment horizontal="distributed" vertical="center"/>
    </xf>
    <xf numFmtId="0" fontId="0" fillId="0" borderId="122" xfId="0" applyBorder="1" applyAlignment="1">
      <alignment vertical="center"/>
    </xf>
    <xf numFmtId="0" fontId="0" fillId="0" borderId="19" xfId="0" quotePrefix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176" fontId="12" fillId="0" borderId="113" xfId="0" applyNumberFormat="1" applyFont="1" applyBorder="1" applyAlignment="1" applyProtection="1">
      <alignment vertical="center"/>
      <protection locked="0"/>
    </xf>
    <xf numFmtId="0" fontId="12" fillId="0" borderId="114" xfId="0" applyFont="1" applyBorder="1" applyAlignment="1" applyProtection="1">
      <alignment vertical="center"/>
      <protection locked="0"/>
    </xf>
    <xf numFmtId="0" fontId="0" fillId="0" borderId="83" xfId="0" quotePrefix="1" applyBorder="1" applyAlignment="1" applyProtection="1">
      <alignment horizontal="center" vertical="center"/>
      <protection locked="0"/>
    </xf>
    <xf numFmtId="0" fontId="0" fillId="0" borderId="84" xfId="0" applyBorder="1" applyAlignment="1" applyProtection="1">
      <alignment vertical="center"/>
      <protection locked="0"/>
    </xf>
    <xf numFmtId="0" fontId="0" fillId="0" borderId="58" xfId="0" applyFont="1" applyBorder="1" applyAlignment="1">
      <alignment horizontal="distributed" vertical="center" indent="1" shrinkToFit="1"/>
    </xf>
    <xf numFmtId="0" fontId="0" fillId="0" borderId="57" xfId="0" applyFont="1" applyBorder="1" applyAlignment="1">
      <alignment horizontal="distributed" vertical="center" indent="1" shrinkToFit="1"/>
    </xf>
    <xf numFmtId="0" fontId="0" fillId="0" borderId="58" xfId="0" applyFont="1" applyBorder="1" applyAlignment="1">
      <alignment horizontal="center" vertical="center" shrinkToFit="1"/>
    </xf>
    <xf numFmtId="0" fontId="0" fillId="0" borderId="57" xfId="0" applyFont="1" applyBorder="1" applyAlignment="1">
      <alignment horizontal="center" vertical="center" shrinkToFit="1"/>
    </xf>
    <xf numFmtId="0" fontId="0" fillId="0" borderId="58" xfId="0" applyBorder="1" applyAlignment="1">
      <alignment horizontal="distributed" vertical="center" indent="1"/>
    </xf>
    <xf numFmtId="0" fontId="0" fillId="0" borderId="57" xfId="0" applyBorder="1" applyAlignment="1">
      <alignment horizontal="distributed" vertical="center" indent="1"/>
    </xf>
    <xf numFmtId="0" fontId="0" fillId="0" borderId="5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176" fontId="7" fillId="0" borderId="0" xfId="0" applyNumberFormat="1" applyFont="1" applyAlignment="1">
      <alignment vertical="center"/>
    </xf>
    <xf numFmtId="176" fontId="12" fillId="0" borderId="119" xfId="0" applyNumberFormat="1" applyFont="1" applyBorder="1" applyAlignment="1" applyProtection="1">
      <alignment vertical="center"/>
      <protection locked="0"/>
    </xf>
    <xf numFmtId="0" fontId="12" fillId="0" borderId="120" xfId="0" applyFont="1" applyBorder="1" applyAlignment="1" applyProtection="1">
      <alignment vertical="center"/>
      <protection locked="0"/>
    </xf>
    <xf numFmtId="176" fontId="12" fillId="24" borderId="97" xfId="0" applyNumberFormat="1" applyFont="1" applyFill="1" applyBorder="1" applyAlignment="1" applyProtection="1">
      <alignment vertical="center" shrinkToFit="1"/>
      <protection locked="0"/>
    </xf>
    <xf numFmtId="176" fontId="12" fillId="24" borderId="98" xfId="0" applyNumberFormat="1" applyFont="1" applyFill="1" applyBorder="1" applyAlignment="1" applyProtection="1">
      <alignment vertical="center" shrinkToFit="1"/>
      <protection locked="0"/>
    </xf>
    <xf numFmtId="0" fontId="0" fillId="0" borderId="91" xfId="0" quotePrefix="1" applyBorder="1" applyAlignment="1">
      <alignment horizontal="center" vertical="center"/>
    </xf>
    <xf numFmtId="0" fontId="0" fillId="0" borderId="92" xfId="0" quotePrefix="1" applyBorder="1" applyAlignment="1">
      <alignment horizontal="center" vertical="center"/>
    </xf>
    <xf numFmtId="0" fontId="0" fillId="0" borderId="84" xfId="0" quotePrefix="1" applyBorder="1" applyAlignment="1" applyProtection="1">
      <alignment horizontal="center" vertical="center"/>
      <protection locked="0"/>
    </xf>
    <xf numFmtId="176" fontId="12" fillId="0" borderId="87" xfId="0" applyNumberFormat="1" applyFont="1" applyBorder="1" applyAlignment="1" applyProtection="1">
      <alignment vertical="center" shrinkToFit="1"/>
      <protection locked="0"/>
    </xf>
    <xf numFmtId="176" fontId="12" fillId="0" borderId="88" xfId="0" applyNumberFormat="1" applyFont="1" applyBorder="1" applyAlignment="1" applyProtection="1">
      <alignment vertical="center" shrinkToFit="1"/>
      <protection locked="0"/>
    </xf>
    <xf numFmtId="176" fontId="0" fillId="24" borderId="68" xfId="0" applyNumberFormat="1" applyFill="1" applyBorder="1" applyAlignment="1" applyProtection="1">
      <alignment vertical="center" shrinkToFit="1"/>
      <protection locked="0"/>
    </xf>
    <xf numFmtId="176" fontId="12" fillId="0" borderId="83" xfId="0" applyNumberFormat="1" applyFont="1" applyBorder="1" applyAlignment="1" applyProtection="1">
      <alignment vertical="center"/>
      <protection locked="0"/>
    </xf>
    <xf numFmtId="176" fontId="12" fillId="0" borderId="84" xfId="0" applyNumberFormat="1" applyFont="1" applyBorder="1" applyAlignment="1" applyProtection="1">
      <alignment vertical="center"/>
      <protection locked="0"/>
    </xf>
    <xf numFmtId="176" fontId="12" fillId="24" borderId="58" xfId="0" applyNumberFormat="1" applyFont="1" applyFill="1" applyBorder="1" applyAlignment="1" applyProtection="1">
      <alignment vertical="center" shrinkToFit="1"/>
      <protection locked="0"/>
    </xf>
    <xf numFmtId="0" fontId="12" fillId="24" borderId="68" xfId="0" applyFont="1" applyFill="1" applyBorder="1" applyAlignment="1" applyProtection="1">
      <alignment vertical="center" shrinkToFit="1"/>
      <protection locked="0"/>
    </xf>
    <xf numFmtId="0" fontId="7" fillId="3" borderId="85" xfId="0" applyFont="1" applyFill="1" applyBorder="1" applyAlignment="1" applyProtection="1">
      <alignment horizontal="center" vertical="center" shrinkToFit="1"/>
      <protection locked="0"/>
    </xf>
    <xf numFmtId="0" fontId="0" fillId="3" borderId="86" xfId="0" applyFill="1" applyBorder="1" applyAlignment="1" applyProtection="1">
      <alignment horizontal="center" vertical="center" shrinkToFit="1"/>
      <protection locked="0"/>
    </xf>
    <xf numFmtId="0" fontId="7" fillId="16" borderId="57" xfId="0" applyFont="1" applyFill="1" applyBorder="1" applyAlignment="1" applyProtection="1">
      <alignment horizontal="center" vertical="center" shrinkToFit="1"/>
      <protection locked="0"/>
    </xf>
    <xf numFmtId="0" fontId="0" fillId="16" borderId="66" xfId="0" applyFill="1" applyBorder="1" applyAlignment="1" applyProtection="1">
      <alignment horizontal="center" vertical="center" shrinkToFit="1"/>
      <protection locked="0"/>
    </xf>
    <xf numFmtId="0" fontId="7" fillId="16" borderId="94" xfId="0" applyFont="1" applyFill="1" applyBorder="1" applyAlignment="1" applyProtection="1">
      <alignment horizontal="center" vertical="center" shrinkToFit="1"/>
      <protection locked="0"/>
    </xf>
    <xf numFmtId="0" fontId="0" fillId="16" borderId="102" xfId="0" applyFill="1" applyBorder="1" applyAlignment="1" applyProtection="1">
      <alignment horizontal="center" vertical="center" shrinkToFit="1"/>
      <protection locked="0"/>
    </xf>
    <xf numFmtId="0" fontId="7" fillId="0" borderId="100" xfId="0" quotePrefix="1" applyFont="1" applyFill="1" applyBorder="1" applyAlignment="1" applyProtection="1">
      <alignment horizontal="center" vertical="center" shrinkToFit="1"/>
      <protection locked="0"/>
    </xf>
    <xf numFmtId="0" fontId="0" fillId="0" borderId="100" xfId="0" applyFill="1" applyBorder="1" applyAlignment="1" applyProtection="1">
      <alignment horizontal="center" vertical="center" shrinkToFit="1"/>
      <protection locked="0"/>
    </xf>
    <xf numFmtId="0" fontId="0" fillId="0" borderId="93" xfId="0" applyBorder="1" applyAlignment="1">
      <alignment horizontal="distributed" vertical="center" indent="1"/>
    </xf>
    <xf numFmtId="0" fontId="0" fillId="0" borderId="94" xfId="0" applyBorder="1" applyAlignment="1">
      <alignment horizontal="distributed" vertical="center" indent="1"/>
    </xf>
    <xf numFmtId="0" fontId="50" fillId="0" borderId="0" xfId="0" quotePrefix="1" applyFont="1" applyAlignment="1">
      <alignment horizontal="left" vertical="center" shrinkToFit="1"/>
    </xf>
    <xf numFmtId="0" fontId="50" fillId="0" borderId="0" xfId="0" applyFont="1" applyAlignment="1">
      <alignment vertical="center" shrinkToFit="1"/>
    </xf>
    <xf numFmtId="0" fontId="53" fillId="17" borderId="89" xfId="0" applyFont="1" applyFill="1" applyBorder="1" applyAlignment="1" applyProtection="1">
      <alignment horizontal="center" vertical="center"/>
      <protection locked="0"/>
    </xf>
    <xf numFmtId="0" fontId="53" fillId="17" borderId="90" xfId="0" applyFont="1" applyFill="1" applyBorder="1" applyAlignment="1" applyProtection="1">
      <alignment horizontal="center" vertical="center"/>
      <protection locked="0"/>
    </xf>
    <xf numFmtId="0" fontId="47" fillId="0" borderId="0" xfId="0" applyFont="1" applyAlignment="1">
      <alignment horizontal="center" vertical="center" shrinkToFit="1"/>
    </xf>
    <xf numFmtId="0" fontId="0" fillId="0" borderId="83" xfId="0" quotePrefix="1" applyBorder="1" applyAlignment="1">
      <alignment horizontal="center" vertical="center"/>
    </xf>
    <xf numFmtId="0" fontId="0" fillId="0" borderId="84" xfId="0" applyBorder="1" applyAlignment="1">
      <alignment vertical="center"/>
    </xf>
    <xf numFmtId="0" fontId="0" fillId="0" borderId="95" xfId="0" applyBorder="1" applyAlignment="1">
      <alignment horizontal="distributed" vertical="center" indent="1"/>
    </xf>
    <xf numFmtId="0" fontId="0" fillId="0" borderId="18" xfId="0" applyBorder="1" applyAlignment="1">
      <alignment horizontal="distributed" vertical="center"/>
    </xf>
    <xf numFmtId="0" fontId="0" fillId="0" borderId="18" xfId="0" applyBorder="1" applyAlignment="1">
      <alignment vertical="center"/>
    </xf>
    <xf numFmtId="176" fontId="0" fillId="24" borderId="83" xfId="0" applyNumberFormat="1" applyFill="1" applyBorder="1" applyAlignment="1" applyProtection="1">
      <alignment vertical="center" shrinkToFit="1"/>
      <protection locked="0"/>
    </xf>
    <xf numFmtId="0" fontId="0" fillId="24" borderId="84" xfId="0" applyFill="1" applyBorder="1" applyAlignment="1" applyProtection="1">
      <alignment vertical="center" shrinkToFit="1"/>
      <protection locked="0"/>
    </xf>
    <xf numFmtId="0" fontId="3" fillId="0" borderId="94" xfId="0" applyFont="1" applyBorder="1" applyAlignment="1">
      <alignment horizontal="center" vertical="center" shrinkToFit="1"/>
    </xf>
    <xf numFmtId="0" fontId="0" fillId="0" borderId="81" xfId="0" applyBorder="1" applyAlignment="1">
      <alignment horizontal="distributed" vertical="center" indent="1"/>
    </xf>
    <xf numFmtId="0" fontId="0" fillId="0" borderId="82" xfId="0" applyBorder="1" applyAlignment="1">
      <alignment horizontal="distributed" vertical="center" indent="1"/>
    </xf>
    <xf numFmtId="0" fontId="0" fillId="0" borderId="59" xfId="0" applyBorder="1" applyAlignment="1">
      <alignment horizontal="distributed" vertical="center" indent="1"/>
    </xf>
    <xf numFmtId="0" fontId="0" fillId="0" borderId="84" xfId="0" quotePrefix="1" applyBorder="1" applyAlignment="1">
      <alignment horizontal="center" vertical="center"/>
    </xf>
    <xf numFmtId="176" fontId="0" fillId="0" borderId="111" xfId="0" applyNumberFormat="1" applyBorder="1" applyAlignment="1" applyProtection="1">
      <alignment vertical="center" shrinkToFit="1"/>
      <protection locked="0"/>
    </xf>
    <xf numFmtId="0" fontId="0" fillId="0" borderId="112" xfId="0" applyBorder="1" applyAlignment="1" applyProtection="1">
      <alignment vertical="center" shrinkToFit="1"/>
      <protection locked="0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horizontal="right" vertical="center" shrinkToFit="1"/>
    </xf>
    <xf numFmtId="0" fontId="0" fillId="0" borderId="58" xfId="0" applyBorder="1" applyAlignment="1">
      <alignment horizontal="left" vertical="center"/>
    </xf>
    <xf numFmtId="0" fontId="0" fillId="0" borderId="57" xfId="0" applyBorder="1" applyAlignment="1">
      <alignment horizontal="left" vertical="center"/>
    </xf>
    <xf numFmtId="0" fontId="59" fillId="0" borderId="58" xfId="0" applyFont="1" applyBorder="1" applyAlignment="1">
      <alignment horizontal="distributed" vertical="center"/>
    </xf>
    <xf numFmtId="0" fontId="59" fillId="0" borderId="57" xfId="0" applyFont="1" applyBorder="1" applyAlignment="1">
      <alignment horizontal="distributed" vertical="center"/>
    </xf>
    <xf numFmtId="0" fontId="0" fillId="0" borderId="115" xfId="0" quotePrefix="1" applyBorder="1" applyAlignment="1">
      <alignment horizontal="center" vertical="center"/>
    </xf>
    <xf numFmtId="0" fontId="0" fillId="0" borderId="116" xfId="0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176" fontId="0" fillId="24" borderId="111" xfId="0" applyNumberFormat="1" applyFill="1" applyBorder="1" applyAlignment="1" applyProtection="1">
      <alignment vertical="center" shrinkToFit="1"/>
      <protection locked="0"/>
    </xf>
    <xf numFmtId="176" fontId="0" fillId="24" borderId="112" xfId="0" applyNumberFormat="1" applyFill="1" applyBorder="1" applyAlignment="1" applyProtection="1">
      <alignment vertical="center" shrinkToFit="1"/>
      <protection locked="0"/>
    </xf>
    <xf numFmtId="0" fontId="87" fillId="0" borderId="0" xfId="5" applyFont="1" applyAlignment="1">
      <alignment horizontal="justify" vertical="center"/>
    </xf>
    <xf numFmtId="0" fontId="1" fillId="0" borderId="0" xfId="5" applyAlignment="1">
      <alignment vertical="center"/>
    </xf>
    <xf numFmtId="0" fontId="87" fillId="0" borderId="0" xfId="5" applyFont="1" applyAlignment="1">
      <alignment horizontal="center" vertical="center"/>
    </xf>
    <xf numFmtId="0" fontId="1" fillId="0" borderId="0" xfId="5" applyAlignment="1">
      <alignment horizontal="center" vertical="center"/>
    </xf>
    <xf numFmtId="0" fontId="87" fillId="0" borderId="10" xfId="5" applyFont="1" applyBorder="1" applyAlignment="1">
      <alignment horizontal="center" vertical="center" wrapText="1"/>
    </xf>
    <xf numFmtId="0" fontId="1" fillId="0" borderId="84" xfId="5" applyBorder="1" applyAlignment="1">
      <alignment horizontal="center" vertical="center" wrapText="1"/>
    </xf>
    <xf numFmtId="0" fontId="87" fillId="0" borderId="91" xfId="5" applyFont="1" applyBorder="1" applyAlignment="1">
      <alignment horizontal="center" vertical="center" wrapText="1"/>
    </xf>
    <xf numFmtId="0" fontId="1" fillId="0" borderId="91" xfId="5" applyBorder="1" applyAlignment="1">
      <alignment horizontal="center" vertical="center" wrapText="1"/>
    </xf>
    <xf numFmtId="0" fontId="87" fillId="0" borderId="136" xfId="5" applyFont="1" applyBorder="1" applyAlignment="1">
      <alignment horizontal="justify" vertical="center" wrapText="1"/>
    </xf>
    <xf numFmtId="0" fontId="87" fillId="0" borderId="129" xfId="5" applyFont="1" applyBorder="1" applyAlignment="1">
      <alignment horizontal="justify" vertical="center" wrapText="1"/>
    </xf>
    <xf numFmtId="0" fontId="1" fillId="0" borderId="129" xfId="5" applyBorder="1" applyAlignment="1">
      <alignment vertical="center" wrapText="1"/>
    </xf>
    <xf numFmtId="0" fontId="1" fillId="0" borderId="137" xfId="5" applyBorder="1" applyAlignment="1">
      <alignment vertical="center" wrapText="1"/>
    </xf>
    <xf numFmtId="3" fontId="3" fillId="0" borderId="81" xfId="5" applyNumberFormat="1" applyFont="1" applyBorder="1" applyAlignment="1">
      <alignment vertical="center" wrapText="1"/>
    </xf>
    <xf numFmtId="0" fontId="3" fillId="0" borderId="133" xfId="5" applyFont="1" applyBorder="1" applyAlignment="1">
      <alignment vertical="center" wrapText="1"/>
    </xf>
    <xf numFmtId="3" fontId="3" fillId="0" borderId="32" xfId="5" applyNumberFormat="1" applyFont="1" applyBorder="1" applyAlignment="1">
      <alignment vertical="center" wrapText="1"/>
    </xf>
    <xf numFmtId="0" fontId="3" fillId="0" borderId="74" xfId="5" applyFont="1" applyBorder="1" applyAlignment="1">
      <alignment vertical="center" wrapText="1"/>
    </xf>
    <xf numFmtId="0" fontId="3" fillId="0" borderId="32" xfId="5" applyFont="1" applyBorder="1" applyAlignment="1">
      <alignment vertical="center" wrapText="1"/>
    </xf>
    <xf numFmtId="0" fontId="3" fillId="0" borderId="19" xfId="5" applyFont="1" applyBorder="1" applyAlignment="1">
      <alignment vertical="center" wrapText="1"/>
    </xf>
    <xf numFmtId="0" fontId="3" fillId="0" borderId="114" xfId="5" applyFont="1" applyBorder="1" applyAlignment="1">
      <alignment vertical="center" wrapText="1"/>
    </xf>
    <xf numFmtId="3" fontId="3" fillId="0" borderId="10" xfId="5" applyNumberFormat="1" applyFont="1" applyBorder="1" applyAlignment="1">
      <alignment vertical="center" wrapText="1"/>
    </xf>
    <xf numFmtId="3" fontId="3" fillId="0" borderId="84" xfId="5" applyNumberFormat="1" applyFont="1" applyBorder="1" applyAlignment="1">
      <alignment vertical="center" wrapText="1"/>
    </xf>
    <xf numFmtId="0" fontId="92" fillId="24" borderId="10" xfId="5" applyFont="1" applyFill="1" applyBorder="1" applyAlignment="1" applyProtection="1">
      <alignment horizontal="justify" vertical="center" wrapText="1"/>
      <protection locked="0"/>
    </xf>
    <xf numFmtId="0" fontId="92" fillId="24" borderId="91" xfId="5" applyFont="1" applyFill="1" applyBorder="1" applyAlignment="1" applyProtection="1">
      <alignment horizontal="justify" vertical="center" wrapText="1"/>
      <protection locked="0"/>
    </xf>
    <xf numFmtId="0" fontId="92" fillId="24" borderId="84" xfId="5" applyFont="1" applyFill="1" applyBorder="1" applyAlignment="1" applyProtection="1">
      <alignment horizontal="justify" vertical="center" wrapText="1"/>
      <protection locked="0"/>
    </xf>
    <xf numFmtId="3" fontId="3" fillId="0" borderId="133" xfId="5" applyNumberFormat="1" applyFont="1" applyBorder="1" applyAlignment="1">
      <alignment vertical="center" wrapText="1"/>
    </xf>
    <xf numFmtId="0" fontId="92" fillId="24" borderId="81" xfId="5" applyFont="1" applyFill="1" applyBorder="1" applyAlignment="1" applyProtection="1">
      <alignment horizontal="justify" vertical="center" wrapText="1"/>
      <protection locked="0"/>
    </xf>
    <xf numFmtId="0" fontId="92" fillId="24" borderId="82" xfId="5" applyFont="1" applyFill="1" applyBorder="1" applyAlignment="1" applyProtection="1">
      <alignment horizontal="justify" vertical="center" wrapText="1"/>
      <protection locked="0"/>
    </xf>
    <xf numFmtId="0" fontId="92" fillId="24" borderId="133" xfId="5" applyFont="1" applyFill="1" applyBorder="1" applyAlignment="1" applyProtection="1">
      <alignment horizontal="justify" vertical="center" wrapText="1"/>
      <protection locked="0"/>
    </xf>
    <xf numFmtId="0" fontId="87" fillId="0" borderId="138" xfId="5" applyFont="1" applyBorder="1" applyAlignment="1">
      <alignment horizontal="justify" vertical="center" wrapText="1"/>
    </xf>
    <xf numFmtId="0" fontId="87" fillId="0" borderId="142" xfId="5" applyFont="1" applyBorder="1" applyAlignment="1">
      <alignment horizontal="justify" vertical="center" wrapText="1"/>
    </xf>
    <xf numFmtId="0" fontId="1" fillId="0" borderId="142" xfId="5" applyBorder="1" applyAlignment="1">
      <alignment vertical="center" wrapText="1"/>
    </xf>
    <xf numFmtId="0" fontId="1" fillId="0" borderId="144" xfId="5" applyBorder="1" applyAlignment="1">
      <alignment vertical="center" wrapText="1"/>
    </xf>
    <xf numFmtId="3" fontId="3" fillId="0" borderId="139" xfId="5" applyNumberFormat="1" applyFont="1" applyBorder="1" applyAlignment="1">
      <alignment vertical="center" wrapText="1"/>
    </xf>
    <xf numFmtId="0" fontId="3" fillId="0" borderId="140" xfId="5" applyFont="1" applyBorder="1" applyAlignment="1">
      <alignment vertical="center" wrapText="1"/>
    </xf>
    <xf numFmtId="0" fontId="92" fillId="24" borderId="147" xfId="5" applyFont="1" applyFill="1" applyBorder="1" applyAlignment="1" applyProtection="1">
      <alignment horizontal="justify" vertical="center" wrapText="1"/>
      <protection locked="0"/>
    </xf>
    <xf numFmtId="3" fontId="3" fillId="0" borderId="149" xfId="5" applyNumberFormat="1" applyFont="1" applyBorder="1" applyAlignment="1">
      <alignment vertical="center" wrapText="1"/>
    </xf>
    <xf numFmtId="3" fontId="3" fillId="0" borderId="150" xfId="5" applyNumberFormat="1" applyFont="1" applyBorder="1" applyAlignment="1">
      <alignment vertical="center" wrapText="1"/>
    </xf>
    <xf numFmtId="0" fontId="1" fillId="24" borderId="149" xfId="5" applyFill="1" applyBorder="1" applyAlignment="1" applyProtection="1">
      <alignment horizontal="justify" vertical="center" wrapText="1"/>
      <protection locked="0"/>
    </xf>
    <xf numFmtId="0" fontId="1" fillId="24" borderId="151" xfId="5" applyFill="1" applyBorder="1" applyAlignment="1" applyProtection="1">
      <alignment horizontal="justify" vertical="center" wrapText="1"/>
      <protection locked="0"/>
    </xf>
    <xf numFmtId="0" fontId="1" fillId="24" borderId="150" xfId="5" applyFill="1" applyBorder="1" applyAlignment="1" applyProtection="1">
      <alignment horizontal="justify" vertical="center" wrapText="1"/>
      <protection locked="0"/>
    </xf>
    <xf numFmtId="0" fontId="1" fillId="24" borderId="81" xfId="5" applyFill="1" applyBorder="1" applyAlignment="1" applyProtection="1">
      <alignment horizontal="justify" vertical="center" wrapText="1"/>
      <protection locked="0"/>
    </xf>
    <xf numFmtId="0" fontId="1" fillId="24" borderId="82" xfId="5" applyFill="1" applyBorder="1" applyAlignment="1" applyProtection="1">
      <alignment horizontal="justify" vertical="center" wrapText="1"/>
      <protection locked="0"/>
    </xf>
    <xf numFmtId="0" fontId="1" fillId="24" borderId="159" xfId="5" applyFill="1" applyBorder="1" applyAlignment="1" applyProtection="1">
      <alignment horizontal="justify" vertical="center" wrapText="1"/>
      <protection locked="0"/>
    </xf>
    <xf numFmtId="180" fontId="3" fillId="0" borderId="32" xfId="5" applyNumberFormat="1" applyFont="1" applyBorder="1" applyAlignment="1">
      <alignment vertical="center" wrapText="1"/>
    </xf>
    <xf numFmtId="180" fontId="3" fillId="0" borderId="74" xfId="5" applyNumberFormat="1" applyFont="1" applyBorder="1" applyAlignment="1">
      <alignment vertical="center" wrapText="1"/>
    </xf>
    <xf numFmtId="0" fontId="1" fillId="0" borderId="32" xfId="5" applyBorder="1" applyAlignment="1">
      <alignment horizontal="justify" vertical="center" wrapText="1"/>
    </xf>
    <xf numFmtId="0" fontId="1" fillId="0" borderId="0" xfId="5" applyBorder="1" applyAlignment="1">
      <alignment horizontal="justify" vertical="center" wrapText="1"/>
    </xf>
    <xf numFmtId="0" fontId="1" fillId="0" borderId="74" xfId="5" applyBorder="1" applyAlignment="1">
      <alignment horizontal="justify" vertical="center" wrapText="1"/>
    </xf>
    <xf numFmtId="180" fontId="3" fillId="0" borderId="19" xfId="5" applyNumberFormat="1" applyFont="1" applyBorder="1" applyAlignment="1">
      <alignment vertical="center" wrapText="1"/>
    </xf>
    <xf numFmtId="180" fontId="3" fillId="0" borderId="114" xfId="5" applyNumberFormat="1" applyFont="1" applyBorder="1" applyAlignment="1">
      <alignment vertical="center" wrapText="1"/>
    </xf>
    <xf numFmtId="0" fontId="1" fillId="0" borderId="19" xfId="5" applyBorder="1" applyAlignment="1">
      <alignment horizontal="justify" vertical="center" wrapText="1"/>
    </xf>
    <xf numFmtId="0" fontId="1" fillId="0" borderId="18" xfId="5" applyBorder="1" applyAlignment="1">
      <alignment horizontal="justify" vertical="center" wrapText="1"/>
    </xf>
    <xf numFmtId="0" fontId="1" fillId="0" borderId="114" xfId="5" applyBorder="1" applyAlignment="1">
      <alignment horizontal="justify" vertical="center" wrapText="1"/>
    </xf>
    <xf numFmtId="0" fontId="1" fillId="24" borderId="152" xfId="5" applyFill="1" applyBorder="1" applyAlignment="1" applyProtection="1">
      <alignment horizontal="justify" vertical="center" wrapText="1"/>
      <protection locked="0"/>
    </xf>
    <xf numFmtId="0" fontId="1" fillId="24" borderId="82" xfId="5" applyFill="1" applyBorder="1" applyAlignment="1" applyProtection="1">
      <alignment horizontal="left" vertical="center" shrinkToFit="1"/>
      <protection locked="0"/>
    </xf>
    <xf numFmtId="0" fontId="1" fillId="24" borderId="82" xfId="5" applyFill="1" applyBorder="1" applyAlignment="1" applyProtection="1">
      <alignment vertical="center" shrinkToFit="1"/>
      <protection locked="0"/>
    </xf>
    <xf numFmtId="0" fontId="1" fillId="24" borderId="133" xfId="5" applyFill="1" applyBorder="1" applyAlignment="1" applyProtection="1">
      <alignment vertical="center" shrinkToFit="1"/>
      <protection locked="0"/>
    </xf>
    <xf numFmtId="3" fontId="3" fillId="0" borderId="153" xfId="5" applyNumberFormat="1" applyFont="1" applyBorder="1" applyAlignment="1">
      <alignment vertical="center" wrapText="1"/>
    </xf>
    <xf numFmtId="3" fontId="3" fillId="0" borderId="154" xfId="5" applyNumberFormat="1" applyFont="1" applyBorder="1" applyAlignment="1">
      <alignment vertical="center" wrapText="1"/>
    </xf>
    <xf numFmtId="0" fontId="92" fillId="24" borderId="91" xfId="5" applyFont="1" applyFill="1" applyBorder="1" applyAlignment="1" applyProtection="1">
      <alignment horizontal="left" vertical="center" shrinkToFit="1"/>
      <protection locked="0"/>
    </xf>
    <xf numFmtId="0" fontId="92" fillId="24" borderId="91" xfId="5" applyFont="1" applyFill="1" applyBorder="1" applyAlignment="1" applyProtection="1">
      <alignment vertical="center" shrinkToFit="1"/>
      <protection locked="0"/>
    </xf>
    <xf numFmtId="0" fontId="92" fillId="24" borderId="147" xfId="5" applyFont="1" applyFill="1" applyBorder="1" applyAlignment="1" applyProtection="1">
      <alignment vertical="center" shrinkToFit="1"/>
      <protection locked="0"/>
    </xf>
    <xf numFmtId="38" fontId="74" fillId="0" borderId="10" xfId="5" applyNumberFormat="1" applyFont="1" applyBorder="1" applyAlignment="1">
      <alignment horizontal="center" vertical="center"/>
    </xf>
    <xf numFmtId="0" fontId="1" fillId="0" borderId="84" xfId="5" applyFont="1" applyBorder="1" applyAlignment="1">
      <alignment horizontal="center" vertical="center"/>
    </xf>
    <xf numFmtId="0" fontId="1" fillId="24" borderId="10" xfId="5" applyFill="1" applyBorder="1" applyAlignment="1" applyProtection="1">
      <alignment horizontal="justify" vertical="center" wrapText="1"/>
      <protection locked="0"/>
    </xf>
    <xf numFmtId="0" fontId="1" fillId="24" borderId="91" xfId="5" applyFill="1" applyBorder="1" applyAlignment="1" applyProtection="1">
      <alignment horizontal="justify" vertical="center" wrapText="1"/>
      <protection locked="0"/>
    </xf>
    <xf numFmtId="0" fontId="1" fillId="24" borderId="147" xfId="5" applyFill="1" applyBorder="1" applyAlignment="1" applyProtection="1">
      <alignment horizontal="justify" vertical="center" wrapText="1"/>
      <protection locked="0"/>
    </xf>
    <xf numFmtId="38" fontId="74" fillId="0" borderId="106" xfId="5" applyNumberFormat="1" applyFont="1" applyBorder="1" applyAlignment="1">
      <alignment horizontal="center" vertical="center" shrinkToFit="1"/>
    </xf>
    <xf numFmtId="0" fontId="1" fillId="0" borderId="107" xfId="5" applyFont="1" applyBorder="1" applyAlignment="1">
      <alignment horizontal="center" vertical="center"/>
    </xf>
    <xf numFmtId="0" fontId="1" fillId="0" borderId="157" xfId="5" applyBorder="1" applyAlignment="1">
      <alignment horizontal="center" vertical="center"/>
    </xf>
    <xf numFmtId="38" fontId="74" fillId="0" borderId="106" xfId="5" applyNumberFormat="1" applyFont="1" applyBorder="1" applyAlignment="1">
      <alignment horizontal="center" vertical="center"/>
    </xf>
    <xf numFmtId="3" fontId="3" fillId="0" borderId="32" xfId="5" applyNumberFormat="1" applyFont="1" applyBorder="1" applyAlignment="1">
      <alignment vertical="center"/>
    </xf>
    <xf numFmtId="0" fontId="3" fillId="0" borderId="74" xfId="5" applyFont="1" applyBorder="1" applyAlignment="1">
      <alignment vertical="center"/>
    </xf>
    <xf numFmtId="3" fontId="3" fillId="0" borderId="19" xfId="5" applyNumberFormat="1" applyFont="1" applyBorder="1" applyAlignment="1">
      <alignment vertical="center"/>
    </xf>
    <xf numFmtId="0" fontId="3" fillId="0" borderId="114" xfId="5" applyFont="1" applyBorder="1" applyAlignment="1">
      <alignment vertical="center"/>
    </xf>
    <xf numFmtId="0" fontId="1" fillId="0" borderId="107" xfId="5" applyFont="1" applyBorder="1" applyAlignment="1">
      <alignment horizontal="center" vertical="center" shrinkToFit="1"/>
    </xf>
    <xf numFmtId="0" fontId="87" fillId="0" borderId="0" xfId="5" applyFont="1" applyBorder="1" applyAlignment="1">
      <alignment horizontal="justify" vertical="center"/>
    </xf>
    <xf numFmtId="0" fontId="1" fillId="0" borderId="0" xfId="5" applyBorder="1" applyAlignment="1">
      <alignment vertical="center"/>
    </xf>
    <xf numFmtId="0" fontId="1" fillId="0" borderId="10" xfId="5" applyBorder="1" applyAlignment="1">
      <alignment horizontal="center" vertical="center"/>
    </xf>
    <xf numFmtId="0" fontId="1" fillId="0" borderId="84" xfId="5" applyBorder="1" applyAlignment="1">
      <alignment horizontal="center" vertical="center"/>
    </xf>
    <xf numFmtId="0" fontId="89" fillId="0" borderId="82" xfId="5" applyFont="1" applyBorder="1" applyAlignment="1">
      <alignment vertical="center" wrapText="1"/>
    </xf>
    <xf numFmtId="0" fontId="90" fillId="0" borderId="82" xfId="5" applyFont="1" applyBorder="1" applyAlignment="1">
      <alignment vertical="center" wrapText="1"/>
    </xf>
    <xf numFmtId="0" fontId="90" fillId="0" borderId="0" xfId="5" applyFont="1" applyAlignment="1">
      <alignment vertical="center" wrapText="1"/>
    </xf>
    <xf numFmtId="0" fontId="87" fillId="0" borderId="18" xfId="5" applyFont="1" applyBorder="1" applyAlignment="1">
      <alignment horizontal="justify" vertical="center"/>
    </xf>
    <xf numFmtId="0" fontId="1" fillId="0" borderId="18" xfId="5" applyBorder="1" applyAlignment="1">
      <alignment vertical="center"/>
    </xf>
    <xf numFmtId="0" fontId="1" fillId="0" borderId="104" xfId="5" applyBorder="1" applyAlignment="1">
      <alignment horizontal="center" vertical="center"/>
    </xf>
    <xf numFmtId="180" fontId="95" fillId="0" borderId="81" xfId="5" applyNumberFormat="1" applyFont="1" applyBorder="1" applyAlignment="1">
      <alignment vertical="center" wrapText="1"/>
    </xf>
    <xf numFmtId="180" fontId="95" fillId="0" borderId="19" xfId="5" applyNumberFormat="1" applyFont="1" applyBorder="1" applyAlignment="1">
      <alignment vertical="center" wrapText="1"/>
    </xf>
    <xf numFmtId="0" fontId="87" fillId="0" borderId="136" xfId="5" applyFont="1" applyBorder="1" applyAlignment="1">
      <alignment horizontal="center" vertical="center" wrapText="1"/>
    </xf>
    <xf numFmtId="0" fontId="1" fillId="0" borderId="137" xfId="5" applyBorder="1" applyAlignment="1">
      <alignment horizontal="center" vertical="center" wrapText="1"/>
    </xf>
    <xf numFmtId="3" fontId="95" fillId="0" borderId="81" xfId="5" applyNumberFormat="1" applyFont="1" applyBorder="1" applyAlignment="1">
      <alignment vertical="center"/>
    </xf>
    <xf numFmtId="3" fontId="95" fillId="0" borderId="133" xfId="5" applyNumberFormat="1" applyFont="1" applyBorder="1" applyAlignment="1">
      <alignment vertical="center"/>
    </xf>
    <xf numFmtId="3" fontId="95" fillId="0" borderId="19" xfId="5" applyNumberFormat="1" applyFont="1" applyBorder="1" applyAlignment="1">
      <alignment vertical="center"/>
    </xf>
    <xf numFmtId="3" fontId="95" fillId="0" borderId="114" xfId="5" applyNumberFormat="1" applyFont="1" applyBorder="1" applyAlignment="1">
      <alignment vertical="center"/>
    </xf>
    <xf numFmtId="0" fontId="92" fillId="0" borderId="82" xfId="5" applyFont="1" applyBorder="1" applyAlignment="1">
      <alignment vertical="center"/>
    </xf>
    <xf numFmtId="0" fontId="92" fillId="0" borderId="133" xfId="5" applyFont="1" applyBorder="1" applyAlignment="1">
      <alignment vertical="center"/>
    </xf>
    <xf numFmtId="0" fontId="92" fillId="0" borderId="19" xfId="5" applyFont="1" applyBorder="1" applyAlignment="1">
      <alignment vertical="center"/>
    </xf>
    <xf numFmtId="0" fontId="92" fillId="0" borderId="18" xfId="5" applyFont="1" applyBorder="1" applyAlignment="1">
      <alignment vertical="center"/>
    </xf>
    <xf numFmtId="0" fontId="92" fillId="0" borderId="114" xfId="5" applyFont="1" applyBorder="1" applyAlignment="1">
      <alignment vertical="center"/>
    </xf>
    <xf numFmtId="177" fontId="81" fillId="18" borderId="104" xfId="4" applyNumberFormat="1" applyFont="1" applyFill="1" applyBorder="1" applyAlignment="1">
      <alignment horizontal="center" vertical="center"/>
    </xf>
    <xf numFmtId="177" fontId="79" fillId="18" borderId="104" xfId="4" applyNumberFormat="1" applyFont="1" applyFill="1" applyBorder="1" applyAlignment="1">
      <alignment horizontal="center" vertical="center"/>
    </xf>
    <xf numFmtId="177" fontId="79" fillId="18" borderId="104" xfId="4" applyNumberFormat="1" applyFont="1" applyFill="1" applyBorder="1" applyAlignment="1">
      <alignment horizontal="center" vertical="center" wrapText="1"/>
    </xf>
    <xf numFmtId="177" fontId="79" fillId="19" borderId="104" xfId="4" applyNumberFormat="1" applyFont="1" applyFill="1" applyBorder="1" applyAlignment="1">
      <alignment horizontal="center" vertical="center"/>
    </xf>
    <xf numFmtId="177" fontId="79" fillId="0" borderId="104" xfId="4" applyNumberFormat="1" applyFont="1" applyBorder="1" applyAlignment="1">
      <alignment horizontal="center" vertical="center"/>
    </xf>
    <xf numFmtId="177" fontId="79" fillId="0" borderId="104" xfId="4" applyNumberFormat="1" applyFont="1" applyBorder="1" applyAlignment="1">
      <alignment horizontal="center" vertical="center" wrapText="1"/>
    </xf>
  </cellXfs>
  <cellStyles count="6">
    <cellStyle name="標準" xfId="0" builtinId="0"/>
    <cellStyle name="標準 2" xfId="1"/>
    <cellStyle name="標準 2 2" xfId="4"/>
    <cellStyle name="標準 3" xfId="2"/>
    <cellStyle name="標準 4" xfId="3"/>
    <cellStyle name="標準 5" xfId="5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CCFF99"/>
      <color rgb="FFFFCCFF"/>
      <color rgb="FFCC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2</xdr:col>
          <xdr:colOff>1019175</xdr:colOff>
          <xdr:row>3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予算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4</xdr:row>
          <xdr:rowOff>47625</xdr:rowOff>
        </xdr:from>
        <xdr:to>
          <xdr:col>2</xdr:col>
          <xdr:colOff>1028700</xdr:colOff>
          <xdr:row>4</xdr:row>
          <xdr:rowOff>438150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入力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5</xdr:row>
          <xdr:rowOff>38100</xdr:rowOff>
        </xdr:from>
        <xdr:to>
          <xdr:col>2</xdr:col>
          <xdr:colOff>1028700</xdr:colOff>
          <xdr:row>5</xdr:row>
          <xdr:rowOff>428625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8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6</xdr:row>
          <xdr:rowOff>47625</xdr:rowOff>
        </xdr:from>
        <xdr:to>
          <xdr:col>2</xdr:col>
          <xdr:colOff>1028700</xdr:colOff>
          <xdr:row>6</xdr:row>
          <xdr:rowOff>438150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3300"/>
                  </a:solidFill>
                  <a:latin typeface="ＭＳ Ｐゴシック"/>
                  <a:ea typeface="ＭＳ Ｐゴシック"/>
                </a:rPr>
                <a:t>一気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7</xdr:row>
          <xdr:rowOff>38100</xdr:rowOff>
        </xdr:from>
        <xdr:to>
          <xdr:col>2</xdr:col>
          <xdr:colOff>1028700</xdr:colOff>
          <xdr:row>7</xdr:row>
          <xdr:rowOff>428625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3300"/>
                  </a:solidFill>
                  <a:latin typeface="ＭＳ Ｐゴシック"/>
                  <a:ea typeface="ＭＳ Ｐゴシック"/>
                </a:rPr>
                <a:t>個別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8</xdr:row>
          <xdr:rowOff>47625</xdr:rowOff>
        </xdr:from>
        <xdr:to>
          <xdr:col>2</xdr:col>
          <xdr:colOff>1028700</xdr:colOff>
          <xdr:row>8</xdr:row>
          <xdr:rowOff>438150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808000"/>
                  </a:solidFill>
                  <a:latin typeface="ＭＳ Ｐゴシック"/>
                  <a:ea typeface="ＭＳ Ｐゴシック"/>
                </a:rPr>
                <a:t>報告書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200025</xdr:colOff>
          <xdr:row>9</xdr:row>
          <xdr:rowOff>38100</xdr:rowOff>
        </xdr:from>
        <xdr:to>
          <xdr:col>2</xdr:col>
          <xdr:colOff>1028700</xdr:colOff>
          <xdr:row>9</xdr:row>
          <xdr:rowOff>428625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22860" rIns="45720" bIns="2286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808000"/>
                  </a:solidFill>
                  <a:latin typeface="ＭＳ Ｐゴシック"/>
                  <a:ea typeface="ＭＳ Ｐゴシック"/>
                </a:rPr>
                <a:t>予算案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0</xdr:row>
          <xdr:rowOff>152400</xdr:rowOff>
        </xdr:from>
        <xdr:to>
          <xdr:col>9</xdr:col>
          <xdr:colOff>209550</xdr:colOff>
          <xdr:row>2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0</xdr:row>
          <xdr:rowOff>57150</xdr:rowOff>
        </xdr:from>
        <xdr:to>
          <xdr:col>4</xdr:col>
          <xdr:colOff>552450</xdr:colOff>
          <xdr:row>1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ＭＳ Ｐゴシック"/>
                  <a:ea typeface="ＭＳ Ｐゴシック"/>
                </a:rPr>
                <a:t>データ消去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57150</xdr:rowOff>
        </xdr:from>
        <xdr:to>
          <xdr:col>3</xdr:col>
          <xdr:colOff>152400</xdr:colOff>
          <xdr:row>1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ゴシック"/>
                  <a:ea typeface="ＭＳ Ｐゴシック"/>
                </a:rPr>
                <a:t>並べ替え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2447925</xdr:colOff>
          <xdr:row>0</xdr:row>
          <xdr:rowOff>57150</xdr:rowOff>
        </xdr:from>
        <xdr:to>
          <xdr:col>6</xdr:col>
          <xdr:colOff>561975</xdr:colOff>
          <xdr:row>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0</xdr:row>
          <xdr:rowOff>57150</xdr:rowOff>
        </xdr:from>
        <xdr:to>
          <xdr:col>4</xdr:col>
          <xdr:colOff>2057400</xdr:colOff>
          <xdr:row>1</xdr:row>
          <xdr:rowOff>123825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会計簿印刷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19050</xdr:rowOff>
        </xdr:from>
        <xdr:to>
          <xdr:col>1</xdr:col>
          <xdr:colOff>2143125</xdr:colOff>
          <xdr:row>0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見　　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304800</xdr:rowOff>
        </xdr:from>
        <xdr:to>
          <xdr:col>1</xdr:col>
          <xdr:colOff>2143125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993366"/>
                  </a:solidFill>
                  <a:latin typeface="ＭＳ Ｐゴシック"/>
                  <a:ea typeface="ＭＳ Ｐゴシック"/>
                </a:rPr>
                <a:t>印刷する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142875</xdr:rowOff>
        </xdr:from>
        <xdr:to>
          <xdr:col>8</xdr:col>
          <xdr:colOff>257175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466725</xdr:colOff>
          <xdr:row>29</xdr:row>
          <xdr:rowOff>171450</xdr:rowOff>
        </xdr:from>
        <xdr:to>
          <xdr:col>2</xdr:col>
          <xdr:colOff>704850</xdr:colOff>
          <xdr:row>32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476250</xdr:colOff>
          <xdr:row>18</xdr:row>
          <xdr:rowOff>133350</xdr:rowOff>
        </xdr:from>
        <xdr:to>
          <xdr:col>2</xdr:col>
          <xdr:colOff>704850</xdr:colOff>
          <xdr:row>21</xdr:row>
          <xdr:rowOff>28575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111</xdr:row>
          <xdr:rowOff>66675</xdr:rowOff>
        </xdr:from>
        <xdr:to>
          <xdr:col>2</xdr:col>
          <xdr:colOff>733425</xdr:colOff>
          <xdr:row>112</xdr:row>
          <xdr:rowOff>161925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247650</xdr:colOff>
          <xdr:row>101</xdr:row>
          <xdr:rowOff>19050</xdr:rowOff>
        </xdr:from>
        <xdr:to>
          <xdr:col>2</xdr:col>
          <xdr:colOff>485775</xdr:colOff>
          <xdr:row>103</xdr:row>
          <xdr:rowOff>47625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　刷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53</xdr:row>
      <xdr:rowOff>285749</xdr:rowOff>
    </xdr:from>
    <xdr:to>
      <xdr:col>1</xdr:col>
      <xdr:colOff>285750</xdr:colOff>
      <xdr:row>55</xdr:row>
      <xdr:rowOff>57149</xdr:rowOff>
    </xdr:to>
    <xdr:sp macro="" textlink="">
      <xdr:nvSpPr>
        <xdr:cNvPr id="2" name="テキスト ボックス 1"/>
        <xdr:cNvSpPr txBox="1"/>
      </xdr:nvSpPr>
      <xdr:spPr>
        <a:xfrm>
          <a:off x="95250" y="9201149"/>
          <a:ext cx="285750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A</a:t>
          </a:r>
          <a:endParaRPr kumimoji="1" lang="ja-JP" altLang="en-US" sz="1200"/>
        </a:p>
      </xdr:txBody>
    </xdr:sp>
    <xdr:clientData/>
  </xdr:twoCellAnchor>
  <xdr:twoCellAnchor>
    <xdr:from>
      <xdr:col>3</xdr:col>
      <xdr:colOff>0</xdr:colOff>
      <xdr:row>54</xdr:row>
      <xdr:rowOff>1</xdr:rowOff>
    </xdr:from>
    <xdr:to>
      <xdr:col>3</xdr:col>
      <xdr:colOff>285750</xdr:colOff>
      <xdr:row>55</xdr:row>
      <xdr:rowOff>38101</xdr:rowOff>
    </xdr:to>
    <xdr:sp macro="" textlink="">
      <xdr:nvSpPr>
        <xdr:cNvPr id="3" name="テキスト ボックス 2"/>
        <xdr:cNvSpPr txBox="1"/>
      </xdr:nvSpPr>
      <xdr:spPr>
        <a:xfrm>
          <a:off x="2743200" y="9201151"/>
          <a:ext cx="285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B</a:t>
          </a:r>
          <a:endParaRPr kumimoji="1" lang="ja-JP" altLang="en-US" sz="1200"/>
        </a:p>
      </xdr:txBody>
    </xdr:sp>
    <xdr:clientData/>
  </xdr:twoCellAnchor>
  <xdr:twoCellAnchor>
    <xdr:from>
      <xdr:col>6</xdr:col>
      <xdr:colOff>0</xdr:colOff>
      <xdr:row>54</xdr:row>
      <xdr:rowOff>0</xdr:rowOff>
    </xdr:from>
    <xdr:to>
      <xdr:col>6</xdr:col>
      <xdr:colOff>257175</xdr:colOff>
      <xdr:row>55</xdr:row>
      <xdr:rowOff>85725</xdr:rowOff>
    </xdr:to>
    <xdr:sp macro="" textlink="">
      <xdr:nvSpPr>
        <xdr:cNvPr id="4" name="テキスト ボックス 3"/>
        <xdr:cNvSpPr txBox="1"/>
      </xdr:nvSpPr>
      <xdr:spPr>
        <a:xfrm>
          <a:off x="4924425" y="9201150"/>
          <a:ext cx="257175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200"/>
            <a:t>C</a:t>
          </a:r>
          <a:endParaRPr kumimoji="1" lang="ja-JP" altLang="en-US" sz="1200"/>
        </a:p>
      </xdr:txBody>
    </xdr:sp>
    <xdr:clientData/>
  </xdr:twoCellAnchor>
  <xdr:twoCellAnchor>
    <xdr:from>
      <xdr:col>2</xdr:col>
      <xdr:colOff>0</xdr:colOff>
      <xdr:row>45</xdr:row>
      <xdr:rowOff>222251</xdr:rowOff>
    </xdr:from>
    <xdr:to>
      <xdr:col>2</xdr:col>
      <xdr:colOff>230187</xdr:colOff>
      <xdr:row>47</xdr:row>
      <xdr:rowOff>15876</xdr:rowOff>
    </xdr:to>
    <xdr:sp macro="" textlink="">
      <xdr:nvSpPr>
        <xdr:cNvPr id="5" name="テキスト ボックス 4"/>
        <xdr:cNvSpPr txBox="1"/>
      </xdr:nvSpPr>
      <xdr:spPr>
        <a:xfrm>
          <a:off x="2085975" y="7727951"/>
          <a:ext cx="230187" cy="203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B</a:t>
          </a:r>
          <a:endParaRPr kumimoji="1" lang="ja-JP" altLang="en-US" sz="1100"/>
        </a:p>
      </xdr:txBody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269875</xdr:colOff>
      <xdr:row>35</xdr:row>
      <xdr:rowOff>39688</xdr:rowOff>
    </xdr:to>
    <xdr:sp macro="" textlink="">
      <xdr:nvSpPr>
        <xdr:cNvPr id="6" name="テキスト ボックス 5"/>
        <xdr:cNvSpPr txBox="1"/>
      </xdr:nvSpPr>
      <xdr:spPr>
        <a:xfrm>
          <a:off x="2085975" y="5534025"/>
          <a:ext cx="269875" cy="230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A</a:t>
          </a:r>
          <a:endParaRPr kumimoji="1" lang="ja-JP" altLang="en-US" sz="1100"/>
        </a:p>
      </xdr:txBody>
    </xdr:sp>
    <xdr:clientData/>
  </xdr:twoCellAnchor>
  <xdr:twoCellAnchor>
    <xdr:from>
      <xdr:col>1</xdr:col>
      <xdr:colOff>47625</xdr:colOff>
      <xdr:row>49</xdr:row>
      <xdr:rowOff>23813</xdr:rowOff>
    </xdr:from>
    <xdr:to>
      <xdr:col>1</xdr:col>
      <xdr:colOff>563563</xdr:colOff>
      <xdr:row>49</xdr:row>
      <xdr:rowOff>214313</xdr:rowOff>
    </xdr:to>
    <xdr:sp macro="" textlink="">
      <xdr:nvSpPr>
        <xdr:cNvPr id="7" name="正方形/長方形 6"/>
        <xdr:cNvSpPr/>
      </xdr:nvSpPr>
      <xdr:spPr>
        <a:xfrm>
          <a:off x="142875" y="8339138"/>
          <a:ext cx="515938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5"/>
  <sheetViews>
    <sheetView showGridLines="0" tabSelected="1" workbookViewId="0">
      <selection activeCell="H9" sqref="H9"/>
    </sheetView>
  </sheetViews>
  <sheetFormatPr defaultRowHeight="12"/>
  <cols>
    <col min="1" max="1" width="2.85546875" customWidth="1"/>
    <col min="2" max="2" width="6.85546875" customWidth="1"/>
    <col min="3" max="3" width="18.140625" customWidth="1"/>
    <col min="4" max="4" width="76" customWidth="1"/>
    <col min="5" max="5" width="6.7109375" customWidth="1"/>
  </cols>
  <sheetData>
    <row r="1" spans="3:5" ht="7.5" customHeight="1"/>
    <row r="2" spans="3:5" ht="28.5" customHeight="1">
      <c r="C2" s="419" t="s">
        <v>314</v>
      </c>
      <c r="D2" s="420"/>
    </row>
    <row r="3" spans="3:5" ht="18" customHeight="1" thickBot="1">
      <c r="D3" s="139" t="s">
        <v>320</v>
      </c>
    </row>
    <row r="4" spans="3:5" ht="37.5" customHeight="1" thickTop="1">
      <c r="C4" s="108"/>
      <c r="D4" s="109" t="s">
        <v>48</v>
      </c>
      <c r="E4" s="121" t="s">
        <v>55</v>
      </c>
    </row>
    <row r="5" spans="3:5" ht="37.5" customHeight="1">
      <c r="C5" s="112"/>
      <c r="D5" s="113" t="s">
        <v>44</v>
      </c>
      <c r="E5" s="121" t="s">
        <v>56</v>
      </c>
    </row>
    <row r="6" spans="3:5" ht="37.5" customHeight="1">
      <c r="C6" s="110"/>
      <c r="D6" s="111" t="s">
        <v>45</v>
      </c>
      <c r="E6" s="121" t="s">
        <v>57</v>
      </c>
    </row>
    <row r="7" spans="3:5" ht="37.5" customHeight="1">
      <c r="C7" s="114"/>
      <c r="D7" s="115" t="s">
        <v>47</v>
      </c>
      <c r="E7" s="121" t="s">
        <v>57</v>
      </c>
    </row>
    <row r="8" spans="3:5" ht="37.5" customHeight="1">
      <c r="C8" s="170"/>
      <c r="D8" s="264" t="s">
        <v>46</v>
      </c>
      <c r="E8" s="120"/>
    </row>
    <row r="9" spans="3:5" ht="37.5" customHeight="1">
      <c r="C9" s="171"/>
      <c r="D9" s="173" t="s">
        <v>74</v>
      </c>
      <c r="E9" s="120"/>
    </row>
    <row r="10" spans="3:5" ht="37.5" customHeight="1" thickBot="1">
      <c r="C10" s="172"/>
      <c r="D10" s="185" t="s">
        <v>79</v>
      </c>
      <c r="E10" s="120"/>
    </row>
    <row r="11" spans="3:5" ht="7.5" customHeight="1" thickTop="1"/>
    <row r="12" spans="3:5" ht="15" customHeight="1">
      <c r="C12" s="116" t="s">
        <v>217</v>
      </c>
    </row>
    <row r="13" spans="3:5" ht="13.5" customHeight="1"/>
    <row r="14" spans="3:5">
      <c r="C14" s="122" t="s">
        <v>218</v>
      </c>
    </row>
    <row r="15" spans="3:5" ht="14.1" customHeight="1">
      <c r="C15" s="122" t="s">
        <v>58</v>
      </c>
    </row>
    <row r="16" spans="3:5" ht="14.1" customHeight="1">
      <c r="C16" s="143" t="s">
        <v>219</v>
      </c>
    </row>
    <row r="17" spans="1:3" ht="14.1" customHeight="1">
      <c r="C17" s="122" t="s">
        <v>59</v>
      </c>
    </row>
    <row r="18" spans="1:3" ht="14.1" customHeight="1">
      <c r="C18" s="122" t="s">
        <v>220</v>
      </c>
    </row>
    <row r="19" spans="1:3" ht="14.1" customHeight="1">
      <c r="C19" s="122" t="s">
        <v>221</v>
      </c>
    </row>
    <row r="20" spans="1:3" ht="14.1" customHeight="1">
      <c r="C20" s="122" t="s">
        <v>222</v>
      </c>
    </row>
    <row r="30" spans="1:3" ht="14.25">
      <c r="A30" s="140" t="s">
        <v>60</v>
      </c>
    </row>
    <row r="32" spans="1:3">
      <c r="A32" s="141" t="s">
        <v>61</v>
      </c>
      <c r="C32" s="142" t="s">
        <v>62</v>
      </c>
    </row>
    <row r="33" spans="1:3">
      <c r="C33" t="s">
        <v>63</v>
      </c>
    </row>
    <row r="35" spans="1:3">
      <c r="A35" s="141" t="s">
        <v>76</v>
      </c>
      <c r="C35" s="142" t="s">
        <v>86</v>
      </c>
    </row>
  </sheetData>
  <sheetProtection sheet="1" objects="1" scenarios="1"/>
  <mergeCells count="1">
    <mergeCell ref="C2:D2"/>
  </mergeCells>
  <phoneticPr fontId="5"/>
  <pageMargins left="0.75" right="0.75" top="1" bottom="1" header="0.51200000000000001" footer="0.51200000000000001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Line="0" autoPict="0" macro="[0]!Module1.予算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2</xdr:col>
                    <xdr:colOff>1019175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autoFill="0" autoLine="0" autoPict="0" macro="[0]!入力">
                <anchor moveWithCells="1" sizeWithCells="1">
                  <from>
                    <xdr:col>2</xdr:col>
                    <xdr:colOff>200025</xdr:colOff>
                    <xdr:row>4</xdr:row>
                    <xdr:rowOff>47625</xdr:rowOff>
                  </from>
                  <to>
                    <xdr:col>2</xdr:col>
                    <xdr:colOff>1028700</xdr:colOff>
                    <xdr:row>4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autoFill="0" autoLine="0" autoPict="0" macro="[0]!簿印刷">
                <anchor moveWithCells="1" sizeWithCells="1">
                  <from>
                    <xdr:col>2</xdr:col>
                    <xdr:colOff>200025</xdr:colOff>
                    <xdr:row>5</xdr:row>
                    <xdr:rowOff>38100</xdr:rowOff>
                  </from>
                  <to>
                    <xdr:col>2</xdr:col>
                    <xdr:colOff>1028700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autoFill="0" autoLine="0" autoPict="0" macro="[0]!項印刷">
                <anchor moveWithCells="1" sizeWithCells="1">
                  <from>
                    <xdr:col>2</xdr:col>
                    <xdr:colOff>200025</xdr:colOff>
                    <xdr:row>6</xdr:row>
                    <xdr:rowOff>47625</xdr:rowOff>
                  </from>
                  <to>
                    <xdr:col>2</xdr:col>
                    <xdr:colOff>1028700</xdr:colOff>
                    <xdr:row>6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autoFill="0" autoLine="0" autoPict="0" macro="[0]!個別">
                <anchor moveWithCells="1" sizeWithCells="1">
                  <from>
                    <xdr:col>2</xdr:col>
                    <xdr:colOff>200025</xdr:colOff>
                    <xdr:row>7</xdr:row>
                    <xdr:rowOff>38100</xdr:rowOff>
                  </from>
                  <to>
                    <xdr:col>2</xdr:col>
                    <xdr:colOff>1028700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autoFill="0" autoLine="0" autoPict="0" macro="[0]!報告書">
                <anchor moveWithCells="1" sizeWithCells="1">
                  <from>
                    <xdr:col>2</xdr:col>
                    <xdr:colOff>200025</xdr:colOff>
                    <xdr:row>8</xdr:row>
                    <xdr:rowOff>47625</xdr:rowOff>
                  </from>
                  <to>
                    <xdr:col>2</xdr:col>
                    <xdr:colOff>1028700</xdr:colOff>
                    <xdr:row>8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Button 11">
              <controlPr defaultSize="0" autoFill="0" autoLine="0" autoPict="0" macro="[0]!予算案">
                <anchor moveWithCells="1" sizeWithCells="1">
                  <from>
                    <xdr:col>2</xdr:col>
                    <xdr:colOff>200025</xdr:colOff>
                    <xdr:row>9</xdr:row>
                    <xdr:rowOff>38100</xdr:rowOff>
                  </from>
                  <to>
                    <xdr:col>2</xdr:col>
                    <xdr:colOff>1028700</xdr:colOff>
                    <xdr:row>9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O188"/>
  <sheetViews>
    <sheetView showGridLines="0" workbookViewId="0">
      <selection activeCell="O25" sqref="O25"/>
    </sheetView>
  </sheetViews>
  <sheetFormatPr defaultRowHeight="12"/>
  <cols>
    <col min="1" max="1" width="2.7109375" style="1" customWidth="1"/>
    <col min="2" max="2" width="6.7109375" style="1" customWidth="1"/>
    <col min="3" max="3" width="18.5703125" style="1" customWidth="1"/>
    <col min="4" max="6" width="11.28515625" style="1" customWidth="1"/>
    <col min="7" max="7" width="6.7109375" style="1" customWidth="1"/>
    <col min="8" max="8" width="6.140625" style="1" customWidth="1"/>
    <col min="9" max="10" width="11.28515625" style="1" customWidth="1"/>
    <col min="11" max="16384" width="9.140625" style="1"/>
  </cols>
  <sheetData>
    <row r="1" spans="1:15" ht="12.75" thickBot="1">
      <c r="A1"/>
      <c r="L1" s="1">
        <f>E4+2018</f>
        <v>2026</v>
      </c>
    </row>
    <row r="2" spans="1:15" ht="18" customHeight="1" thickBot="1">
      <c r="A2" s="421"/>
      <c r="B2" s="421"/>
      <c r="C2" s="422" t="s">
        <v>308</v>
      </c>
      <c r="D2" s="423"/>
      <c r="E2" s="424"/>
      <c r="F2" s="10" t="s">
        <v>6</v>
      </c>
      <c r="L2" s="1">
        <f>L1+1</f>
        <v>2027</v>
      </c>
    </row>
    <row r="3" spans="1:15" ht="9" customHeight="1" thickBot="1"/>
    <row r="4" spans="1:15" ht="18" customHeight="1" thickBot="1">
      <c r="A4" s="421"/>
      <c r="B4" s="421"/>
      <c r="C4" s="417"/>
      <c r="D4" s="10"/>
      <c r="E4" s="37">
        <v>8</v>
      </c>
      <c r="F4" s="10" t="s">
        <v>0</v>
      </c>
      <c r="M4" s="313">
        <v>6</v>
      </c>
    </row>
    <row r="5" spans="1:15" ht="9" customHeight="1" thickBot="1"/>
    <row r="6" spans="1:15" ht="22.5" customHeight="1" thickBot="1">
      <c r="B6" s="418" t="s">
        <v>315</v>
      </c>
      <c r="C6" s="4" t="s">
        <v>7</v>
      </c>
      <c r="D6" s="4" t="s">
        <v>8</v>
      </c>
      <c r="E6" s="2" t="s">
        <v>1</v>
      </c>
      <c r="F6" s="3" t="s">
        <v>51</v>
      </c>
      <c r="H6" s="88" t="s">
        <v>35</v>
      </c>
      <c r="I6" s="128" t="s">
        <v>8</v>
      </c>
      <c r="J6" s="91" t="s">
        <v>1</v>
      </c>
    </row>
    <row r="7" spans="1:15" ht="14.1" customHeight="1">
      <c r="B7" s="102">
        <v>1</v>
      </c>
      <c r="C7" s="321" t="s">
        <v>304</v>
      </c>
      <c r="D7" s="328">
        <v>360000</v>
      </c>
      <c r="E7" s="24">
        <f>DSUM(簿!$C$5:$H$1005,5,D69:D70)</f>
        <v>360000</v>
      </c>
      <c r="F7" s="25">
        <f>E7-D7</f>
        <v>0</v>
      </c>
      <c r="H7" s="86" t="s">
        <v>32</v>
      </c>
      <c r="I7" s="84">
        <f>SUM(D7:D16)</f>
        <v>677600</v>
      </c>
      <c r="J7" s="92">
        <f>SUM(E7:E16)</f>
        <v>677600</v>
      </c>
    </row>
    <row r="8" spans="1:15" ht="14.1" customHeight="1">
      <c r="B8" s="103">
        <v>2</v>
      </c>
      <c r="C8" s="322" t="s">
        <v>103</v>
      </c>
      <c r="D8" s="329"/>
      <c r="E8" s="257">
        <f>DSUM(簿!$C$5:$H$1005,5,D71:D72)</f>
        <v>0</v>
      </c>
      <c r="F8" s="258">
        <f>E8-D8</f>
        <v>0</v>
      </c>
      <c r="H8" s="89" t="s">
        <v>33</v>
      </c>
      <c r="I8" s="90">
        <f>SUM(D17:D66)</f>
        <v>677600</v>
      </c>
      <c r="J8" s="93">
        <f>SUM(E17:E66)</f>
        <v>677600</v>
      </c>
    </row>
    <row r="9" spans="1:15" ht="14.1" customHeight="1" thickBot="1">
      <c r="B9" s="103">
        <v>3</v>
      </c>
      <c r="C9" s="322" t="s">
        <v>305</v>
      </c>
      <c r="D9" s="329">
        <v>1000</v>
      </c>
      <c r="E9" s="314">
        <f>DSUM(簿!$C$5:$H$1005,5,D73:D74)</f>
        <v>1000</v>
      </c>
      <c r="F9" s="315">
        <f t="shared" ref="F9:F66" si="0">E9-D9</f>
        <v>0</v>
      </c>
      <c r="H9" s="87" t="s">
        <v>36</v>
      </c>
      <c r="I9" s="85">
        <f>I7-I8</f>
        <v>0</v>
      </c>
      <c r="J9" s="94">
        <f>J7-J8</f>
        <v>0</v>
      </c>
    </row>
    <row r="10" spans="1:15" ht="14.1" customHeight="1">
      <c r="B10" s="103">
        <v>4</v>
      </c>
      <c r="C10" s="333" t="s">
        <v>306</v>
      </c>
      <c r="D10" s="330">
        <v>60000</v>
      </c>
      <c r="E10" s="259">
        <f>DSUM(簿!$C$5:$H$1005,5,D75:D76)</f>
        <v>60000</v>
      </c>
      <c r="F10" s="260">
        <f t="shared" si="0"/>
        <v>0</v>
      </c>
    </row>
    <row r="11" spans="1:15" ht="14.1" customHeight="1">
      <c r="B11" s="103">
        <v>5</v>
      </c>
      <c r="C11" s="334" t="s">
        <v>307</v>
      </c>
      <c r="D11" s="331"/>
      <c r="E11" s="24">
        <f>DSUM(簿!$C$5:$H$1005,5,D77:D78)</f>
        <v>0</v>
      </c>
      <c r="F11" s="25">
        <f t="shared" si="0"/>
        <v>0</v>
      </c>
    </row>
    <row r="12" spans="1:15" ht="14.1" customHeight="1">
      <c r="B12" s="103">
        <v>6</v>
      </c>
      <c r="C12" s="334" t="s">
        <v>224</v>
      </c>
      <c r="D12" s="331">
        <v>17600</v>
      </c>
      <c r="E12" s="24">
        <f>DSUM(簿!$C$5:$H$1005,5,D79:D80)</f>
        <v>17600</v>
      </c>
      <c r="F12" s="25">
        <f t="shared" si="0"/>
        <v>0</v>
      </c>
      <c r="I12" s="221" t="s">
        <v>155</v>
      </c>
      <c r="J12" s="221" t="s">
        <v>156</v>
      </c>
      <c r="K12" s="221" t="s">
        <v>157</v>
      </c>
      <c r="L12" s="221" t="s">
        <v>158</v>
      </c>
      <c r="M12" s="220"/>
      <c r="N12" s="220"/>
      <c r="O12" s="220"/>
    </row>
    <row r="13" spans="1:15" ht="14.1" customHeight="1">
      <c r="B13" s="103">
        <v>7</v>
      </c>
      <c r="C13" s="334" t="s">
        <v>225</v>
      </c>
      <c r="D13" s="331"/>
      <c r="E13" s="24">
        <f>DSUM(簿!$C$5:$H$1005,5,D81:D82)</f>
        <v>0</v>
      </c>
      <c r="F13" s="25">
        <f t="shared" si="0"/>
        <v>0</v>
      </c>
      <c r="I13" s="326">
        <v>20</v>
      </c>
      <c r="J13" s="326">
        <v>2</v>
      </c>
      <c r="K13" s="327" t="s">
        <v>175</v>
      </c>
      <c r="L13" s="326">
        <v>4</v>
      </c>
      <c r="M13" s="220"/>
      <c r="N13" s="220"/>
      <c r="O13" s="220"/>
    </row>
    <row r="14" spans="1:15" ht="14.1" customHeight="1">
      <c r="B14" s="103">
        <v>8</v>
      </c>
      <c r="C14" s="334" t="s">
        <v>223</v>
      </c>
      <c r="D14" s="331">
        <v>239000</v>
      </c>
      <c r="E14" s="24">
        <f>DSUM(簿!$C$5:$H$1005,5,D83:D84)</f>
        <v>239000</v>
      </c>
      <c r="F14" s="25">
        <f t="shared" si="0"/>
        <v>0</v>
      </c>
      <c r="G14" s="5" t="s">
        <v>3</v>
      </c>
      <c r="I14" s="222">
        <f>IF(I13&gt;26,1,IF(I13&gt;12,2,IF(I13&gt;4,3,4)))</f>
        <v>2</v>
      </c>
      <c r="J14" s="222">
        <f>IF(J13&gt;2,1,IF(J13&gt;1,2,3))</f>
        <v>2</v>
      </c>
      <c r="K14" s="222">
        <f>IF(K13="スポーツ",1,2)</f>
        <v>1</v>
      </c>
      <c r="L14" s="222">
        <f>IF(L13=4,1,IF(L13=3,2,IF(L13=2,3,4)))</f>
        <v>1</v>
      </c>
      <c r="M14" s="220"/>
      <c r="N14" s="223">
        <f>VALUE(I14&amp;J14&amp;K14&amp;L14)</f>
        <v>2211</v>
      </c>
      <c r="O14" s="220">
        <f>VLOOKUP(N14,単価データ!B3:D98,2,FALSE)</f>
        <v>288000</v>
      </c>
    </row>
    <row r="15" spans="1:15" ht="14.1" customHeight="1">
      <c r="B15" s="103">
        <v>9</v>
      </c>
      <c r="C15" s="334"/>
      <c r="D15" s="331"/>
      <c r="E15" s="24">
        <f>DSUM(簿!$C$5:$H$1005,5,D85:D86)</f>
        <v>0</v>
      </c>
      <c r="F15" s="25">
        <f t="shared" si="0"/>
        <v>0</v>
      </c>
      <c r="G15" s="6" t="s">
        <v>2</v>
      </c>
    </row>
    <row r="16" spans="1:15" ht="14.1" customHeight="1" thickBot="1">
      <c r="B16" s="104">
        <v>10</v>
      </c>
      <c r="C16" s="335"/>
      <c r="D16" s="332"/>
      <c r="E16" s="314">
        <f>DSUM(簿!$C$5:$H$1005,5,D87:D88)</f>
        <v>0</v>
      </c>
      <c r="F16" s="315">
        <f t="shared" si="0"/>
        <v>0</v>
      </c>
      <c r="G16" s="7" t="s">
        <v>9</v>
      </c>
    </row>
    <row r="17" spans="2:9" ht="14.1" customHeight="1">
      <c r="B17" s="102">
        <v>11</v>
      </c>
      <c r="C17" s="323" t="s">
        <v>96</v>
      </c>
      <c r="D17" s="336">
        <v>287310</v>
      </c>
      <c r="E17" s="272">
        <f>DSUM(簿!$C$5:$H$1005,6,D89:D90)</f>
        <v>287310</v>
      </c>
      <c r="F17" s="273">
        <f t="shared" si="0"/>
        <v>0</v>
      </c>
      <c r="G17" s="8" t="s">
        <v>10</v>
      </c>
      <c r="I17" s="135" t="s">
        <v>42</v>
      </c>
    </row>
    <row r="18" spans="2:9" ht="14.1" customHeight="1">
      <c r="B18" s="103">
        <v>12</v>
      </c>
      <c r="C18" s="324" t="s">
        <v>97</v>
      </c>
      <c r="D18" s="337">
        <v>42000</v>
      </c>
      <c r="E18" s="24">
        <f>DSUM(簿!$C$5:$H$1005,6,D91:D92)</f>
        <v>42000</v>
      </c>
      <c r="F18" s="25">
        <f t="shared" si="0"/>
        <v>0</v>
      </c>
      <c r="G18" s="8" t="s">
        <v>4</v>
      </c>
      <c r="I18" s="136" t="s">
        <v>311</v>
      </c>
    </row>
    <row r="19" spans="2:9" ht="14.1" customHeight="1">
      <c r="B19" s="103">
        <v>13</v>
      </c>
      <c r="C19" s="324" t="s">
        <v>98</v>
      </c>
      <c r="D19" s="337">
        <v>13000</v>
      </c>
      <c r="E19" s="24">
        <f>DSUM(簿!$C$5:$H$1005,6,D93:D94)</f>
        <v>13000</v>
      </c>
      <c r="F19" s="25">
        <f t="shared" si="0"/>
        <v>0</v>
      </c>
      <c r="G19" s="8" t="s">
        <v>5</v>
      </c>
      <c r="I19" s="134" t="s">
        <v>43</v>
      </c>
    </row>
    <row r="20" spans="2:9" ht="14.1" customHeight="1">
      <c r="B20" s="103">
        <v>14</v>
      </c>
      <c r="C20" s="324" t="s">
        <v>99</v>
      </c>
      <c r="D20" s="337">
        <v>30000</v>
      </c>
      <c r="E20" s="24">
        <f>DSUM(簿!$C$5:$H$1005,6,D95:D96)</f>
        <v>30000</v>
      </c>
      <c r="F20" s="25">
        <f t="shared" si="0"/>
        <v>0</v>
      </c>
      <c r="I20" s="125" t="s">
        <v>319</v>
      </c>
    </row>
    <row r="21" spans="2:9" ht="14.1" customHeight="1">
      <c r="B21" s="103">
        <v>15</v>
      </c>
      <c r="C21" s="324" t="s">
        <v>100</v>
      </c>
      <c r="D21" s="337"/>
      <c r="E21" s="24">
        <f>DSUM(簿!$C$5:$H$1005,6,D97:D98)</f>
        <v>0</v>
      </c>
      <c r="F21" s="25">
        <f t="shared" si="0"/>
        <v>0</v>
      </c>
      <c r="I21" s="134" t="s">
        <v>312</v>
      </c>
    </row>
    <row r="22" spans="2:9" ht="14.1" customHeight="1">
      <c r="B22" s="103">
        <v>16</v>
      </c>
      <c r="C22" s="324" t="s">
        <v>101</v>
      </c>
      <c r="D22" s="337">
        <v>83600</v>
      </c>
      <c r="E22" s="24">
        <f>DSUM(簿!$C$5:$H$1005,6,D99:D100)</f>
        <v>83600</v>
      </c>
      <c r="F22" s="25">
        <f t="shared" si="0"/>
        <v>0</v>
      </c>
      <c r="I22" s="137" t="s">
        <v>313</v>
      </c>
    </row>
    <row r="23" spans="2:9" ht="14.1" customHeight="1">
      <c r="B23" s="103">
        <v>17</v>
      </c>
      <c r="C23" s="324" t="s">
        <v>102</v>
      </c>
      <c r="D23" s="337">
        <v>116810</v>
      </c>
      <c r="E23" s="24">
        <f>DSUM(簿!$C$5:$H$1005,6,D101:D102)</f>
        <v>116810</v>
      </c>
      <c r="F23" s="25">
        <f t="shared" si="0"/>
        <v>0</v>
      </c>
    </row>
    <row r="24" spans="2:9" ht="14.1" customHeight="1">
      <c r="B24" s="103">
        <v>18</v>
      </c>
      <c r="C24" s="324" t="s">
        <v>103</v>
      </c>
      <c r="D24" s="337"/>
      <c r="E24" s="24">
        <f>DSUM(簿!$C$5:$H$1005,6,D103:D104)</f>
        <v>0</v>
      </c>
      <c r="F24" s="25">
        <f t="shared" si="0"/>
        <v>0</v>
      </c>
    </row>
    <row r="25" spans="2:9" ht="14.1" customHeight="1">
      <c r="B25" s="103">
        <v>19</v>
      </c>
      <c r="C25" s="325" t="s">
        <v>104</v>
      </c>
      <c r="D25" s="329">
        <v>27280</v>
      </c>
      <c r="E25" s="257">
        <f>DSUM(簿!$C$5:$H$1005,6,D105:D106)</f>
        <v>27280</v>
      </c>
      <c r="F25" s="258">
        <f t="shared" si="0"/>
        <v>0</v>
      </c>
    </row>
    <row r="26" spans="2:9" ht="14.1" customHeight="1">
      <c r="B26" s="103">
        <v>20</v>
      </c>
      <c r="C26" s="316" t="s">
        <v>226</v>
      </c>
      <c r="D26" s="338">
        <v>47885</v>
      </c>
      <c r="E26" s="259">
        <f>DSUM(簿!$C$5:$H$1005,6,D107:D108)</f>
        <v>47885</v>
      </c>
      <c r="F26" s="260">
        <f t="shared" si="0"/>
        <v>0</v>
      </c>
    </row>
    <row r="27" spans="2:9" ht="14.1" customHeight="1">
      <c r="B27" s="103">
        <v>21</v>
      </c>
      <c r="C27" s="317" t="s">
        <v>227</v>
      </c>
      <c r="D27" s="339"/>
      <c r="E27" s="24">
        <f>DSUM(簿!$C$5:$H$1005,6,D109:D110)</f>
        <v>0</v>
      </c>
      <c r="F27" s="25">
        <f t="shared" si="0"/>
        <v>0</v>
      </c>
    </row>
    <row r="28" spans="2:9" ht="14.1" customHeight="1">
      <c r="B28" s="103">
        <v>22</v>
      </c>
      <c r="C28" s="318" t="s">
        <v>228</v>
      </c>
      <c r="D28" s="339"/>
      <c r="E28" s="24">
        <f>DSUM(簿!$C$5:$H$1005,6,D111:D112)</f>
        <v>0</v>
      </c>
      <c r="F28" s="25">
        <f t="shared" si="0"/>
        <v>0</v>
      </c>
    </row>
    <row r="29" spans="2:9" ht="14.1" customHeight="1">
      <c r="B29" s="103">
        <v>23</v>
      </c>
      <c r="C29" s="317" t="s">
        <v>229</v>
      </c>
      <c r="D29" s="339"/>
      <c r="E29" s="24">
        <f>DSUM(簿!$C$5:$H$1005,6,D113:D114)</f>
        <v>0</v>
      </c>
      <c r="F29" s="25">
        <f t="shared" si="0"/>
        <v>0</v>
      </c>
    </row>
    <row r="30" spans="2:9" ht="14.1" customHeight="1">
      <c r="B30" s="103">
        <v>24</v>
      </c>
      <c r="C30" s="318" t="s">
        <v>230</v>
      </c>
      <c r="D30" s="340"/>
      <c r="E30" s="24">
        <f>DSUM(簿!$C$5:$H$1005,6,D115:D116)</f>
        <v>0</v>
      </c>
      <c r="F30" s="25">
        <f t="shared" si="0"/>
        <v>0</v>
      </c>
    </row>
    <row r="31" spans="2:9" ht="14.1" customHeight="1">
      <c r="B31" s="103">
        <v>25</v>
      </c>
      <c r="C31" s="317" t="s">
        <v>196</v>
      </c>
      <c r="D31" s="341">
        <v>12115</v>
      </c>
      <c r="E31" s="24">
        <f>DSUM(簿!$C$5:$H$1005,6,D117:D118)</f>
        <v>12115</v>
      </c>
      <c r="F31" s="25">
        <f t="shared" si="0"/>
        <v>0</v>
      </c>
    </row>
    <row r="32" spans="2:9" ht="14.1" customHeight="1">
      <c r="B32" s="103">
        <v>26</v>
      </c>
      <c r="C32" s="317" t="s">
        <v>197</v>
      </c>
      <c r="D32" s="342"/>
      <c r="E32" s="24">
        <f>DSUM(簿!$C$5:$H$1005,6,D119:D120)</f>
        <v>0</v>
      </c>
      <c r="F32" s="25">
        <f t="shared" si="0"/>
        <v>0</v>
      </c>
    </row>
    <row r="33" spans="2:6" ht="14.1" customHeight="1">
      <c r="B33" s="103">
        <v>27</v>
      </c>
      <c r="C33" s="317" t="s">
        <v>198</v>
      </c>
      <c r="D33" s="342">
        <v>17600</v>
      </c>
      <c r="E33" s="24">
        <f>DSUM(簿!$C$5:$H$1005,6,D121:D122)</f>
        <v>17600</v>
      </c>
      <c r="F33" s="25">
        <f t="shared" si="0"/>
        <v>0</v>
      </c>
    </row>
    <row r="34" spans="2:6" ht="14.1" customHeight="1">
      <c r="B34" s="103">
        <v>28</v>
      </c>
      <c r="C34" s="319" t="s">
        <v>199</v>
      </c>
      <c r="D34" s="343"/>
      <c r="E34" s="257">
        <f>DSUM(簿!$C$5:$H$1005,6,D123:D124)</f>
        <v>0</v>
      </c>
      <c r="F34" s="258">
        <f t="shared" si="0"/>
        <v>0</v>
      </c>
    </row>
    <row r="35" spans="2:6" ht="14.1" customHeight="1" thickBot="1">
      <c r="B35" s="104">
        <v>29</v>
      </c>
      <c r="C35" s="320" t="s">
        <v>299</v>
      </c>
      <c r="D35" s="344"/>
      <c r="E35" s="26">
        <f>DSUM(簿!$C$5:$H$1005,6,D125:D126)</f>
        <v>0</v>
      </c>
      <c r="F35" s="27">
        <f t="shared" si="0"/>
        <v>0</v>
      </c>
    </row>
    <row r="36" spans="2:6" ht="14.1" hidden="1" customHeight="1">
      <c r="B36" s="102">
        <v>30</v>
      </c>
      <c r="C36" s="38"/>
      <c r="D36" s="271"/>
      <c r="E36" s="24">
        <f>DSUM(簿!$C$5:$H$1005,6,D127:D128)</f>
        <v>0</v>
      </c>
      <c r="F36" s="25">
        <f t="shared" si="0"/>
        <v>0</v>
      </c>
    </row>
    <row r="37" spans="2:6" ht="14.1" hidden="1" customHeight="1">
      <c r="B37" s="103">
        <v>31</v>
      </c>
      <c r="C37" s="39"/>
      <c r="D37" s="210"/>
      <c r="E37" s="24">
        <f>DSUM(簿!$C$5:$H$1005,6,D129:D130)</f>
        <v>0</v>
      </c>
      <c r="F37" s="25">
        <f t="shared" si="0"/>
        <v>0</v>
      </c>
    </row>
    <row r="38" spans="2:6" ht="14.1" hidden="1" customHeight="1">
      <c r="B38" s="103">
        <v>32</v>
      </c>
      <c r="C38" s="39"/>
      <c r="D38" s="210"/>
      <c r="E38" s="24">
        <f>DSUM(簿!$C$5:$H$1005,6,D131:D132)</f>
        <v>0</v>
      </c>
      <c r="F38" s="25">
        <f t="shared" si="0"/>
        <v>0</v>
      </c>
    </row>
    <row r="39" spans="2:6" ht="14.1" hidden="1" customHeight="1">
      <c r="B39" s="103">
        <v>33</v>
      </c>
      <c r="C39" s="39"/>
      <c r="D39" s="210"/>
      <c r="E39" s="24">
        <f>DSUM(簿!$C$5:$H$1005,6,D133:D134)</f>
        <v>0</v>
      </c>
      <c r="F39" s="25">
        <f t="shared" si="0"/>
        <v>0</v>
      </c>
    </row>
    <row r="40" spans="2:6" ht="14.1" hidden="1" customHeight="1">
      <c r="B40" s="103">
        <v>34</v>
      </c>
      <c r="C40" s="39"/>
      <c r="D40" s="210"/>
      <c r="E40" s="24">
        <f>DSUM(簿!$C$5:$H$1005,6,E75:E76)</f>
        <v>0</v>
      </c>
      <c r="F40" s="25">
        <f t="shared" si="0"/>
        <v>0</v>
      </c>
    </row>
    <row r="41" spans="2:6" ht="14.1" hidden="1" customHeight="1">
      <c r="B41" s="103">
        <v>35</v>
      </c>
      <c r="C41" s="39"/>
      <c r="D41" s="210"/>
      <c r="E41" s="24">
        <f>DSUM(簿!$C$5:$H$1005,6,E77:E78)</f>
        <v>0</v>
      </c>
      <c r="F41" s="25">
        <f t="shared" si="0"/>
        <v>0</v>
      </c>
    </row>
    <row r="42" spans="2:6" ht="14.1" hidden="1" customHeight="1" thickBot="1">
      <c r="B42" s="104">
        <v>36</v>
      </c>
      <c r="C42" s="269"/>
      <c r="D42" s="270"/>
      <c r="E42" s="26">
        <f>DSUM(簿!$C$5:$H$1005,6,E79:E80)</f>
        <v>0</v>
      </c>
      <c r="F42" s="27">
        <f t="shared" si="0"/>
        <v>0</v>
      </c>
    </row>
    <row r="43" spans="2:6" ht="14.1" hidden="1" customHeight="1">
      <c r="B43" s="102">
        <v>37</v>
      </c>
      <c r="C43" s="38"/>
      <c r="D43" s="268"/>
      <c r="E43" s="24">
        <f>DSUM(簿!$C$5:$H$1005,6,E81:E82)</f>
        <v>0</v>
      </c>
      <c r="F43" s="25">
        <f t="shared" si="0"/>
        <v>0</v>
      </c>
    </row>
    <row r="44" spans="2:6" ht="14.1" hidden="1" customHeight="1">
      <c r="B44" s="103">
        <v>38</v>
      </c>
      <c r="C44" s="39"/>
      <c r="D44" s="40"/>
      <c r="E44" s="24">
        <f>DSUM(簿!$C$5:$H$1005,6,E83:E84)</f>
        <v>0</v>
      </c>
      <c r="F44" s="25">
        <f t="shared" si="0"/>
        <v>0</v>
      </c>
    </row>
    <row r="45" spans="2:6" ht="14.1" hidden="1" customHeight="1">
      <c r="B45" s="103">
        <v>39</v>
      </c>
      <c r="C45" s="39"/>
      <c r="D45" s="40"/>
      <c r="E45" s="24">
        <f>DSUM(簿!$C$5:$H$1005,6,E85:E86)</f>
        <v>0</v>
      </c>
      <c r="F45" s="25">
        <f t="shared" si="0"/>
        <v>0</v>
      </c>
    </row>
    <row r="46" spans="2:6" ht="14.1" hidden="1" customHeight="1">
      <c r="B46" s="103">
        <v>40</v>
      </c>
      <c r="C46" s="39"/>
      <c r="D46" s="40"/>
      <c r="E46" s="24">
        <f>DSUM(簿!$C$5:$H$1005,6,E87:E88)</f>
        <v>0</v>
      </c>
      <c r="F46" s="25">
        <f t="shared" si="0"/>
        <v>0</v>
      </c>
    </row>
    <row r="47" spans="2:6" ht="14.1" hidden="1" customHeight="1">
      <c r="B47" s="103">
        <v>41</v>
      </c>
      <c r="C47" s="39"/>
      <c r="D47" s="40"/>
      <c r="E47" s="24">
        <f>DSUM(簿!$C$5:$H$1005,6,E89:E90)</f>
        <v>0</v>
      </c>
      <c r="F47" s="25">
        <f t="shared" si="0"/>
        <v>0</v>
      </c>
    </row>
    <row r="48" spans="2:6" ht="14.1" hidden="1" customHeight="1">
      <c r="B48" s="103">
        <v>42</v>
      </c>
      <c r="C48" s="39"/>
      <c r="D48" s="40"/>
      <c r="E48" s="24">
        <f>DSUM(簿!$C$5:$H$1005,6,E91:E92)</f>
        <v>0</v>
      </c>
      <c r="F48" s="25">
        <f t="shared" si="0"/>
        <v>0</v>
      </c>
    </row>
    <row r="49" spans="2:6" ht="14.1" hidden="1" customHeight="1">
      <c r="B49" s="103">
        <v>43</v>
      </c>
      <c r="C49" s="39"/>
      <c r="D49" s="40"/>
      <c r="E49" s="24">
        <f>DSUM(簿!$C$5:$H$1005,6,E93:E94)</f>
        <v>0</v>
      </c>
      <c r="F49" s="25">
        <f t="shared" si="0"/>
        <v>0</v>
      </c>
    </row>
    <row r="50" spans="2:6" ht="14.1" hidden="1" customHeight="1">
      <c r="B50" s="103">
        <v>44</v>
      </c>
      <c r="C50" s="39"/>
      <c r="D50" s="40"/>
      <c r="E50" s="24">
        <f>DSUM(簿!$C$5:$H$1005,6,E95:E96)</f>
        <v>0</v>
      </c>
      <c r="F50" s="25">
        <f t="shared" si="0"/>
        <v>0</v>
      </c>
    </row>
    <row r="51" spans="2:6" ht="14.1" hidden="1" customHeight="1">
      <c r="B51" s="103">
        <v>45</v>
      </c>
      <c r="C51" s="39"/>
      <c r="D51" s="40"/>
      <c r="E51" s="24">
        <f>DSUM(簿!$C$5:$H$1005,6,E97:E98)</f>
        <v>0</v>
      </c>
      <c r="F51" s="25">
        <f t="shared" si="0"/>
        <v>0</v>
      </c>
    </row>
    <row r="52" spans="2:6" ht="14.1" hidden="1" customHeight="1">
      <c r="B52" s="103">
        <v>46</v>
      </c>
      <c r="C52" s="39"/>
      <c r="D52" s="40"/>
      <c r="E52" s="24">
        <f>DSUM(簿!$C$5:$H$1005,6,E99:E100)</f>
        <v>0</v>
      </c>
      <c r="F52" s="25">
        <f t="shared" si="0"/>
        <v>0</v>
      </c>
    </row>
    <row r="53" spans="2:6" ht="14.1" hidden="1" customHeight="1">
      <c r="B53" s="103">
        <v>47</v>
      </c>
      <c r="C53" s="39"/>
      <c r="D53" s="40"/>
      <c r="E53" s="24">
        <f>DSUM(簿!$C$5:$H$1005,6,E101:E102)</f>
        <v>0</v>
      </c>
      <c r="F53" s="25">
        <f t="shared" si="0"/>
        <v>0</v>
      </c>
    </row>
    <row r="54" spans="2:6" ht="14.1" hidden="1" customHeight="1">
      <c r="B54" s="103">
        <v>48</v>
      </c>
      <c r="C54" s="39"/>
      <c r="D54" s="40"/>
      <c r="E54" s="24">
        <f>DSUM(簿!$C$5:$H$1005,6,E103:E104)</f>
        <v>0</v>
      </c>
      <c r="F54" s="25">
        <f t="shared" si="0"/>
        <v>0</v>
      </c>
    </row>
    <row r="55" spans="2:6" ht="14.1" hidden="1" customHeight="1">
      <c r="B55" s="103">
        <v>49</v>
      </c>
      <c r="C55" s="39"/>
      <c r="D55" s="40"/>
      <c r="E55" s="24">
        <f>DSUM(簿!$C$5:$H$1005,6,E105:E106)</f>
        <v>0</v>
      </c>
      <c r="F55" s="25">
        <f t="shared" si="0"/>
        <v>0</v>
      </c>
    </row>
    <row r="56" spans="2:6" ht="14.1" hidden="1" customHeight="1">
      <c r="B56" s="103">
        <v>50</v>
      </c>
      <c r="C56" s="39"/>
      <c r="D56" s="40"/>
      <c r="E56" s="24">
        <f>DSUM(簿!$C$5:$H$1005,6,E107:E108)</f>
        <v>0</v>
      </c>
      <c r="F56" s="25">
        <f t="shared" si="0"/>
        <v>0</v>
      </c>
    </row>
    <row r="57" spans="2:6" ht="14.1" hidden="1" customHeight="1">
      <c r="B57" s="103">
        <v>51</v>
      </c>
      <c r="C57" s="39"/>
      <c r="D57" s="40"/>
      <c r="E57" s="24">
        <f>DSUM(簿!$C$5:$H$1005,6,E109:E110)</f>
        <v>0</v>
      </c>
      <c r="F57" s="25">
        <f t="shared" si="0"/>
        <v>0</v>
      </c>
    </row>
    <row r="58" spans="2:6" ht="14.1" hidden="1" customHeight="1">
      <c r="B58" s="103">
        <v>52</v>
      </c>
      <c r="C58" s="39"/>
      <c r="D58" s="40"/>
      <c r="E58" s="24">
        <f>DSUM(簿!$C$5:$H$1005,6,E111:E112)</f>
        <v>0</v>
      </c>
      <c r="F58" s="25">
        <f t="shared" si="0"/>
        <v>0</v>
      </c>
    </row>
    <row r="59" spans="2:6" ht="14.1" hidden="1" customHeight="1">
      <c r="B59" s="103">
        <v>53</v>
      </c>
      <c r="C59" s="39"/>
      <c r="D59" s="40"/>
      <c r="E59" s="24">
        <f>DSUM(簿!$C$5:$H$1005,6,E113:E114)</f>
        <v>0</v>
      </c>
      <c r="F59" s="25">
        <f t="shared" si="0"/>
        <v>0</v>
      </c>
    </row>
    <row r="60" spans="2:6" ht="14.1" hidden="1" customHeight="1">
      <c r="B60" s="103">
        <v>54</v>
      </c>
      <c r="C60" s="39"/>
      <c r="D60" s="40"/>
      <c r="E60" s="24">
        <f>DSUM(簿!$C$5:$H$1005,6,E115:E116)</f>
        <v>0</v>
      </c>
      <c r="F60" s="25">
        <f t="shared" si="0"/>
        <v>0</v>
      </c>
    </row>
    <row r="61" spans="2:6" ht="14.1" hidden="1" customHeight="1">
      <c r="B61" s="103">
        <v>55</v>
      </c>
      <c r="C61" s="39"/>
      <c r="D61" s="40"/>
      <c r="E61" s="24">
        <f>DSUM(簿!$C$5:$H$1005,6,E117:E118)</f>
        <v>0</v>
      </c>
      <c r="F61" s="25">
        <f t="shared" si="0"/>
        <v>0</v>
      </c>
    </row>
    <row r="62" spans="2:6" ht="14.1" hidden="1" customHeight="1">
      <c r="B62" s="103">
        <v>56</v>
      </c>
      <c r="C62" s="39"/>
      <c r="D62" s="40"/>
      <c r="E62" s="24">
        <f>DSUM(簿!$C$5:$H$1005,6,E119:E120)</f>
        <v>0</v>
      </c>
      <c r="F62" s="25">
        <f t="shared" si="0"/>
        <v>0</v>
      </c>
    </row>
    <row r="63" spans="2:6" ht="14.1" hidden="1" customHeight="1">
      <c r="B63" s="103">
        <v>57</v>
      </c>
      <c r="C63" s="39"/>
      <c r="D63" s="40"/>
      <c r="E63" s="24">
        <f>DSUM(簿!$C$5:$H$1005,6,E121:E122)</f>
        <v>0</v>
      </c>
      <c r="F63" s="25">
        <f t="shared" si="0"/>
        <v>0</v>
      </c>
    </row>
    <row r="64" spans="2:6" ht="14.1" hidden="1" customHeight="1">
      <c r="B64" s="103">
        <v>58</v>
      </c>
      <c r="C64" s="39"/>
      <c r="D64" s="40"/>
      <c r="E64" s="24">
        <f>DSUM(簿!$C$5:$H$1005,6,E123:E124)</f>
        <v>0</v>
      </c>
      <c r="F64" s="25">
        <f t="shared" si="0"/>
        <v>0</v>
      </c>
    </row>
    <row r="65" spans="2:6" ht="14.1" hidden="1" customHeight="1">
      <c r="B65" s="103">
        <v>59</v>
      </c>
      <c r="C65" s="39"/>
      <c r="D65" s="40"/>
      <c r="E65" s="24">
        <f>DSUM(簿!$C$5:$H$1005,6,E125:E126)</f>
        <v>0</v>
      </c>
      <c r="F65" s="25">
        <f t="shared" si="0"/>
        <v>0</v>
      </c>
    </row>
    <row r="66" spans="2:6" ht="14.1" hidden="1" customHeight="1" thickBot="1">
      <c r="B66" s="105">
        <v>60</v>
      </c>
      <c r="C66" s="41"/>
      <c r="D66" s="42"/>
      <c r="E66" s="26">
        <f>DSUM(簿!$C$5:$H$1005,6,E127:E128)</f>
        <v>0</v>
      </c>
      <c r="F66" s="27">
        <f t="shared" si="0"/>
        <v>0</v>
      </c>
    </row>
    <row r="69" spans="2:6">
      <c r="B69" s="1">
        <f>COUNTA(C7:C16)</f>
        <v>8</v>
      </c>
      <c r="C69" s="1" t="s">
        <v>32</v>
      </c>
      <c r="D69" s="1" t="s">
        <v>31</v>
      </c>
      <c r="E69" s="1" t="s">
        <v>31</v>
      </c>
    </row>
    <row r="70" spans="2:6">
      <c r="B70" s="1">
        <f>COUNTA(C17:C66)+10</f>
        <v>29</v>
      </c>
      <c r="C70" s="1" t="s">
        <v>33</v>
      </c>
      <c r="D70" s="77">
        <v>1</v>
      </c>
      <c r="E70" s="77">
        <v>31</v>
      </c>
    </row>
    <row r="71" spans="2:6">
      <c r="D71" s="1" t="s">
        <v>31</v>
      </c>
      <c r="E71" s="1" t="s">
        <v>31</v>
      </c>
    </row>
    <row r="72" spans="2:6">
      <c r="D72" s="77">
        <v>2</v>
      </c>
      <c r="E72" s="77">
        <v>32</v>
      </c>
    </row>
    <row r="73" spans="2:6">
      <c r="D73" s="1" t="s">
        <v>31</v>
      </c>
      <c r="E73" s="1" t="s">
        <v>31</v>
      </c>
    </row>
    <row r="74" spans="2:6">
      <c r="D74" s="77">
        <v>3</v>
      </c>
      <c r="E74" s="77">
        <v>33</v>
      </c>
    </row>
    <row r="75" spans="2:6">
      <c r="D75" s="1" t="s">
        <v>31</v>
      </c>
      <c r="E75" s="1" t="s">
        <v>31</v>
      </c>
    </row>
    <row r="76" spans="2:6">
      <c r="D76" s="77">
        <v>4</v>
      </c>
      <c r="E76" s="77">
        <v>34</v>
      </c>
    </row>
    <row r="77" spans="2:6">
      <c r="D77" s="1" t="s">
        <v>31</v>
      </c>
      <c r="E77" s="1" t="s">
        <v>31</v>
      </c>
    </row>
    <row r="78" spans="2:6">
      <c r="D78" s="77">
        <v>5</v>
      </c>
      <c r="E78" s="77">
        <v>35</v>
      </c>
    </row>
    <row r="79" spans="2:6">
      <c r="D79" s="1" t="s">
        <v>31</v>
      </c>
      <c r="E79" s="1" t="s">
        <v>31</v>
      </c>
    </row>
    <row r="80" spans="2:6">
      <c r="D80" s="77">
        <v>6</v>
      </c>
      <c r="E80" s="77">
        <v>36</v>
      </c>
    </row>
    <row r="81" spans="4:5">
      <c r="D81" s="1" t="s">
        <v>31</v>
      </c>
      <c r="E81" s="1" t="s">
        <v>31</v>
      </c>
    </row>
    <row r="82" spans="4:5">
      <c r="D82" s="77">
        <v>7</v>
      </c>
      <c r="E82" s="77">
        <v>37</v>
      </c>
    </row>
    <row r="83" spans="4:5">
      <c r="D83" s="1" t="s">
        <v>31</v>
      </c>
      <c r="E83" s="1" t="s">
        <v>31</v>
      </c>
    </row>
    <row r="84" spans="4:5">
      <c r="D84" s="77">
        <v>8</v>
      </c>
      <c r="E84" s="77">
        <v>38</v>
      </c>
    </row>
    <row r="85" spans="4:5">
      <c r="D85" s="1" t="s">
        <v>31</v>
      </c>
      <c r="E85" s="1" t="s">
        <v>31</v>
      </c>
    </row>
    <row r="86" spans="4:5">
      <c r="D86" s="77">
        <v>9</v>
      </c>
      <c r="E86" s="77">
        <v>39</v>
      </c>
    </row>
    <row r="87" spans="4:5">
      <c r="D87" s="1" t="s">
        <v>31</v>
      </c>
      <c r="E87" s="1" t="s">
        <v>31</v>
      </c>
    </row>
    <row r="88" spans="4:5">
      <c r="D88" s="77">
        <v>10</v>
      </c>
      <c r="E88" s="77">
        <v>40</v>
      </c>
    </row>
    <row r="89" spans="4:5">
      <c r="D89" s="1" t="s">
        <v>31</v>
      </c>
      <c r="E89" s="1" t="s">
        <v>31</v>
      </c>
    </row>
    <row r="90" spans="4:5">
      <c r="D90" s="77">
        <v>11</v>
      </c>
      <c r="E90" s="77">
        <v>41</v>
      </c>
    </row>
    <row r="91" spans="4:5">
      <c r="D91" s="1" t="s">
        <v>31</v>
      </c>
      <c r="E91" s="1" t="s">
        <v>31</v>
      </c>
    </row>
    <row r="92" spans="4:5">
      <c r="D92" s="77">
        <v>12</v>
      </c>
      <c r="E92" s="77">
        <v>42</v>
      </c>
    </row>
    <row r="93" spans="4:5">
      <c r="D93" s="1" t="s">
        <v>31</v>
      </c>
      <c r="E93" s="1" t="s">
        <v>31</v>
      </c>
    </row>
    <row r="94" spans="4:5">
      <c r="D94" s="77">
        <v>13</v>
      </c>
      <c r="E94" s="77">
        <v>43</v>
      </c>
    </row>
    <row r="95" spans="4:5">
      <c r="D95" s="1" t="s">
        <v>31</v>
      </c>
      <c r="E95" s="1" t="s">
        <v>31</v>
      </c>
    </row>
    <row r="96" spans="4:5">
      <c r="D96" s="77">
        <v>14</v>
      </c>
      <c r="E96" s="77">
        <v>44</v>
      </c>
    </row>
    <row r="97" spans="4:5">
      <c r="D97" s="1" t="s">
        <v>31</v>
      </c>
      <c r="E97" s="1" t="s">
        <v>31</v>
      </c>
    </row>
    <row r="98" spans="4:5">
      <c r="D98" s="77">
        <v>15</v>
      </c>
      <c r="E98" s="77">
        <v>45</v>
      </c>
    </row>
    <row r="99" spans="4:5">
      <c r="D99" s="1" t="s">
        <v>31</v>
      </c>
      <c r="E99" s="1" t="s">
        <v>31</v>
      </c>
    </row>
    <row r="100" spans="4:5">
      <c r="D100" s="77">
        <v>16</v>
      </c>
      <c r="E100" s="77">
        <v>46</v>
      </c>
    </row>
    <row r="101" spans="4:5">
      <c r="D101" s="1" t="s">
        <v>31</v>
      </c>
      <c r="E101" s="1" t="s">
        <v>31</v>
      </c>
    </row>
    <row r="102" spans="4:5">
      <c r="D102" s="77">
        <v>17</v>
      </c>
      <c r="E102" s="77">
        <v>47</v>
      </c>
    </row>
    <row r="103" spans="4:5">
      <c r="D103" s="1" t="s">
        <v>31</v>
      </c>
      <c r="E103" s="1" t="s">
        <v>31</v>
      </c>
    </row>
    <row r="104" spans="4:5">
      <c r="D104" s="77">
        <v>18</v>
      </c>
      <c r="E104" s="77">
        <v>48</v>
      </c>
    </row>
    <row r="105" spans="4:5">
      <c r="D105" s="1" t="s">
        <v>31</v>
      </c>
      <c r="E105" s="1" t="s">
        <v>31</v>
      </c>
    </row>
    <row r="106" spans="4:5">
      <c r="D106" s="77">
        <v>19</v>
      </c>
      <c r="E106" s="77">
        <v>49</v>
      </c>
    </row>
    <row r="107" spans="4:5">
      <c r="D107" s="1" t="s">
        <v>31</v>
      </c>
      <c r="E107" s="1" t="s">
        <v>31</v>
      </c>
    </row>
    <row r="108" spans="4:5">
      <c r="D108" s="77">
        <v>20</v>
      </c>
      <c r="E108" s="77">
        <v>50</v>
      </c>
    </row>
    <row r="109" spans="4:5">
      <c r="D109" s="1" t="s">
        <v>31</v>
      </c>
      <c r="E109" s="1" t="s">
        <v>31</v>
      </c>
    </row>
    <row r="110" spans="4:5">
      <c r="D110" s="77">
        <v>21</v>
      </c>
      <c r="E110" s="77">
        <v>51</v>
      </c>
    </row>
    <row r="111" spans="4:5">
      <c r="D111" s="1" t="s">
        <v>31</v>
      </c>
      <c r="E111" s="1" t="s">
        <v>31</v>
      </c>
    </row>
    <row r="112" spans="4:5">
      <c r="D112" s="77">
        <v>22</v>
      </c>
      <c r="E112" s="77">
        <v>52</v>
      </c>
    </row>
    <row r="113" spans="4:5">
      <c r="D113" s="1" t="s">
        <v>31</v>
      </c>
      <c r="E113" s="1" t="s">
        <v>31</v>
      </c>
    </row>
    <row r="114" spans="4:5">
      <c r="D114" s="77">
        <v>23</v>
      </c>
      <c r="E114" s="77">
        <v>53</v>
      </c>
    </row>
    <row r="115" spans="4:5">
      <c r="D115" s="1" t="s">
        <v>31</v>
      </c>
      <c r="E115" s="1" t="s">
        <v>31</v>
      </c>
    </row>
    <row r="116" spans="4:5">
      <c r="D116" s="77">
        <v>24</v>
      </c>
      <c r="E116" s="77">
        <v>54</v>
      </c>
    </row>
    <row r="117" spans="4:5">
      <c r="D117" s="1" t="s">
        <v>31</v>
      </c>
      <c r="E117" s="1" t="s">
        <v>31</v>
      </c>
    </row>
    <row r="118" spans="4:5">
      <c r="D118" s="77">
        <v>25</v>
      </c>
      <c r="E118" s="77">
        <v>55</v>
      </c>
    </row>
    <row r="119" spans="4:5">
      <c r="D119" s="1" t="s">
        <v>31</v>
      </c>
      <c r="E119" s="1" t="s">
        <v>31</v>
      </c>
    </row>
    <row r="120" spans="4:5">
      <c r="D120" s="77">
        <v>26</v>
      </c>
      <c r="E120" s="77">
        <v>56</v>
      </c>
    </row>
    <row r="121" spans="4:5">
      <c r="D121" s="1" t="s">
        <v>31</v>
      </c>
      <c r="E121" s="1" t="s">
        <v>31</v>
      </c>
    </row>
    <row r="122" spans="4:5">
      <c r="D122" s="77">
        <v>27</v>
      </c>
      <c r="E122" s="77">
        <v>57</v>
      </c>
    </row>
    <row r="123" spans="4:5">
      <c r="D123" s="1" t="s">
        <v>31</v>
      </c>
      <c r="E123" s="1" t="s">
        <v>31</v>
      </c>
    </row>
    <row r="124" spans="4:5">
      <c r="D124" s="77">
        <v>28</v>
      </c>
      <c r="E124" s="77">
        <v>58</v>
      </c>
    </row>
    <row r="125" spans="4:5">
      <c r="D125" s="1" t="s">
        <v>31</v>
      </c>
      <c r="E125" s="1" t="s">
        <v>31</v>
      </c>
    </row>
    <row r="126" spans="4:5">
      <c r="D126" s="77">
        <v>29</v>
      </c>
      <c r="E126" s="77">
        <v>59</v>
      </c>
    </row>
    <row r="127" spans="4:5">
      <c r="D127" s="1" t="s">
        <v>31</v>
      </c>
      <c r="E127" s="1" t="s">
        <v>31</v>
      </c>
    </row>
    <row r="128" spans="4:5">
      <c r="D128" s="77">
        <v>30</v>
      </c>
      <c r="E128" s="77">
        <v>60</v>
      </c>
    </row>
    <row r="129" spans="4:5">
      <c r="D129" s="1" t="s">
        <v>200</v>
      </c>
    </row>
    <row r="130" spans="4:5">
      <c r="D130" s="1">
        <v>31</v>
      </c>
      <c r="E130" s="77"/>
    </row>
    <row r="131" spans="4:5">
      <c r="D131" s="1" t="s">
        <v>200</v>
      </c>
    </row>
    <row r="132" spans="4:5">
      <c r="D132" s="1">
        <v>32</v>
      </c>
      <c r="E132" s="77"/>
    </row>
    <row r="133" spans="4:5">
      <c r="D133" s="1" t="s">
        <v>200</v>
      </c>
    </row>
    <row r="134" spans="4:5">
      <c r="D134" s="1">
        <v>33</v>
      </c>
    </row>
    <row r="135" spans="4:5">
      <c r="D135" s="1" t="s">
        <v>200</v>
      </c>
    </row>
    <row r="136" spans="4:5">
      <c r="D136" s="1">
        <v>34</v>
      </c>
    </row>
    <row r="137" spans="4:5">
      <c r="D137" s="1" t="s">
        <v>200</v>
      </c>
    </row>
    <row r="138" spans="4:5">
      <c r="D138" s="1">
        <v>35</v>
      </c>
    </row>
    <row r="139" spans="4:5">
      <c r="D139" s="1" t="s">
        <v>200</v>
      </c>
    </row>
    <row r="140" spans="4:5">
      <c r="D140" s="1">
        <v>36</v>
      </c>
    </row>
    <row r="141" spans="4:5">
      <c r="D141" s="1" t="s">
        <v>200</v>
      </c>
    </row>
    <row r="142" spans="4:5">
      <c r="D142" s="1">
        <v>37</v>
      </c>
    </row>
    <row r="143" spans="4:5">
      <c r="D143" s="1" t="s">
        <v>200</v>
      </c>
    </row>
    <row r="144" spans="4:5">
      <c r="D144" s="1">
        <v>38</v>
      </c>
    </row>
    <row r="145" spans="4:4">
      <c r="D145" s="1" t="s">
        <v>200</v>
      </c>
    </row>
    <row r="146" spans="4:4">
      <c r="D146" s="1">
        <v>39</v>
      </c>
    </row>
    <row r="147" spans="4:4">
      <c r="D147" s="1" t="s">
        <v>200</v>
      </c>
    </row>
    <row r="148" spans="4:4">
      <c r="D148" s="1">
        <v>40</v>
      </c>
    </row>
    <row r="149" spans="4:4">
      <c r="D149" s="1" t="s">
        <v>200</v>
      </c>
    </row>
    <row r="150" spans="4:4">
      <c r="D150" s="1">
        <v>41</v>
      </c>
    </row>
    <row r="151" spans="4:4">
      <c r="D151" s="1" t="s">
        <v>200</v>
      </c>
    </row>
    <row r="152" spans="4:4">
      <c r="D152" s="1">
        <v>42</v>
      </c>
    </row>
    <row r="153" spans="4:4">
      <c r="D153" s="1" t="s">
        <v>200</v>
      </c>
    </row>
    <row r="154" spans="4:4">
      <c r="D154" s="1">
        <v>43</v>
      </c>
    </row>
    <row r="155" spans="4:4">
      <c r="D155" s="1" t="s">
        <v>200</v>
      </c>
    </row>
    <row r="156" spans="4:4">
      <c r="D156" s="1">
        <v>44</v>
      </c>
    </row>
    <row r="157" spans="4:4">
      <c r="D157" s="1" t="s">
        <v>200</v>
      </c>
    </row>
    <row r="158" spans="4:4">
      <c r="D158" s="1">
        <v>45</v>
      </c>
    </row>
    <row r="159" spans="4:4">
      <c r="D159" s="1" t="s">
        <v>200</v>
      </c>
    </row>
    <row r="160" spans="4:4">
      <c r="D160" s="1">
        <v>46</v>
      </c>
    </row>
    <row r="161" spans="4:4">
      <c r="D161" s="1" t="s">
        <v>200</v>
      </c>
    </row>
    <row r="162" spans="4:4">
      <c r="D162" s="1">
        <v>47</v>
      </c>
    </row>
    <row r="163" spans="4:4">
      <c r="D163" s="1" t="s">
        <v>200</v>
      </c>
    </row>
    <row r="164" spans="4:4">
      <c r="D164" s="1">
        <v>48</v>
      </c>
    </row>
    <row r="165" spans="4:4">
      <c r="D165" s="1" t="s">
        <v>200</v>
      </c>
    </row>
    <row r="166" spans="4:4">
      <c r="D166" s="1">
        <v>49</v>
      </c>
    </row>
    <row r="167" spans="4:4">
      <c r="D167" s="1" t="s">
        <v>200</v>
      </c>
    </row>
    <row r="168" spans="4:4">
      <c r="D168" s="1">
        <v>50</v>
      </c>
    </row>
    <row r="169" spans="4:4">
      <c r="D169" s="1" t="s">
        <v>200</v>
      </c>
    </row>
    <row r="170" spans="4:4">
      <c r="D170" s="1">
        <v>51</v>
      </c>
    </row>
    <row r="171" spans="4:4">
      <c r="D171" s="1" t="s">
        <v>200</v>
      </c>
    </row>
    <row r="172" spans="4:4">
      <c r="D172" s="1">
        <v>52</v>
      </c>
    </row>
    <row r="173" spans="4:4">
      <c r="D173" s="1" t="s">
        <v>200</v>
      </c>
    </row>
    <row r="174" spans="4:4">
      <c r="D174" s="1">
        <v>53</v>
      </c>
    </row>
    <row r="175" spans="4:4">
      <c r="D175" s="1" t="s">
        <v>200</v>
      </c>
    </row>
    <row r="176" spans="4:4">
      <c r="D176" s="1">
        <v>54</v>
      </c>
    </row>
    <row r="177" spans="4:4">
      <c r="D177" s="1" t="s">
        <v>200</v>
      </c>
    </row>
    <row r="178" spans="4:4">
      <c r="D178" s="1">
        <v>55</v>
      </c>
    </row>
    <row r="179" spans="4:4">
      <c r="D179" s="1" t="s">
        <v>200</v>
      </c>
    </row>
    <row r="180" spans="4:4">
      <c r="D180" s="1">
        <v>56</v>
      </c>
    </row>
    <row r="181" spans="4:4">
      <c r="D181" s="1" t="s">
        <v>200</v>
      </c>
    </row>
    <row r="182" spans="4:4">
      <c r="D182" s="1">
        <v>57</v>
      </c>
    </row>
    <row r="183" spans="4:4">
      <c r="D183" s="1" t="s">
        <v>200</v>
      </c>
    </row>
    <row r="184" spans="4:4">
      <c r="D184" s="1">
        <v>58</v>
      </c>
    </row>
    <row r="185" spans="4:4">
      <c r="D185" s="1" t="s">
        <v>200</v>
      </c>
    </row>
    <row r="186" spans="4:4">
      <c r="D186" s="1">
        <v>59</v>
      </c>
    </row>
    <row r="187" spans="4:4">
      <c r="D187" s="1" t="s">
        <v>200</v>
      </c>
    </row>
    <row r="188" spans="4:4">
      <c r="D188" s="1">
        <v>60</v>
      </c>
    </row>
  </sheetData>
  <sheetProtection sheet="1" objects="1" scenarios="1"/>
  <mergeCells count="3">
    <mergeCell ref="A2:B2"/>
    <mergeCell ref="A4:B4"/>
    <mergeCell ref="C2:E2"/>
  </mergeCells>
  <phoneticPr fontId="5"/>
  <conditionalFormatting sqref="E7:F66">
    <cfRule type="cellIs" dxfId="2" priority="1" stopIfTrue="1" operator="equal">
      <formula>0</formula>
    </cfRule>
  </conditionalFormatting>
  <dataValidations count="4">
    <dataValidation imeMode="off" allowBlank="1" showInputMessage="1" showErrorMessage="1" sqref="D7:D66 E4"/>
    <dataValidation imeMode="on" allowBlank="1" showInputMessage="1" showErrorMessage="1" sqref="C2:E2 C4 C7:C66"/>
    <dataValidation type="list" allowBlank="1" showInputMessage="1" showErrorMessage="1" sqref="L13">
      <formula1>"4,3,2,1"</formula1>
    </dataValidation>
    <dataValidation type="list" allowBlank="1" showInputMessage="1" sqref="K13">
      <formula1>"スポーツ,文化"</formula1>
    </dataValidation>
  </dataValidations>
  <pageMargins left="0.75" right="0.75" top="1" bottom="1" header="0.51200000000000001" footer="0.51200000000000001"/>
  <pageSetup paperSize="9" scale="79" fitToHeight="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autoFill="0" autoLine="0" autoPict="0" macro="[0]!メニュー">
                <anchor moveWithCells="1" sizeWithCells="1">
                  <from>
                    <xdr:col>7</xdr:col>
                    <xdr:colOff>361950</xdr:colOff>
                    <xdr:row>0</xdr:row>
                    <xdr:rowOff>152400</xdr:rowOff>
                  </from>
                  <to>
                    <xdr:col>9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1006"/>
  <sheetViews>
    <sheetView workbookViewId="0">
      <pane ySplit="5" topLeftCell="A6" activePane="bottomLeft" state="frozen"/>
      <selection pane="bottomLeft" activeCell="K10" sqref="K10"/>
    </sheetView>
  </sheetViews>
  <sheetFormatPr defaultRowHeight="14.25"/>
  <cols>
    <col min="1" max="1" width="3.5703125" style="11" customWidth="1"/>
    <col min="2" max="2" width="8.42578125" style="11" customWidth="1"/>
    <col min="3" max="3" width="5.140625" style="11" customWidth="1"/>
    <col min="4" max="4" width="16.7109375" style="11" customWidth="1"/>
    <col min="5" max="5" width="40.7109375" style="11" customWidth="1"/>
    <col min="6" max="6" width="4.5703125" style="11" customWidth="1"/>
    <col min="7" max="9" width="13.7109375" style="11" customWidth="1"/>
    <col min="10" max="10" width="10.7109375" style="9" customWidth="1"/>
    <col min="11" max="11" width="65.7109375" style="9" customWidth="1"/>
    <col min="12" max="12" width="10.7109375" style="9" customWidth="1"/>
    <col min="13" max="13" width="7.28515625" style="9" customWidth="1"/>
    <col min="14" max="14" width="36.7109375" style="9" customWidth="1"/>
    <col min="15" max="15" width="4.140625" style="9" customWidth="1"/>
    <col min="16" max="17" width="11.7109375" style="9" customWidth="1"/>
    <col min="18" max="16384" width="9.140625" style="9"/>
  </cols>
  <sheetData>
    <row r="1" spans="1:17">
      <c r="H1" s="118" t="s">
        <v>49</v>
      </c>
    </row>
    <row r="2" spans="1:17">
      <c r="H2" s="117" t="s">
        <v>54</v>
      </c>
    </row>
    <row r="3" spans="1:17">
      <c r="A3" s="178" t="s">
        <v>316</v>
      </c>
      <c r="B3" s="9"/>
      <c r="C3" s="9"/>
      <c r="D3" s="9"/>
      <c r="E3" s="106"/>
      <c r="F3" s="9"/>
      <c r="G3" s="9"/>
      <c r="H3" s="119" t="s">
        <v>50</v>
      </c>
      <c r="M3" s="23" t="s">
        <v>28</v>
      </c>
      <c r="N3" s="48"/>
      <c r="O3" s="23"/>
      <c r="P3" s="23"/>
      <c r="Q3" s="23"/>
    </row>
    <row r="4" spans="1:17">
      <c r="A4" s="179" t="s">
        <v>240</v>
      </c>
      <c r="M4" s="76">
        <v>29</v>
      </c>
      <c r="N4" s="48" t="str">
        <f>IF(M4="","",VLOOKUP(M4,予算!$B$7:$C$66,2))</f>
        <v>その他の経費（対象外）</v>
      </c>
      <c r="O4" s="23"/>
      <c r="P4" s="23"/>
      <c r="Q4" s="23"/>
    </row>
    <row r="5" spans="1:17">
      <c r="A5" s="33"/>
      <c r="B5" s="34" t="s">
        <v>11</v>
      </c>
      <c r="C5" s="33" t="s">
        <v>15</v>
      </c>
      <c r="D5" s="35" t="s">
        <v>17</v>
      </c>
      <c r="E5" s="35" t="s">
        <v>18</v>
      </c>
      <c r="F5" s="45" t="s">
        <v>25</v>
      </c>
      <c r="G5" s="33" t="s">
        <v>12</v>
      </c>
      <c r="H5" s="33" t="s">
        <v>13</v>
      </c>
      <c r="I5" s="35" t="s">
        <v>14</v>
      </c>
      <c r="M5" s="46" t="s">
        <v>11</v>
      </c>
      <c r="N5" s="49" t="s">
        <v>18</v>
      </c>
      <c r="O5" s="45" t="s">
        <v>27</v>
      </c>
      <c r="P5" s="69" t="s">
        <v>12</v>
      </c>
      <c r="Q5" s="69" t="s">
        <v>13</v>
      </c>
    </row>
    <row r="6" spans="1:17">
      <c r="A6" s="274">
        <f>IF(B6="","",DATE(IF(INT(B6)&gt;=4,予算!$L$1,予算!$L$2),INT(B6),ROUND(MOD(B6,1)*100,0)))</f>
        <v>46266</v>
      </c>
      <c r="B6" s="68">
        <v>9.01</v>
      </c>
      <c r="C6" s="43">
        <v>1</v>
      </c>
      <c r="D6" s="11" t="str">
        <f>IF(C6="","",VLOOKUP(C6,予算!$B$7:$C$66,2))</f>
        <v>会費</v>
      </c>
      <c r="E6" s="199" t="s">
        <v>136</v>
      </c>
      <c r="F6" s="207">
        <v>-1</v>
      </c>
      <c r="G6" s="32">
        <v>60000</v>
      </c>
      <c r="H6" s="32"/>
      <c r="I6" s="50">
        <f>IF(C6="","",G6-H6)</f>
        <v>60000</v>
      </c>
      <c r="M6" s="68"/>
      <c r="N6" s="199"/>
      <c r="O6" s="207"/>
      <c r="P6" s="32"/>
      <c r="Q6" s="32"/>
    </row>
    <row r="7" spans="1:17">
      <c r="A7" s="274">
        <f>IF(B7="","",DATE(IF(INT(B7)&gt;=4,予算!$L$1,予算!$L$2),INT(B7),ROUND(MOD(B7,1)*100,0)))</f>
        <v>46266</v>
      </c>
      <c r="B7" s="68">
        <v>9.01</v>
      </c>
      <c r="C7" s="43">
        <v>1</v>
      </c>
      <c r="D7" s="11" t="str">
        <f>IF(C7="","",VLOOKUP(C7,予算!$B$7:$C$66,2))</f>
        <v>会費</v>
      </c>
      <c r="E7" s="199" t="s">
        <v>137</v>
      </c>
      <c r="F7" s="201">
        <v>-2</v>
      </c>
      <c r="G7" s="32">
        <v>60000</v>
      </c>
      <c r="H7" s="32"/>
      <c r="I7" s="50">
        <f>IF(C7="","",I6+G7-H7)</f>
        <v>120000</v>
      </c>
      <c r="M7" s="68"/>
      <c r="N7" s="199"/>
      <c r="O7" s="200"/>
      <c r="P7" s="32"/>
      <c r="Q7" s="32"/>
    </row>
    <row r="8" spans="1:17">
      <c r="A8" s="274">
        <f>IF(B8="","",DATE(IF(INT(B8)&gt;=4,予算!$L$1,予算!$L$2),INT(B8),ROUND(MOD(B8,1)*100,0)))</f>
        <v>46267</v>
      </c>
      <c r="B8" s="68">
        <v>9.02</v>
      </c>
      <c r="C8" s="43">
        <v>6</v>
      </c>
      <c r="D8" s="11" t="str">
        <f>IF(C8="","",VLOOKUP(C8,予算!$B$7:$C$66,2))</f>
        <v>保険料（対象外）</v>
      </c>
      <c r="E8" s="199" t="s">
        <v>103</v>
      </c>
      <c r="F8" s="207">
        <v>-3</v>
      </c>
      <c r="G8" s="32">
        <v>17600</v>
      </c>
      <c r="H8" s="32"/>
      <c r="I8" s="50">
        <f>IF(C8="","",I7+G8-H8)</f>
        <v>137600</v>
      </c>
      <c r="M8" s="68"/>
      <c r="N8" s="199"/>
      <c r="O8" s="200"/>
      <c r="P8" s="32"/>
      <c r="Q8" s="32"/>
    </row>
    <row r="9" spans="1:17">
      <c r="A9" s="274">
        <f>IF(B9="","",DATE(IF(INT(B9)&gt;=4,予算!$L$1,予算!$L$2),INT(B9),ROUND(MOD(B9,1)*100,0)))</f>
        <v>46267</v>
      </c>
      <c r="B9" s="68">
        <v>9.02</v>
      </c>
      <c r="C9" s="43">
        <v>27</v>
      </c>
      <c r="D9" s="11" t="str">
        <f>IF(C9="","",VLOOKUP(C9,予算!$B$7:$C$66,2))</f>
        <v>保険料（対象外）</v>
      </c>
      <c r="E9" s="199" t="s">
        <v>126</v>
      </c>
      <c r="F9" s="207">
        <v>4</v>
      </c>
      <c r="G9" s="32"/>
      <c r="H9" s="32">
        <v>17600</v>
      </c>
      <c r="I9" s="50">
        <f t="shared" ref="I9:I72" si="0">IF(C9="","",I8+G9-H9)</f>
        <v>120000</v>
      </c>
      <c r="M9" s="68"/>
      <c r="N9" s="203"/>
      <c r="O9" s="200"/>
      <c r="P9" s="32"/>
      <c r="Q9" s="32"/>
    </row>
    <row r="10" spans="1:17">
      <c r="A10" s="274">
        <f>IF(B10="","",DATE(IF(INT(B10)&gt;=4,予算!$L$1,予算!$L$2),INT(B10),ROUND(MOD(B10,1)*100,0)))</f>
        <v>46267</v>
      </c>
      <c r="B10" s="68">
        <v>9.02</v>
      </c>
      <c r="C10" s="43">
        <v>19</v>
      </c>
      <c r="D10" s="11" t="str">
        <f>IF(C10="","",VLOOKUP(C10,予算!$B$7:$C$66,2))</f>
        <v>雑務経費</v>
      </c>
      <c r="E10" s="199" t="s">
        <v>116</v>
      </c>
      <c r="F10" s="207">
        <v>5</v>
      </c>
      <c r="G10" s="32"/>
      <c r="H10" s="32">
        <v>27280</v>
      </c>
      <c r="I10" s="50">
        <f t="shared" si="0"/>
        <v>92720</v>
      </c>
      <c r="M10" s="68"/>
      <c r="N10" s="199"/>
      <c r="O10" s="200"/>
      <c r="P10" s="32"/>
      <c r="Q10" s="32"/>
    </row>
    <row r="11" spans="1:17">
      <c r="A11" s="274">
        <f>IF(B11="","",DATE(IF(INT(B11)&gt;=4,予算!$L$1,予算!$L$2),INT(B11),ROUND(MOD(B11,1)*100,0)))</f>
        <v>46268</v>
      </c>
      <c r="B11" s="68">
        <v>9.0299999999999994</v>
      </c>
      <c r="C11" s="43">
        <v>14</v>
      </c>
      <c r="D11" s="11" t="str">
        <f>IF(C11="","",VLOOKUP(C11,予算!$B$7:$C$66,2))</f>
        <v>印刷製本費</v>
      </c>
      <c r="E11" s="199" t="s">
        <v>245</v>
      </c>
      <c r="F11" s="200">
        <v>6</v>
      </c>
      <c r="G11" s="32"/>
      <c r="H11" s="32">
        <v>30000</v>
      </c>
      <c r="I11" s="50">
        <f t="shared" si="0"/>
        <v>62720</v>
      </c>
      <c r="M11" s="68"/>
      <c r="N11" s="199"/>
      <c r="O11" s="200"/>
      <c r="P11" s="32"/>
      <c r="Q11" s="32"/>
    </row>
    <row r="12" spans="1:17">
      <c r="A12" s="274">
        <f>IF(B12="","",DATE(IF(INT(B12)&gt;=4,予算!$L$1,予算!$L$2),INT(B12),ROUND(MOD(B12,1)*100,0)))</f>
        <v>46296</v>
      </c>
      <c r="B12" s="68">
        <v>10.01</v>
      </c>
      <c r="C12" s="43">
        <v>8</v>
      </c>
      <c r="D12" s="11" t="str">
        <f>IF(C12="","",VLOOKUP(C12,予算!$B$7:$C$66,2))</f>
        <v>補助金</v>
      </c>
      <c r="E12" s="199" t="s">
        <v>118</v>
      </c>
      <c r="F12" s="201">
        <v>-7</v>
      </c>
      <c r="G12" s="32">
        <v>143000</v>
      </c>
      <c r="H12" s="32"/>
      <c r="I12" s="50">
        <f t="shared" si="0"/>
        <v>205720</v>
      </c>
      <c r="M12" s="68"/>
      <c r="N12" s="199"/>
      <c r="O12" s="200"/>
      <c r="P12" s="32"/>
      <c r="Q12" s="32"/>
    </row>
    <row r="13" spans="1:17">
      <c r="A13" s="274">
        <f>IF(B13="","",DATE(IF(INT(B13)&gt;=4,予算!$L$1,予算!$L$2),INT(B13),ROUND(MOD(B13,1)*100,0)))</f>
        <v>46300</v>
      </c>
      <c r="B13" s="68">
        <v>10.050000000000001</v>
      </c>
      <c r="C13" s="43">
        <v>16</v>
      </c>
      <c r="D13" s="11" t="str">
        <f>IF(C13="","",VLOOKUP(C13,予算!$B$7:$C$66,2))</f>
        <v>消耗品費</v>
      </c>
      <c r="E13" s="199" t="s">
        <v>237</v>
      </c>
      <c r="F13" s="207">
        <v>8</v>
      </c>
      <c r="G13" s="32"/>
      <c r="H13" s="32">
        <v>83600</v>
      </c>
      <c r="I13" s="50">
        <f t="shared" si="0"/>
        <v>122120</v>
      </c>
      <c r="M13" s="68"/>
      <c r="N13" s="203"/>
      <c r="O13" s="200"/>
      <c r="P13" s="32"/>
      <c r="Q13" s="32"/>
    </row>
    <row r="14" spans="1:17">
      <c r="A14" s="274">
        <f>IF(B14="","",DATE(IF(INT(B14)&gt;=4,予算!$L$1,予算!$L$2),INT(B14),ROUND(MOD(B14,1)*100,0)))</f>
        <v>46315</v>
      </c>
      <c r="B14" s="68">
        <v>10.199999999999999</v>
      </c>
      <c r="C14" s="43">
        <v>11</v>
      </c>
      <c r="D14" s="11" t="str">
        <f>IF(C14="","",VLOOKUP(C14,予算!$B$7:$C$66,2))</f>
        <v>諸謝金</v>
      </c>
      <c r="E14" s="199" t="s">
        <v>114</v>
      </c>
      <c r="F14" s="207">
        <v>9</v>
      </c>
      <c r="G14" s="32"/>
      <c r="H14" s="32">
        <v>24000</v>
      </c>
      <c r="I14" s="50">
        <f t="shared" si="0"/>
        <v>98120</v>
      </c>
      <c r="M14" s="68"/>
      <c r="N14" s="199"/>
      <c r="O14" s="207"/>
      <c r="P14" s="32"/>
      <c r="Q14" s="32"/>
    </row>
    <row r="15" spans="1:17">
      <c r="A15" s="274">
        <f>IF(B15="","",DATE(IF(INT(B15)&gt;=4,予算!$L$1,予算!$L$2),INT(B15),ROUND(MOD(B15,1)*100,0)))</f>
        <v>46315</v>
      </c>
      <c r="B15" s="68">
        <v>10.199999999999999</v>
      </c>
      <c r="C15" s="43">
        <v>11</v>
      </c>
      <c r="D15" s="11" t="str">
        <f>IF(C15="","",VLOOKUP(C15,予算!$B$7:$C$66,2))</f>
        <v>諸謝金</v>
      </c>
      <c r="E15" s="199" t="s">
        <v>115</v>
      </c>
      <c r="F15" s="207">
        <v>9</v>
      </c>
      <c r="G15" s="32"/>
      <c r="H15" s="32">
        <v>2728</v>
      </c>
      <c r="I15" s="50">
        <f t="shared" si="0"/>
        <v>95392</v>
      </c>
      <c r="M15" s="68"/>
      <c r="N15" s="199"/>
      <c r="O15" s="207"/>
      <c r="P15" s="32"/>
      <c r="Q15" s="32"/>
    </row>
    <row r="16" spans="1:17">
      <c r="A16" s="274">
        <f>IF(B16="","",DATE(IF(INT(B16)&gt;=4,予算!$L$1,予算!$L$2),INT(B16),ROUND(MOD(B16,1)*100,0)))</f>
        <v>46315</v>
      </c>
      <c r="B16" s="68">
        <v>10.199999999999999</v>
      </c>
      <c r="C16" s="43">
        <v>11</v>
      </c>
      <c r="D16" s="11" t="str">
        <f>IF(C16="","",VLOOKUP(C16,予算!$B$7:$C$66,2))</f>
        <v>諸謝金</v>
      </c>
      <c r="E16" s="199" t="s">
        <v>124</v>
      </c>
      <c r="F16" s="207">
        <v>10</v>
      </c>
      <c r="G16" s="32"/>
      <c r="H16" s="32">
        <v>3000</v>
      </c>
      <c r="I16" s="50">
        <f t="shared" si="0"/>
        <v>92392</v>
      </c>
      <c r="M16" s="68"/>
      <c r="N16" s="199"/>
      <c r="O16" s="200"/>
      <c r="P16" s="32"/>
      <c r="Q16" s="32"/>
    </row>
    <row r="17" spans="1:17">
      <c r="A17" s="274">
        <f>IF(B17="","",DATE(IF(INT(B17)&gt;=4,予算!$L$1,予算!$L$2),INT(B17),ROUND(MOD(B17,1)*100,0)))</f>
        <v>46315</v>
      </c>
      <c r="B17" s="68">
        <v>10.199999999999999</v>
      </c>
      <c r="C17" s="43">
        <v>11</v>
      </c>
      <c r="D17" s="11" t="str">
        <f>IF(C17="","",VLOOKUP(C17,予算!$B$7:$C$66,2))</f>
        <v>諸謝金</v>
      </c>
      <c r="E17" s="203" t="s">
        <v>125</v>
      </c>
      <c r="F17" s="207">
        <v>10</v>
      </c>
      <c r="G17" s="32"/>
      <c r="H17" s="32">
        <v>341</v>
      </c>
      <c r="I17" s="50">
        <f t="shared" si="0"/>
        <v>92051</v>
      </c>
      <c r="M17" s="68"/>
      <c r="N17" s="203"/>
      <c r="O17" s="200"/>
      <c r="P17" s="32"/>
      <c r="Q17" s="32"/>
    </row>
    <row r="18" spans="1:17">
      <c r="A18" s="274">
        <f>IF(B18="","",DATE(IF(INT(B18)&gt;=4,予算!$L$1,予算!$L$2),INT(B18),ROUND(MOD(B18,1)*100,0)))</f>
        <v>46315</v>
      </c>
      <c r="B18" s="68">
        <v>10.199999999999999</v>
      </c>
      <c r="C18" s="43">
        <v>11</v>
      </c>
      <c r="D18" s="11" t="str">
        <f>IF(C18="","",VLOOKUP(C18,予算!$B$7:$C$66,2))</f>
        <v>諸謝金</v>
      </c>
      <c r="E18" s="199" t="s">
        <v>201</v>
      </c>
      <c r="F18" s="200">
        <v>11</v>
      </c>
      <c r="G18" s="32"/>
      <c r="H18" s="32">
        <v>16000</v>
      </c>
      <c r="I18" s="50">
        <f t="shared" si="0"/>
        <v>76051</v>
      </c>
      <c r="M18" s="68"/>
      <c r="N18" s="199"/>
      <c r="O18" s="208"/>
      <c r="P18" s="32"/>
      <c r="Q18" s="32"/>
    </row>
    <row r="19" spans="1:17">
      <c r="A19" s="274">
        <f>IF(B19="","",DATE(IF(INT(B19)&gt;=4,予算!$L$1,予算!$L$2),INT(B19),ROUND(MOD(B19,1)*100,0)))</f>
        <v>46315</v>
      </c>
      <c r="B19" s="68">
        <v>10.199999999999999</v>
      </c>
      <c r="C19" s="43">
        <v>11</v>
      </c>
      <c r="D19" s="11" t="str">
        <f>IF(C19="","",VLOOKUP(C19,予算!$B$7:$C$66,2))</f>
        <v>諸謝金</v>
      </c>
      <c r="E19" s="199" t="s">
        <v>202</v>
      </c>
      <c r="F19" s="200">
        <v>11</v>
      </c>
      <c r="G19" s="32"/>
      <c r="H19" s="32">
        <v>1816</v>
      </c>
      <c r="I19" s="50">
        <f t="shared" si="0"/>
        <v>74235</v>
      </c>
      <c r="M19" s="68"/>
      <c r="N19" s="203"/>
      <c r="O19" s="201"/>
      <c r="P19" s="32"/>
      <c r="Q19" s="32"/>
    </row>
    <row r="20" spans="1:17">
      <c r="A20" s="274">
        <f>IF(B20="","",DATE(IF(INT(B20)&gt;=4,予算!$L$1,予算!$L$2),INT(B20),ROUND(MOD(B20,1)*100,0)))</f>
        <v>46327</v>
      </c>
      <c r="B20" s="68">
        <v>11.01</v>
      </c>
      <c r="C20" s="43">
        <v>1</v>
      </c>
      <c r="D20" s="11" t="str">
        <f>IF(C20="","",VLOOKUP(C20,予算!$B$7:$C$66,2))</f>
        <v>会費</v>
      </c>
      <c r="E20" s="199" t="s">
        <v>117</v>
      </c>
      <c r="F20" s="200">
        <v>-12</v>
      </c>
      <c r="G20" s="32">
        <v>60000</v>
      </c>
      <c r="H20" s="32"/>
      <c r="I20" s="50">
        <f t="shared" si="0"/>
        <v>134235</v>
      </c>
      <c r="M20" s="68"/>
      <c r="N20" s="199"/>
      <c r="O20" s="200"/>
      <c r="P20" s="32"/>
      <c r="Q20" s="32"/>
    </row>
    <row r="21" spans="1:17">
      <c r="A21" s="274">
        <f>IF(B21="","",DATE(IF(INT(B21)&gt;=4,予算!$L$1,予算!$L$2),INT(B21),ROUND(MOD(B21,1)*100,0)))</f>
        <v>46346</v>
      </c>
      <c r="B21" s="68">
        <v>11.2</v>
      </c>
      <c r="C21" s="43">
        <v>11</v>
      </c>
      <c r="D21" s="11" t="str">
        <f>IF(C21="","",VLOOKUP(C21,予算!$B$7:$C$66,2))</f>
        <v>諸謝金</v>
      </c>
      <c r="E21" s="199" t="s">
        <v>119</v>
      </c>
      <c r="F21" s="200">
        <v>13</v>
      </c>
      <c r="G21" s="32"/>
      <c r="H21" s="32">
        <v>24000</v>
      </c>
      <c r="I21" s="50">
        <f t="shared" si="0"/>
        <v>110235</v>
      </c>
      <c r="M21" s="68"/>
      <c r="N21" s="199"/>
      <c r="O21" s="200"/>
      <c r="P21" s="32"/>
      <c r="Q21" s="32"/>
    </row>
    <row r="22" spans="1:17">
      <c r="A22" s="274">
        <f>IF(B22="","",DATE(IF(INT(B22)&gt;=4,予算!$L$1,予算!$L$2),INT(B22),ROUND(MOD(B22,1)*100,0)))</f>
        <v>46346</v>
      </c>
      <c r="B22" s="68">
        <v>11.2</v>
      </c>
      <c r="C22" s="43">
        <v>11</v>
      </c>
      <c r="D22" s="11" t="str">
        <f>IF(C22="","",VLOOKUP(C22,予算!$B$7:$C$66,2))</f>
        <v>諸謝金</v>
      </c>
      <c r="E22" s="203" t="s">
        <v>120</v>
      </c>
      <c r="F22" s="200">
        <v>13</v>
      </c>
      <c r="G22" s="32"/>
      <c r="H22" s="32">
        <v>2728</v>
      </c>
      <c r="I22" s="50">
        <f t="shared" si="0"/>
        <v>107507</v>
      </c>
      <c r="M22" s="68"/>
      <c r="N22" s="199"/>
      <c r="O22" s="200"/>
      <c r="P22" s="32"/>
      <c r="Q22" s="32"/>
    </row>
    <row r="23" spans="1:17">
      <c r="A23" s="274">
        <f>IF(B23="","",DATE(IF(INT(B23)&gt;=4,予算!$L$1,予算!$L$2),INT(B23),ROUND(MOD(B23,1)*100,0)))</f>
        <v>46346</v>
      </c>
      <c r="B23" s="68">
        <v>11.2</v>
      </c>
      <c r="C23" s="43">
        <v>11</v>
      </c>
      <c r="D23" s="11" t="str">
        <f>IF(C23="","",VLOOKUP(C23,予算!$B$7:$C$66,2))</f>
        <v>諸謝金</v>
      </c>
      <c r="E23" s="199" t="s">
        <v>128</v>
      </c>
      <c r="F23" s="207">
        <v>14</v>
      </c>
      <c r="G23" s="32"/>
      <c r="H23" s="32">
        <v>3000</v>
      </c>
      <c r="I23" s="50">
        <f t="shared" si="0"/>
        <v>104507</v>
      </c>
      <c r="M23" s="68"/>
      <c r="N23" s="199"/>
      <c r="O23" s="200"/>
      <c r="P23" s="32"/>
      <c r="Q23" s="32"/>
    </row>
    <row r="24" spans="1:17">
      <c r="A24" s="274">
        <f>IF(B24="","",DATE(IF(INT(B24)&gt;=4,予算!$L$1,予算!$L$2),INT(B24),ROUND(MOD(B24,1)*100,0)))</f>
        <v>46346</v>
      </c>
      <c r="B24" s="68">
        <v>11.2</v>
      </c>
      <c r="C24" s="43">
        <v>11</v>
      </c>
      <c r="D24" s="11" t="str">
        <f>IF(C24="","",VLOOKUP(C24,予算!$B$7:$C$66,2))</f>
        <v>諸謝金</v>
      </c>
      <c r="E24" s="199" t="s">
        <v>129</v>
      </c>
      <c r="F24" s="207">
        <v>14</v>
      </c>
      <c r="G24" s="32"/>
      <c r="H24" s="32">
        <v>341</v>
      </c>
      <c r="I24" s="50">
        <f t="shared" si="0"/>
        <v>104166</v>
      </c>
      <c r="M24" s="68"/>
      <c r="N24" s="199"/>
      <c r="O24" s="207"/>
      <c r="P24" s="32"/>
      <c r="Q24" s="32"/>
    </row>
    <row r="25" spans="1:17">
      <c r="A25" s="274">
        <f>IF(B25="","",DATE(IF(INT(B25)&gt;=4,予算!$L$1,予算!$L$2),INT(B25),ROUND(MOD(B25,1)*100,0)))</f>
        <v>46346</v>
      </c>
      <c r="B25" s="68">
        <v>11.2</v>
      </c>
      <c r="C25" s="43">
        <v>11</v>
      </c>
      <c r="D25" s="11" t="str">
        <f>IF(C25="","",VLOOKUP(C25,予算!$B$7:$C$66,2))</f>
        <v>諸謝金</v>
      </c>
      <c r="E25" s="199" t="s">
        <v>203</v>
      </c>
      <c r="F25" s="200">
        <v>15</v>
      </c>
      <c r="G25" s="32"/>
      <c r="H25" s="32">
        <v>16000</v>
      </c>
      <c r="I25" s="50">
        <f t="shared" si="0"/>
        <v>88166</v>
      </c>
      <c r="M25" s="68"/>
      <c r="N25" s="203"/>
      <c r="O25" s="200"/>
      <c r="P25" s="32"/>
      <c r="Q25" s="32"/>
    </row>
    <row r="26" spans="1:17">
      <c r="A26" s="274">
        <f>IF(B26="","",DATE(IF(INT(B26)&gt;=4,予算!$L$1,予算!$L$2),INT(B26),ROUND(MOD(B26,1)*100,0)))</f>
        <v>46346</v>
      </c>
      <c r="B26" s="68">
        <v>11.2</v>
      </c>
      <c r="C26" s="43">
        <v>11</v>
      </c>
      <c r="D26" s="11" t="str">
        <f>IF(C26="","",VLOOKUP(C26,予算!$B$7:$C$66,2))</f>
        <v>諸謝金</v>
      </c>
      <c r="E26" s="203" t="s">
        <v>204</v>
      </c>
      <c r="F26" s="200">
        <v>15</v>
      </c>
      <c r="G26" s="32"/>
      <c r="H26" s="32">
        <v>1816</v>
      </c>
      <c r="I26" s="50">
        <f t="shared" si="0"/>
        <v>86350</v>
      </c>
      <c r="M26" s="68"/>
      <c r="N26" s="203"/>
      <c r="O26" s="200"/>
      <c r="P26" s="32"/>
      <c r="Q26" s="32"/>
    </row>
    <row r="27" spans="1:17">
      <c r="A27" s="274">
        <f>IF(B27="","",DATE(IF(INT(B27)&gt;=4,予算!$L$1,予算!$L$2),INT(B27),ROUND(MOD(B27,1)*100,0)))</f>
        <v>46347</v>
      </c>
      <c r="B27" s="68">
        <v>11.21</v>
      </c>
      <c r="C27" s="43">
        <v>12</v>
      </c>
      <c r="D27" s="11" t="str">
        <f>IF(C27="","",VLOOKUP(C27,予算!$B$7:$C$66,2))</f>
        <v>旅費</v>
      </c>
      <c r="E27" s="199" t="s">
        <v>243</v>
      </c>
      <c r="F27" s="200">
        <v>16</v>
      </c>
      <c r="G27" s="32"/>
      <c r="H27" s="32">
        <v>42000</v>
      </c>
      <c r="I27" s="50">
        <f t="shared" si="0"/>
        <v>44350</v>
      </c>
      <c r="M27" s="68"/>
      <c r="N27" s="199"/>
      <c r="O27" s="200"/>
      <c r="P27" s="32"/>
      <c r="Q27" s="32"/>
    </row>
    <row r="28" spans="1:17">
      <c r="A28" s="274">
        <f>IF(B28="","",DATE(IF(INT(B28)&gt;=4,予算!$L$1,予算!$L$2),INT(B28),ROUND(MOD(B28,1)*100,0)))</f>
        <v>46357</v>
      </c>
      <c r="B28" s="68">
        <v>12.01</v>
      </c>
      <c r="C28" s="43">
        <v>1</v>
      </c>
      <c r="D28" s="11" t="str">
        <f>IF(C28="","",VLOOKUP(C28,予算!$B$7:$C$66,2))</f>
        <v>会費</v>
      </c>
      <c r="E28" s="199" t="s">
        <v>121</v>
      </c>
      <c r="F28" s="200">
        <v>-17</v>
      </c>
      <c r="G28" s="32">
        <v>60000</v>
      </c>
      <c r="H28" s="32"/>
      <c r="I28" s="50">
        <f t="shared" si="0"/>
        <v>104350</v>
      </c>
      <c r="M28" s="68"/>
      <c r="N28" s="199"/>
      <c r="O28" s="200"/>
      <c r="P28" s="32"/>
      <c r="Q28" s="32"/>
    </row>
    <row r="29" spans="1:17">
      <c r="A29" s="274">
        <f>IF(B29="","",DATE(IF(INT(B29)&gt;=4,予算!$L$1,予算!$L$2),INT(B29),ROUND(MOD(B29,1)*100,0)))</f>
        <v>46376</v>
      </c>
      <c r="B29" s="68">
        <v>12.2</v>
      </c>
      <c r="C29" s="43">
        <v>11</v>
      </c>
      <c r="D29" s="11" t="str">
        <f>IF(C29="","",VLOOKUP(C29,予算!$B$7:$C$66,2))</f>
        <v>諸謝金</v>
      </c>
      <c r="E29" s="199" t="s">
        <v>122</v>
      </c>
      <c r="F29" s="208">
        <v>18</v>
      </c>
      <c r="G29" s="32"/>
      <c r="H29" s="32">
        <v>24000</v>
      </c>
      <c r="I29" s="50">
        <f t="shared" si="0"/>
        <v>80350</v>
      </c>
      <c r="M29" s="68"/>
      <c r="N29" s="199"/>
      <c r="O29" s="200"/>
      <c r="P29" s="32"/>
      <c r="Q29" s="32"/>
    </row>
    <row r="30" spans="1:17">
      <c r="A30" s="274">
        <f>IF(B30="","",DATE(IF(INT(B30)&gt;=4,予算!$L$1,予算!$L$2),INT(B30),ROUND(MOD(B30,1)*100,0)))</f>
        <v>46376</v>
      </c>
      <c r="B30" s="68">
        <v>12.2</v>
      </c>
      <c r="C30" s="43">
        <v>11</v>
      </c>
      <c r="D30" s="11" t="str">
        <f>IF(C30="","",VLOOKUP(C30,予算!$B$7:$C$66,2))</f>
        <v>諸謝金</v>
      </c>
      <c r="E30" s="203" t="s">
        <v>123</v>
      </c>
      <c r="F30" s="201">
        <v>18</v>
      </c>
      <c r="G30" s="32"/>
      <c r="H30" s="32">
        <v>2728</v>
      </c>
      <c r="I30" s="50">
        <f t="shared" si="0"/>
        <v>77622</v>
      </c>
      <c r="M30" s="68"/>
      <c r="N30" s="199"/>
      <c r="O30" s="200"/>
      <c r="P30" s="32"/>
      <c r="Q30" s="32"/>
    </row>
    <row r="31" spans="1:17">
      <c r="A31" s="274">
        <f>IF(B31="","",DATE(IF(INT(B31)&gt;=4,予算!$L$1,予算!$L$2),INT(B31),ROUND(MOD(B31,1)*100,0)))</f>
        <v>46376</v>
      </c>
      <c r="B31" s="68">
        <v>12.2</v>
      </c>
      <c r="C31" s="43">
        <v>11</v>
      </c>
      <c r="D31" s="11" t="str">
        <f>IF(C31="","",VLOOKUP(C31,予算!$B$7:$C$66,2))</f>
        <v>諸謝金</v>
      </c>
      <c r="E31" s="199" t="s">
        <v>130</v>
      </c>
      <c r="F31" s="200">
        <v>19</v>
      </c>
      <c r="G31" s="32"/>
      <c r="H31" s="32">
        <v>3000</v>
      </c>
      <c r="I31" s="50">
        <f t="shared" si="0"/>
        <v>74622</v>
      </c>
      <c r="M31" s="68"/>
      <c r="N31" s="203"/>
      <c r="O31" s="200"/>
      <c r="P31" s="32"/>
      <c r="Q31" s="32"/>
    </row>
    <row r="32" spans="1:17">
      <c r="A32" s="274">
        <f>IF(B32="","",DATE(IF(INT(B32)&gt;=4,予算!$L$1,予算!$L$2),INT(B32),ROUND(MOD(B32,1)*100,0)))</f>
        <v>46376</v>
      </c>
      <c r="B32" s="68">
        <v>12.2</v>
      </c>
      <c r="C32" s="43">
        <v>11</v>
      </c>
      <c r="D32" s="11" t="str">
        <f>IF(C32="","",VLOOKUP(C32,予算!$B$7:$C$66,2))</f>
        <v>諸謝金</v>
      </c>
      <c r="E32" s="199" t="s">
        <v>131</v>
      </c>
      <c r="F32" s="200">
        <v>19</v>
      </c>
      <c r="G32" s="32"/>
      <c r="H32" s="32">
        <v>341</v>
      </c>
      <c r="I32" s="50">
        <f t="shared" si="0"/>
        <v>74281</v>
      </c>
      <c r="M32" s="68"/>
      <c r="N32" s="199"/>
      <c r="O32" s="200"/>
      <c r="P32" s="32"/>
      <c r="Q32" s="32"/>
    </row>
    <row r="33" spans="1:17">
      <c r="A33" s="274">
        <f>IF(B33="","",DATE(IF(INT(B33)&gt;=4,予算!$L$1,予算!$L$2),INT(B33),ROUND(MOD(B33,1)*100,0)))</f>
        <v>46376</v>
      </c>
      <c r="B33" s="68">
        <v>12.2</v>
      </c>
      <c r="C33" s="43">
        <v>11</v>
      </c>
      <c r="D33" s="11" t="str">
        <f>IF(C33="","",VLOOKUP(C33,予算!$B$7:$C$66,2))</f>
        <v>諸謝金</v>
      </c>
      <c r="E33" s="199" t="s">
        <v>205</v>
      </c>
      <c r="F33" s="200">
        <v>20</v>
      </c>
      <c r="G33" s="32"/>
      <c r="H33" s="32">
        <v>16000</v>
      </c>
      <c r="I33" s="50">
        <f t="shared" si="0"/>
        <v>58281</v>
      </c>
      <c r="M33" s="68"/>
      <c r="N33" s="199"/>
      <c r="O33" s="200"/>
      <c r="P33" s="32"/>
      <c r="Q33" s="32"/>
    </row>
    <row r="34" spans="1:17">
      <c r="A34" s="274">
        <f>IF(B34="","",DATE(IF(INT(B34)&gt;=4,予算!$L$1,予算!$L$2),INT(B34),ROUND(MOD(B34,1)*100,0)))</f>
        <v>46376</v>
      </c>
      <c r="B34" s="68">
        <v>12.2</v>
      </c>
      <c r="C34" s="43">
        <v>11</v>
      </c>
      <c r="D34" s="11" t="str">
        <f>IF(C34="","",VLOOKUP(C34,予算!$B$7:$C$66,2))</f>
        <v>諸謝金</v>
      </c>
      <c r="E34" s="199" t="s">
        <v>206</v>
      </c>
      <c r="F34" s="200">
        <v>20</v>
      </c>
      <c r="G34" s="32"/>
      <c r="H34" s="32">
        <v>1816</v>
      </c>
      <c r="I34" s="50">
        <f t="shared" si="0"/>
        <v>56465</v>
      </c>
      <c r="M34" s="68"/>
      <c r="N34" s="199"/>
      <c r="O34" s="200"/>
      <c r="P34" s="32"/>
      <c r="Q34" s="32"/>
    </row>
    <row r="35" spans="1:17">
      <c r="A35" s="274">
        <f>IF(B35="","",DATE(IF(INT(B35)&gt;=4,予算!$L$1,予算!$L$2),INT(B35),ROUND(MOD(B35,1)*100,0)))</f>
        <v>46377</v>
      </c>
      <c r="B35" s="68">
        <v>12.21</v>
      </c>
      <c r="C35" s="43">
        <v>13</v>
      </c>
      <c r="D35" s="11" t="str">
        <f>IF(C35="","",VLOOKUP(C35,予算!$B$7:$C$66,2))</f>
        <v>通信運搬費</v>
      </c>
      <c r="E35" s="199" t="s">
        <v>154</v>
      </c>
      <c r="F35" s="200">
        <v>21</v>
      </c>
      <c r="G35" s="32"/>
      <c r="H35" s="32">
        <v>5000</v>
      </c>
      <c r="I35" s="50">
        <f t="shared" si="0"/>
        <v>51465</v>
      </c>
      <c r="M35" s="68"/>
      <c r="N35" s="199"/>
      <c r="O35" s="200"/>
      <c r="P35" s="32"/>
      <c r="Q35" s="32"/>
    </row>
    <row r="36" spans="1:17">
      <c r="A36" s="274">
        <f>IF(B36="","",DATE(IF(INT(B36)&gt;=4,予算!$L$1,予算!$L$2),INT(B36),ROUND(MOD(B36,1)*100,0)))</f>
        <v>46388</v>
      </c>
      <c r="B36" s="68">
        <v>1.01</v>
      </c>
      <c r="C36" s="43">
        <v>1</v>
      </c>
      <c r="D36" s="11" t="str">
        <f>IF(C36="","",VLOOKUP(C36,予算!$B$7:$C$66,2))</f>
        <v>会費</v>
      </c>
      <c r="E36" s="199" t="s">
        <v>127</v>
      </c>
      <c r="F36" s="200">
        <v>-22</v>
      </c>
      <c r="G36" s="32">
        <v>60000</v>
      </c>
      <c r="H36" s="32"/>
      <c r="I36" s="50">
        <f t="shared" si="0"/>
        <v>111465</v>
      </c>
      <c r="M36" s="68"/>
      <c r="N36" s="199"/>
      <c r="O36" s="200"/>
      <c r="P36" s="32"/>
      <c r="Q36" s="32"/>
    </row>
    <row r="37" spans="1:17">
      <c r="A37" s="274">
        <f>IF(B37="","",DATE(IF(INT(B37)&gt;=4,予算!$L$1,予算!$L$2),INT(B37),ROUND(MOD(B37,1)*100,0)))</f>
        <v>46407</v>
      </c>
      <c r="B37" s="68">
        <v>1.2</v>
      </c>
      <c r="C37" s="43">
        <v>11</v>
      </c>
      <c r="D37" s="11" t="str">
        <f>IF(C37="","",VLOOKUP(C37,予算!$B$7:$C$66,2))</f>
        <v>諸謝金</v>
      </c>
      <c r="E37" s="199" t="s">
        <v>132</v>
      </c>
      <c r="F37" s="207">
        <v>23</v>
      </c>
      <c r="G37" s="32"/>
      <c r="H37" s="32">
        <v>24000</v>
      </c>
      <c r="I37" s="50">
        <f t="shared" si="0"/>
        <v>87465</v>
      </c>
      <c r="M37" s="68"/>
      <c r="N37" s="203"/>
      <c r="O37" s="200"/>
      <c r="P37" s="32"/>
      <c r="Q37" s="32"/>
    </row>
    <row r="38" spans="1:17">
      <c r="A38" s="274">
        <f>IF(B38="","",DATE(IF(INT(B38)&gt;=4,予算!$L$1,予算!$L$2),INT(B38),ROUND(MOD(B38,1)*100,0)))</f>
        <v>46407</v>
      </c>
      <c r="B38" s="68">
        <v>1.2</v>
      </c>
      <c r="C38" s="43">
        <v>11</v>
      </c>
      <c r="D38" s="11" t="str">
        <f>IF(C38="","",VLOOKUP(C38,予算!$B$7:$C$66,2))</f>
        <v>諸謝金</v>
      </c>
      <c r="E38" s="203" t="s">
        <v>133</v>
      </c>
      <c r="F38" s="200">
        <v>23</v>
      </c>
      <c r="G38" s="32"/>
      <c r="H38" s="32">
        <v>2728</v>
      </c>
      <c r="I38" s="50">
        <f t="shared" si="0"/>
        <v>84737</v>
      </c>
      <c r="M38" s="68"/>
      <c r="N38" s="199"/>
      <c r="O38" s="200"/>
      <c r="P38" s="32"/>
      <c r="Q38" s="32"/>
    </row>
    <row r="39" spans="1:17">
      <c r="A39" s="274">
        <f>IF(B39="","",DATE(IF(INT(B39)&gt;=4,予算!$L$1,予算!$L$2),INT(B39),ROUND(MOD(B39,1)*100,0)))</f>
        <v>46407</v>
      </c>
      <c r="B39" s="68">
        <v>1.2</v>
      </c>
      <c r="C39" s="43">
        <v>11</v>
      </c>
      <c r="D39" s="11" t="str">
        <f>IF(C39="","",VLOOKUP(C39,予算!$B$7:$C$66,2))</f>
        <v>諸謝金</v>
      </c>
      <c r="E39" s="203" t="s">
        <v>134</v>
      </c>
      <c r="F39" s="200">
        <v>23</v>
      </c>
      <c r="G39" s="32"/>
      <c r="H39" s="32">
        <v>3000</v>
      </c>
      <c r="I39" s="50">
        <f t="shared" si="0"/>
        <v>81737</v>
      </c>
      <c r="M39" s="68"/>
      <c r="N39" s="199"/>
      <c r="O39" s="200"/>
      <c r="P39" s="32"/>
      <c r="Q39" s="32"/>
    </row>
    <row r="40" spans="1:17">
      <c r="A40" s="274">
        <f>IF(B40="","",DATE(IF(INT(B40)&gt;=4,予算!$L$1,予算!$L$2),INT(B40),ROUND(MOD(B40,1)*100,0)))</f>
        <v>46407</v>
      </c>
      <c r="B40" s="68">
        <v>1.2</v>
      </c>
      <c r="C40" s="43">
        <v>11</v>
      </c>
      <c r="D40" s="11" t="str">
        <f>IF(C40="","",VLOOKUP(C40,予算!$B$7:$C$66,2))</f>
        <v>諸謝金</v>
      </c>
      <c r="E40" s="199" t="s">
        <v>135</v>
      </c>
      <c r="F40" s="200">
        <v>24</v>
      </c>
      <c r="G40" s="32"/>
      <c r="H40" s="32">
        <v>341</v>
      </c>
      <c r="I40" s="50">
        <f t="shared" si="0"/>
        <v>81396</v>
      </c>
      <c r="M40" s="68"/>
      <c r="N40" s="199"/>
      <c r="O40" s="200"/>
      <c r="P40" s="32"/>
      <c r="Q40" s="32"/>
    </row>
    <row r="41" spans="1:17">
      <c r="A41" s="274">
        <f>IF(B41="","",DATE(IF(INT(B41)&gt;=4,予算!$L$1,予算!$L$2),INT(B41),ROUND(MOD(B41,1)*100,0)))</f>
        <v>46407</v>
      </c>
      <c r="B41" s="68">
        <v>1.2</v>
      </c>
      <c r="C41" s="43">
        <v>11</v>
      </c>
      <c r="D41" s="11" t="str">
        <f>IF(C41="","",VLOOKUP(C41,予算!$B$7:$C$66,2))</f>
        <v>諸謝金</v>
      </c>
      <c r="E41" s="199" t="s">
        <v>207</v>
      </c>
      <c r="F41" s="200">
        <v>25</v>
      </c>
      <c r="G41" s="32"/>
      <c r="H41" s="32">
        <v>16000</v>
      </c>
      <c r="I41" s="50">
        <f t="shared" si="0"/>
        <v>65396</v>
      </c>
      <c r="M41" s="68"/>
      <c r="N41" s="199"/>
      <c r="O41" s="200"/>
      <c r="P41" s="32"/>
      <c r="Q41" s="32"/>
    </row>
    <row r="42" spans="1:17">
      <c r="A42" s="274">
        <f>IF(B42="","",DATE(IF(INT(B42)&gt;=4,予算!$L$1,予算!$L$2),INT(B42),ROUND(MOD(B42,1)*100,0)))</f>
        <v>46407</v>
      </c>
      <c r="B42" s="68">
        <v>1.2</v>
      </c>
      <c r="C42" s="43">
        <v>11</v>
      </c>
      <c r="D42" s="11" t="str">
        <f>IF(C42="","",VLOOKUP(C42,予算!$B$7:$C$66,2))</f>
        <v>諸謝金</v>
      </c>
      <c r="E42" s="199" t="s">
        <v>208</v>
      </c>
      <c r="F42" s="200">
        <v>25</v>
      </c>
      <c r="G42" s="32"/>
      <c r="H42" s="32">
        <v>1816</v>
      </c>
      <c r="I42" s="50">
        <f t="shared" si="0"/>
        <v>63580</v>
      </c>
      <c r="M42" s="68"/>
      <c r="N42" s="199"/>
      <c r="O42" s="200"/>
      <c r="P42" s="32"/>
      <c r="Q42" s="32"/>
    </row>
    <row r="43" spans="1:17">
      <c r="A43" s="274">
        <f>IF(B43="","",DATE(IF(INT(B43)&gt;=4,予算!$L$1,予算!$L$2),INT(B43),ROUND(MOD(B43,1)*100,0)))</f>
        <v>46408</v>
      </c>
      <c r="B43" s="68">
        <v>1.21</v>
      </c>
      <c r="C43" s="43">
        <v>13</v>
      </c>
      <c r="D43" s="11" t="str">
        <f>IF(C43="","",VLOOKUP(C43,予算!$B$7:$C$66,2))</f>
        <v>通信運搬費</v>
      </c>
      <c r="E43" s="199" t="s">
        <v>244</v>
      </c>
      <c r="F43" s="200">
        <v>26</v>
      </c>
      <c r="G43" s="32"/>
      <c r="H43" s="32">
        <v>8000</v>
      </c>
      <c r="I43" s="50">
        <f t="shared" si="0"/>
        <v>55580</v>
      </c>
      <c r="M43" s="68"/>
      <c r="N43" s="199"/>
      <c r="O43" s="200"/>
      <c r="P43" s="32"/>
      <c r="Q43" s="32"/>
    </row>
    <row r="44" spans="1:17">
      <c r="A44" s="274">
        <f>IF(B44="","",DATE(IF(INT(B44)&gt;=4,予算!$L$1,予算!$L$2),INT(B44),ROUND(MOD(B44,1)*100,0)))</f>
        <v>46419</v>
      </c>
      <c r="B44" s="68">
        <v>2.0099999999999998</v>
      </c>
      <c r="C44" s="43">
        <v>1</v>
      </c>
      <c r="D44" s="11" t="str">
        <f>IF(C44="","",VLOOKUP(C44,予算!$B$7:$C$66,2))</f>
        <v>会費</v>
      </c>
      <c r="E44" s="203" t="s">
        <v>138</v>
      </c>
      <c r="F44" s="200">
        <v>-27</v>
      </c>
      <c r="G44" s="32">
        <v>60000</v>
      </c>
      <c r="H44" s="32"/>
      <c r="I44" s="50">
        <f t="shared" si="0"/>
        <v>115580</v>
      </c>
      <c r="M44" s="68"/>
      <c r="N44" s="199"/>
      <c r="O44" s="200"/>
      <c r="P44" s="32"/>
      <c r="Q44" s="32"/>
    </row>
    <row r="45" spans="1:17">
      <c r="A45" s="274">
        <f>IF(B45="","",DATE(IF(INT(B45)&gt;=4,予算!$L$1,予算!$L$2),INT(B45),ROUND(MOD(B45,1)*100,0)))</f>
        <v>46433</v>
      </c>
      <c r="B45" s="68">
        <v>2.15</v>
      </c>
      <c r="C45" s="43">
        <v>3</v>
      </c>
      <c r="D45" s="11" t="str">
        <f>IF(C45="","",VLOOKUP(C45,予算!$B$7:$C$66,2))</f>
        <v>雑収入</v>
      </c>
      <c r="E45" s="199" t="s">
        <v>242</v>
      </c>
      <c r="F45" s="200">
        <v>-28</v>
      </c>
      <c r="G45" s="32">
        <v>1000</v>
      </c>
      <c r="H45" s="32"/>
      <c r="I45" s="50">
        <f t="shared" si="0"/>
        <v>116580</v>
      </c>
      <c r="M45" s="68"/>
      <c r="N45" s="199"/>
      <c r="O45" s="200"/>
      <c r="P45" s="32"/>
      <c r="Q45" s="32"/>
    </row>
    <row r="46" spans="1:17">
      <c r="A46" s="274">
        <f>IF(B46="","",DATE(IF(INT(B46)&gt;=4,予算!$L$1,予算!$L$2),INT(B46),ROUND(MOD(B46,1)*100,0)))</f>
        <v>46438</v>
      </c>
      <c r="B46" s="68">
        <v>2.2000000000000002</v>
      </c>
      <c r="C46" s="43">
        <v>11</v>
      </c>
      <c r="D46" s="11" t="str">
        <f>IF(C46="","",VLOOKUP(C46,予算!$B$7:$C$66,2))</f>
        <v>諸謝金</v>
      </c>
      <c r="E46" s="199" t="s">
        <v>139</v>
      </c>
      <c r="F46" s="200">
        <v>29</v>
      </c>
      <c r="G46" s="32"/>
      <c r="H46" s="32">
        <v>24000</v>
      </c>
      <c r="I46" s="50">
        <f t="shared" si="0"/>
        <v>92580</v>
      </c>
      <c r="M46" s="68"/>
      <c r="N46" s="199"/>
      <c r="O46" s="200"/>
      <c r="P46" s="32"/>
      <c r="Q46" s="32"/>
    </row>
    <row r="47" spans="1:17">
      <c r="A47" s="274">
        <f>IF(B47="","",DATE(IF(INT(B47)&gt;=4,予算!$L$1,予算!$L$2),INT(B47),ROUND(MOD(B47,1)*100,0)))</f>
        <v>46438</v>
      </c>
      <c r="B47" s="68">
        <v>2.2000000000000002</v>
      </c>
      <c r="C47" s="43">
        <v>11</v>
      </c>
      <c r="D47" s="11" t="str">
        <f>IF(C47="","",VLOOKUP(C47,予算!$B$7:$C$66,2))</f>
        <v>諸謝金</v>
      </c>
      <c r="E47" s="203" t="s">
        <v>140</v>
      </c>
      <c r="F47" s="200">
        <v>29</v>
      </c>
      <c r="G47" s="32"/>
      <c r="H47" s="32">
        <v>2728</v>
      </c>
      <c r="I47" s="50">
        <f t="shared" si="0"/>
        <v>89852</v>
      </c>
      <c r="M47" s="68"/>
      <c r="N47" s="199"/>
      <c r="O47" s="200"/>
      <c r="P47" s="32"/>
      <c r="Q47" s="32"/>
    </row>
    <row r="48" spans="1:17">
      <c r="A48" s="274">
        <f>IF(B48="","",DATE(IF(INT(B48)&gt;=4,予算!$L$1,予算!$L$2),INT(B48),ROUND(MOD(B48,1)*100,0)))</f>
        <v>46438</v>
      </c>
      <c r="B48" s="68">
        <v>2.2000000000000002</v>
      </c>
      <c r="C48" s="43">
        <v>11</v>
      </c>
      <c r="D48" s="11" t="str">
        <f>IF(C48="","",VLOOKUP(C48,予算!$B$7:$C$66,2))</f>
        <v>諸謝金</v>
      </c>
      <c r="E48" s="199" t="s">
        <v>141</v>
      </c>
      <c r="F48" s="200">
        <v>30</v>
      </c>
      <c r="G48" s="32"/>
      <c r="H48" s="32">
        <v>3000</v>
      </c>
      <c r="I48" s="50">
        <f t="shared" si="0"/>
        <v>86852</v>
      </c>
      <c r="M48" s="68"/>
      <c r="N48" s="199"/>
      <c r="O48" s="200"/>
      <c r="P48" s="32"/>
      <c r="Q48" s="32"/>
    </row>
    <row r="49" spans="1:17">
      <c r="A49" s="274">
        <f>IF(B49="","",DATE(IF(INT(B49)&gt;=4,予算!$L$1,予算!$L$2),INT(B49),ROUND(MOD(B49,1)*100,0)))</f>
        <v>46438</v>
      </c>
      <c r="B49" s="68">
        <v>2.2000000000000002</v>
      </c>
      <c r="C49" s="43">
        <v>11</v>
      </c>
      <c r="D49" s="11" t="str">
        <f>IF(C49="","",VLOOKUP(C49,予算!$B$7:$C$66,2))</f>
        <v>諸謝金</v>
      </c>
      <c r="E49" s="199" t="s">
        <v>142</v>
      </c>
      <c r="F49" s="200">
        <v>30</v>
      </c>
      <c r="G49" s="32"/>
      <c r="H49" s="32">
        <v>341</v>
      </c>
      <c r="I49" s="50">
        <f t="shared" si="0"/>
        <v>86511</v>
      </c>
      <c r="M49" s="68"/>
      <c r="N49" s="199"/>
      <c r="O49" s="200"/>
      <c r="P49" s="32"/>
      <c r="Q49" s="32"/>
    </row>
    <row r="50" spans="1:17">
      <c r="A50" s="274">
        <f>IF(B50="","",DATE(IF(INT(B50)&gt;=4,予算!$L$1,予算!$L$2),INT(B50),ROUND(MOD(B50,1)*100,0)))</f>
        <v>46438</v>
      </c>
      <c r="B50" s="68">
        <v>2.2000000000000002</v>
      </c>
      <c r="C50" s="43">
        <v>11</v>
      </c>
      <c r="D50" s="11" t="str">
        <f>IF(C50="","",VLOOKUP(C50,予算!$B$7:$C$66,2))</f>
        <v>諸謝金</v>
      </c>
      <c r="E50" s="199" t="s">
        <v>209</v>
      </c>
      <c r="F50" s="200">
        <v>31</v>
      </c>
      <c r="G50" s="32"/>
      <c r="H50" s="32">
        <v>16000</v>
      </c>
      <c r="I50" s="50">
        <f t="shared" si="0"/>
        <v>70511</v>
      </c>
      <c r="M50" s="68"/>
      <c r="N50" s="199"/>
      <c r="O50" s="200"/>
      <c r="P50" s="32"/>
      <c r="Q50" s="32"/>
    </row>
    <row r="51" spans="1:17">
      <c r="A51" s="274">
        <f>IF(B51="","",DATE(IF(INT(B51)&gt;=4,予算!$L$1,予算!$L$2),INT(B51),ROUND(MOD(B51,1)*100,0)))</f>
        <v>46438</v>
      </c>
      <c r="B51" s="68">
        <v>2.2000000000000002</v>
      </c>
      <c r="C51" s="43">
        <v>11</v>
      </c>
      <c r="D51" s="11" t="str">
        <f>IF(C51="","",VLOOKUP(C51,予算!$B$7:$C$66,2))</f>
        <v>諸謝金</v>
      </c>
      <c r="E51" s="199" t="s">
        <v>210</v>
      </c>
      <c r="F51" s="200">
        <v>31</v>
      </c>
      <c r="G51" s="32"/>
      <c r="H51" s="32">
        <v>1816</v>
      </c>
      <c r="I51" s="50">
        <f t="shared" si="0"/>
        <v>68695</v>
      </c>
      <c r="M51" s="68"/>
      <c r="N51" s="199"/>
      <c r="O51" s="200"/>
      <c r="P51" s="32"/>
      <c r="Q51" s="32"/>
    </row>
    <row r="52" spans="1:17">
      <c r="A52" s="274">
        <f>IF(B52="","",DATE(IF(INT(B52)&gt;=4,予算!$L$1,予算!$L$2),INT(B52),ROUND(MOD(B52,1)*100,0)))</f>
        <v>46446</v>
      </c>
      <c r="B52" s="68">
        <v>2.2799999999999998</v>
      </c>
      <c r="C52" s="43">
        <v>8</v>
      </c>
      <c r="D52" s="11" t="str">
        <f>IF(C52="","",VLOOKUP(C52,予算!$B$7:$C$66,2))</f>
        <v>補助金</v>
      </c>
      <c r="E52" s="199" t="s">
        <v>118</v>
      </c>
      <c r="F52" s="200">
        <v>-32</v>
      </c>
      <c r="G52" s="32">
        <v>96000</v>
      </c>
      <c r="H52" s="32"/>
      <c r="I52" s="50">
        <f t="shared" si="0"/>
        <v>164695</v>
      </c>
      <c r="M52" s="68"/>
      <c r="N52" s="199"/>
      <c r="O52" s="200"/>
      <c r="P52" s="32"/>
      <c r="Q52" s="32"/>
    </row>
    <row r="53" spans="1:17">
      <c r="A53" s="274">
        <f>IF(B53="","",DATE(IF(INT(B53)&gt;=4,予算!$L$1,予算!$L$2),INT(B53),ROUND(MOD(B53,1)*100,0)))</f>
        <v>46446</v>
      </c>
      <c r="B53" s="68">
        <v>2.2799999999999998</v>
      </c>
      <c r="C53" s="43">
        <v>11</v>
      </c>
      <c r="D53" s="11" t="str">
        <f>IF(C53="","",VLOOKUP(C53,予算!$B$7:$C$66,2))</f>
        <v>諸謝金</v>
      </c>
      <c r="E53" s="199" t="s">
        <v>144</v>
      </c>
      <c r="F53" s="200">
        <v>33</v>
      </c>
      <c r="G53" s="32"/>
      <c r="H53" s="32">
        <v>24000</v>
      </c>
      <c r="I53" s="50">
        <f t="shared" si="0"/>
        <v>140695</v>
      </c>
      <c r="M53" s="68"/>
      <c r="N53" s="199"/>
      <c r="O53" s="200"/>
      <c r="P53" s="32"/>
      <c r="Q53" s="32"/>
    </row>
    <row r="54" spans="1:17">
      <c r="A54" s="274">
        <f>IF(B54="","",DATE(IF(INT(B54)&gt;=4,予算!$L$1,予算!$L$2),INT(B54),ROUND(MOD(B54,1)*100,0)))</f>
        <v>46446</v>
      </c>
      <c r="B54" s="68">
        <v>2.2799999999999998</v>
      </c>
      <c r="C54" s="43">
        <v>11</v>
      </c>
      <c r="D54" s="11" t="str">
        <f>IF(C54="","",VLOOKUP(C54,予算!$B$7:$C$66,2))</f>
        <v>諸謝金</v>
      </c>
      <c r="E54" s="203" t="s">
        <v>145</v>
      </c>
      <c r="F54" s="200">
        <v>33</v>
      </c>
      <c r="G54" s="32"/>
      <c r="H54" s="32">
        <v>2728</v>
      </c>
      <c r="I54" s="50">
        <f t="shared" si="0"/>
        <v>137967</v>
      </c>
      <c r="M54" s="68"/>
      <c r="N54" s="199"/>
      <c r="O54" s="200"/>
      <c r="P54" s="32"/>
      <c r="Q54" s="32"/>
    </row>
    <row r="55" spans="1:17">
      <c r="A55" s="274">
        <f>IF(B55="","",DATE(IF(INT(B55)&gt;=4,予算!$L$1,予算!$L$2),INT(B55),ROUND(MOD(B55,1)*100,0)))</f>
        <v>46446</v>
      </c>
      <c r="B55" s="68">
        <v>2.2799999999999998</v>
      </c>
      <c r="C55" s="43">
        <v>11</v>
      </c>
      <c r="D55" s="11" t="str">
        <f>IF(C55="","",VLOOKUP(C55,予算!$B$7:$C$66,2))</f>
        <v>諸謝金</v>
      </c>
      <c r="E55" s="199" t="s">
        <v>146</v>
      </c>
      <c r="F55" s="200">
        <v>34</v>
      </c>
      <c r="G55" s="32"/>
      <c r="H55" s="32">
        <v>3000</v>
      </c>
      <c r="I55" s="50">
        <f t="shared" si="0"/>
        <v>134967</v>
      </c>
      <c r="M55" s="68"/>
      <c r="N55" s="199"/>
      <c r="O55" s="200"/>
      <c r="P55" s="32"/>
      <c r="Q55" s="32"/>
    </row>
    <row r="56" spans="1:17">
      <c r="A56" s="274">
        <f>IF(B56="","",DATE(IF(INT(B56)&gt;=4,予算!$L$1,予算!$L$2),INT(B56),ROUND(MOD(B56,1)*100,0)))</f>
        <v>46446</v>
      </c>
      <c r="B56" s="68">
        <v>2.2799999999999998</v>
      </c>
      <c r="C56" s="43">
        <v>11</v>
      </c>
      <c r="D56" s="11" t="str">
        <f>IF(C56="","",VLOOKUP(C56,予算!$B$7:$C$66,2))</f>
        <v>諸謝金</v>
      </c>
      <c r="E56" s="199" t="s">
        <v>147</v>
      </c>
      <c r="F56" s="200">
        <v>34</v>
      </c>
      <c r="G56" s="32"/>
      <c r="H56" s="32">
        <v>341</v>
      </c>
      <c r="I56" s="50">
        <f t="shared" si="0"/>
        <v>134626</v>
      </c>
      <c r="M56" s="68"/>
      <c r="N56" s="199"/>
      <c r="O56" s="200"/>
      <c r="P56" s="32"/>
      <c r="Q56" s="32"/>
    </row>
    <row r="57" spans="1:17">
      <c r="A57" s="274">
        <f>IF(B57="","",DATE(IF(INT(B57)&gt;=4,予算!$L$1,予算!$L$2),INT(B57),ROUND(MOD(B57,1)*100,0)))</f>
        <v>46446</v>
      </c>
      <c r="B57" s="68">
        <v>2.2799999999999998</v>
      </c>
      <c r="C57" s="43">
        <v>11</v>
      </c>
      <c r="D57" s="11" t="str">
        <f>IF(C57="","",VLOOKUP(C57,予算!$B$7:$C$66,2))</f>
        <v>諸謝金</v>
      </c>
      <c r="E57" s="199" t="s">
        <v>211</v>
      </c>
      <c r="F57" s="200">
        <v>35</v>
      </c>
      <c r="G57" s="32"/>
      <c r="H57" s="32">
        <v>16000</v>
      </c>
      <c r="I57" s="50">
        <f t="shared" si="0"/>
        <v>118626</v>
      </c>
      <c r="M57" s="68"/>
      <c r="N57" s="199"/>
      <c r="O57" s="200"/>
      <c r="P57" s="32"/>
      <c r="Q57" s="32"/>
    </row>
    <row r="58" spans="1:17">
      <c r="A58" s="274">
        <f>IF(B58="","",DATE(IF(INT(B58)&gt;=4,予算!$L$1,予算!$L$2),INT(B58),ROUND(MOD(B58,1)*100,0)))</f>
        <v>46446</v>
      </c>
      <c r="B58" s="68">
        <v>2.2799999999999998</v>
      </c>
      <c r="C58" s="43">
        <v>11</v>
      </c>
      <c r="D58" s="11" t="str">
        <f>IF(C58="","",VLOOKUP(C58,予算!$B$7:$C$66,2))</f>
        <v>諸謝金</v>
      </c>
      <c r="E58" s="199" t="s">
        <v>212</v>
      </c>
      <c r="F58" s="200">
        <v>35</v>
      </c>
      <c r="G58" s="32"/>
      <c r="H58" s="32">
        <v>1816</v>
      </c>
      <c r="I58" s="50">
        <f t="shared" si="0"/>
        <v>116810</v>
      </c>
      <c r="M58" s="68"/>
      <c r="N58" s="199"/>
      <c r="O58" s="200"/>
      <c r="P58" s="32"/>
      <c r="Q58" s="32"/>
    </row>
    <row r="59" spans="1:17">
      <c r="A59" s="274">
        <f>IF(B59="","",DATE(IF(INT(B59)&gt;=4,予算!$L$1,予算!$L$2),INT(B59),ROUND(MOD(B59,1)*100,0)))</f>
        <v>46446</v>
      </c>
      <c r="B59" s="68">
        <v>2.2799999999999998</v>
      </c>
      <c r="C59" s="43">
        <v>17</v>
      </c>
      <c r="D59" s="11" t="str">
        <f>IF(C59="","",VLOOKUP(C59,予算!$B$7:$C$66,2))</f>
        <v>借料及び損料</v>
      </c>
      <c r="E59" s="199" t="s">
        <v>241</v>
      </c>
      <c r="F59" s="200">
        <v>36</v>
      </c>
      <c r="G59" s="32"/>
      <c r="H59" s="32">
        <v>116810</v>
      </c>
      <c r="I59" s="50">
        <f t="shared" si="0"/>
        <v>0</v>
      </c>
      <c r="M59" s="68"/>
      <c r="N59" s="199"/>
      <c r="O59" s="200"/>
      <c r="P59" s="32"/>
      <c r="Q59" s="32"/>
    </row>
    <row r="60" spans="1:17">
      <c r="A60" s="274">
        <f>IF(B60="","",DATE(IF(INT(B60)&gt;=4,予算!$L$1,予算!$L$2),INT(B60),ROUND(MOD(B60,1)*100,0)))</f>
        <v>46447</v>
      </c>
      <c r="B60" s="68">
        <v>3.01</v>
      </c>
      <c r="C60" s="43">
        <v>4</v>
      </c>
      <c r="D60" s="11" t="str">
        <f>IF(C60="","",VLOOKUP(C60,予算!$B$7:$C$66,2))</f>
        <v>会費（対象外）</v>
      </c>
      <c r="E60" s="199" t="s">
        <v>143</v>
      </c>
      <c r="F60" s="200">
        <v>-37</v>
      </c>
      <c r="G60" s="32">
        <v>60000</v>
      </c>
      <c r="H60" s="32"/>
      <c r="I60" s="50">
        <f t="shared" si="0"/>
        <v>60000</v>
      </c>
      <c r="M60" s="68"/>
      <c r="N60" s="199"/>
      <c r="O60" s="200"/>
      <c r="P60" s="32"/>
      <c r="Q60" s="32"/>
    </row>
    <row r="61" spans="1:17">
      <c r="A61" s="274">
        <f>IF(B61="","",DATE(IF(INT(B61)&gt;=4,予算!$L$1,予算!$L$2),INT(B61),ROUND(MOD(B61,1)*100,0)))</f>
        <v>46471</v>
      </c>
      <c r="B61" s="68">
        <v>3.25</v>
      </c>
      <c r="C61" s="43">
        <v>25</v>
      </c>
      <c r="D61" s="11" t="str">
        <f>IF(C61="","",VLOOKUP(C61,予算!$B$7:$C$66,2))</f>
        <v>消耗品費（対象外）</v>
      </c>
      <c r="E61" s="199" t="s">
        <v>238</v>
      </c>
      <c r="F61" s="200">
        <v>38</v>
      </c>
      <c r="G61" s="32"/>
      <c r="H61" s="32">
        <v>12115</v>
      </c>
      <c r="I61" s="50">
        <f t="shared" si="0"/>
        <v>47885</v>
      </c>
      <c r="M61" s="68"/>
      <c r="N61" s="199"/>
      <c r="O61" s="200"/>
      <c r="P61" s="32"/>
      <c r="Q61" s="32"/>
    </row>
    <row r="62" spans="1:17">
      <c r="A62" s="274">
        <f>IF(B62="","",DATE(IF(INT(B62)&gt;=4,予算!$L$1,予算!$L$2),INT(B62),ROUND(MOD(B62,1)*100,0)))</f>
        <v>46471</v>
      </c>
      <c r="B62" s="68">
        <v>3.25</v>
      </c>
      <c r="C62" s="43">
        <v>20</v>
      </c>
      <c r="D62" s="11" t="str">
        <f>IF(C62="","",VLOOKUP(C62,予算!$B$7:$C$66,2))</f>
        <v>諸謝金（対象外）</v>
      </c>
      <c r="E62" s="199" t="s">
        <v>148</v>
      </c>
      <c r="F62" s="200">
        <v>39</v>
      </c>
      <c r="G62" s="32"/>
      <c r="H62" s="32">
        <v>24000</v>
      </c>
      <c r="I62" s="50">
        <f t="shared" si="0"/>
        <v>23885</v>
      </c>
      <c r="M62" s="68"/>
      <c r="N62" s="199"/>
      <c r="O62" s="200"/>
      <c r="P62" s="32"/>
      <c r="Q62" s="32"/>
    </row>
    <row r="63" spans="1:17">
      <c r="A63" s="274">
        <f>IF(B63="","",DATE(IF(INT(B63)&gt;=4,予算!$L$1,予算!$L$2),INT(B63),ROUND(MOD(B63,1)*100,0)))</f>
        <v>46471</v>
      </c>
      <c r="B63" s="68">
        <v>3.25</v>
      </c>
      <c r="C63" s="43">
        <v>20</v>
      </c>
      <c r="D63" s="11" t="str">
        <f>IF(C63="","",VLOOKUP(C63,予算!$B$7:$C$66,2))</f>
        <v>諸謝金（対象外）</v>
      </c>
      <c r="E63" s="199" t="s">
        <v>149</v>
      </c>
      <c r="F63" s="200">
        <v>39</v>
      </c>
      <c r="G63" s="32"/>
      <c r="H63" s="32">
        <v>2728</v>
      </c>
      <c r="I63" s="50">
        <f t="shared" si="0"/>
        <v>21157</v>
      </c>
      <c r="M63" s="68"/>
      <c r="N63" s="199"/>
      <c r="O63" s="200"/>
      <c r="P63" s="32"/>
      <c r="Q63" s="32"/>
    </row>
    <row r="64" spans="1:17">
      <c r="A64" s="274">
        <f>IF(B64="","",DATE(IF(INT(B64)&gt;=4,予算!$L$1,予算!$L$2),INT(B64),ROUND(MOD(B64,1)*100,0)))</f>
        <v>46471</v>
      </c>
      <c r="B64" s="68">
        <v>3.25</v>
      </c>
      <c r="C64" s="43">
        <v>20</v>
      </c>
      <c r="D64" s="11" t="str">
        <f>IF(C64="","",VLOOKUP(C64,予算!$B$7:$C$66,2))</f>
        <v>諸謝金（対象外）</v>
      </c>
      <c r="E64" s="199" t="s">
        <v>150</v>
      </c>
      <c r="F64" s="200">
        <v>40</v>
      </c>
      <c r="G64" s="32"/>
      <c r="H64" s="32">
        <v>3000</v>
      </c>
      <c r="I64" s="50">
        <f t="shared" si="0"/>
        <v>18157</v>
      </c>
      <c r="M64" s="68"/>
      <c r="N64" s="199"/>
      <c r="O64" s="200"/>
      <c r="P64" s="32"/>
      <c r="Q64" s="32"/>
    </row>
    <row r="65" spans="1:17">
      <c r="A65" s="274">
        <f>IF(B65="","",DATE(IF(INT(B65)&gt;=4,予算!$L$1,予算!$L$2),INT(B65),ROUND(MOD(B65,1)*100,0)))</f>
        <v>46471</v>
      </c>
      <c r="B65" s="68">
        <v>3.25</v>
      </c>
      <c r="C65" s="43">
        <v>20</v>
      </c>
      <c r="D65" s="11" t="str">
        <f>IF(C65="","",VLOOKUP(C65,予算!$B$7:$C$66,2))</f>
        <v>諸謝金（対象外）</v>
      </c>
      <c r="E65" s="203" t="s">
        <v>151</v>
      </c>
      <c r="F65" s="200">
        <v>40</v>
      </c>
      <c r="G65" s="32"/>
      <c r="H65" s="32">
        <v>341</v>
      </c>
      <c r="I65" s="50">
        <f t="shared" si="0"/>
        <v>17816</v>
      </c>
      <c r="M65" s="68"/>
      <c r="N65" s="199"/>
      <c r="O65" s="200"/>
      <c r="P65" s="32"/>
      <c r="Q65" s="32"/>
    </row>
    <row r="66" spans="1:17">
      <c r="A66" s="274">
        <f>IF(B66="","",DATE(IF(INT(B66)&gt;=4,予算!$L$1,予算!$L$2),INT(B66),ROUND(MOD(B66,1)*100,0)))</f>
        <v>46471</v>
      </c>
      <c r="B66" s="68">
        <v>3.25</v>
      </c>
      <c r="C66" s="43">
        <v>20</v>
      </c>
      <c r="D66" s="11" t="str">
        <f>IF(C66="","",VLOOKUP(C66,予算!$B$7:$C$66,2))</f>
        <v>諸謝金（対象外）</v>
      </c>
      <c r="E66" s="199" t="s">
        <v>213</v>
      </c>
      <c r="F66" s="200">
        <v>41</v>
      </c>
      <c r="G66" s="32"/>
      <c r="H66" s="32">
        <v>16000</v>
      </c>
      <c r="I66" s="50">
        <f t="shared" si="0"/>
        <v>1816</v>
      </c>
      <c r="M66" s="68"/>
      <c r="N66" s="199"/>
      <c r="O66" s="200"/>
      <c r="P66" s="32"/>
      <c r="Q66" s="32"/>
    </row>
    <row r="67" spans="1:17">
      <c r="A67" s="274">
        <f>IF(B67="","",DATE(IF(INT(B67)&gt;=4,予算!$L$1,予算!$L$2),INT(B67),ROUND(MOD(B67,1)*100,0)))</f>
        <v>46471</v>
      </c>
      <c r="B67" s="68">
        <v>3.25</v>
      </c>
      <c r="C67" s="43">
        <v>20</v>
      </c>
      <c r="D67" s="11" t="str">
        <f>IF(C67="","",VLOOKUP(C67,予算!$B$7:$C$66,2))</f>
        <v>諸謝金（対象外）</v>
      </c>
      <c r="E67" s="199" t="s">
        <v>214</v>
      </c>
      <c r="F67" s="200">
        <v>41</v>
      </c>
      <c r="G67" s="32"/>
      <c r="H67" s="32">
        <v>1816</v>
      </c>
      <c r="I67" s="50">
        <f t="shared" si="0"/>
        <v>0</v>
      </c>
      <c r="M67" s="68"/>
      <c r="N67" s="199"/>
      <c r="O67" s="200"/>
      <c r="P67" s="32"/>
      <c r="Q67" s="32"/>
    </row>
    <row r="68" spans="1:17">
      <c r="A68" s="274" t="str">
        <f>IF(B68="","",DATE(IF(INT(B68)&gt;=4,予算!$L$1,予算!$L$2),INT(B68),ROUND(MOD(B68,1)*100,0)))</f>
        <v/>
      </c>
      <c r="B68" s="68"/>
      <c r="C68" s="43"/>
      <c r="D68" s="11" t="str">
        <f>IF(C68="","",VLOOKUP(C68,予算!$B$7:$C$66,2))</f>
        <v/>
      </c>
      <c r="E68" s="199"/>
      <c r="F68" s="200"/>
      <c r="G68" s="32"/>
      <c r="H68" s="32"/>
      <c r="I68" s="50" t="str">
        <f t="shared" si="0"/>
        <v/>
      </c>
      <c r="M68" s="68"/>
      <c r="N68" s="199"/>
      <c r="O68" s="200"/>
      <c r="P68" s="32"/>
      <c r="Q68" s="32"/>
    </row>
    <row r="69" spans="1:17">
      <c r="A69" s="274" t="str">
        <f>IF(B69="","",DATE(IF(INT(B69)&gt;=4,予算!$L$1,予算!$L$2),INT(B69),ROUND(MOD(B69,1)*100,0)))</f>
        <v/>
      </c>
      <c r="B69" s="68"/>
      <c r="C69" s="43"/>
      <c r="D69" s="11" t="str">
        <f>IF(C69="","",VLOOKUP(C69,予算!$B$7:$C$66,2))</f>
        <v/>
      </c>
      <c r="E69" s="199"/>
      <c r="F69" s="200"/>
      <c r="G69" s="32"/>
      <c r="H69" s="32"/>
      <c r="I69" s="50" t="str">
        <f t="shared" si="0"/>
        <v/>
      </c>
      <c r="M69" s="68"/>
      <c r="N69" s="199"/>
      <c r="O69" s="200"/>
      <c r="P69" s="32"/>
      <c r="Q69" s="32"/>
    </row>
    <row r="70" spans="1:17">
      <c r="A70" s="274" t="str">
        <f>IF(B70="","",DATE(IF(INT(B70)&gt;=4,予算!$L$1,予算!$L$2),INT(B70),ROUND(MOD(B70,1)*100,0)))</f>
        <v/>
      </c>
      <c r="B70" s="68"/>
      <c r="C70" s="43"/>
      <c r="D70" s="11" t="str">
        <f>IF(C70="","",VLOOKUP(C70,予算!$B$7:$C$66,2))</f>
        <v/>
      </c>
      <c r="E70" s="199"/>
      <c r="F70" s="200"/>
      <c r="G70" s="32"/>
      <c r="H70" s="32"/>
      <c r="I70" s="50" t="str">
        <f t="shared" si="0"/>
        <v/>
      </c>
      <c r="M70" s="68"/>
      <c r="N70" s="199"/>
      <c r="O70" s="200"/>
      <c r="P70" s="32"/>
      <c r="Q70" s="32"/>
    </row>
    <row r="71" spans="1:17">
      <c r="A71" s="274" t="str">
        <f>IF(B71="","",DATE(IF(INT(B71)&gt;=4,予算!$L$1,予算!$L$2),INT(B71),ROUND(MOD(B71,1)*100,0)))</f>
        <v/>
      </c>
      <c r="B71" s="68"/>
      <c r="C71" s="43"/>
      <c r="D71" s="11" t="str">
        <f>IF(C71="","",VLOOKUP(C71,予算!$B$7:$C$66,2))</f>
        <v/>
      </c>
      <c r="E71" s="199"/>
      <c r="F71" s="200"/>
      <c r="G71" s="32"/>
      <c r="H71" s="32"/>
      <c r="I71" s="50" t="str">
        <f t="shared" si="0"/>
        <v/>
      </c>
      <c r="M71" s="68"/>
      <c r="N71" s="199"/>
      <c r="O71" s="200"/>
      <c r="P71" s="32"/>
      <c r="Q71" s="32"/>
    </row>
    <row r="72" spans="1:17">
      <c r="A72" s="274" t="str">
        <f>IF(B72="","",DATE(IF(INT(B72)&gt;=4,予算!$L$1,予算!$L$2),INT(B72),ROUND(MOD(B72,1)*100,0)))</f>
        <v/>
      </c>
      <c r="B72" s="68"/>
      <c r="C72" s="43"/>
      <c r="D72" s="11" t="str">
        <f>IF(C72="","",VLOOKUP(C72,予算!$B$7:$C$66,2))</f>
        <v/>
      </c>
      <c r="E72" s="199"/>
      <c r="F72" s="200"/>
      <c r="G72" s="32"/>
      <c r="H72" s="32"/>
      <c r="I72" s="50" t="str">
        <f t="shared" si="0"/>
        <v/>
      </c>
      <c r="M72" s="68"/>
      <c r="N72" s="199"/>
      <c r="O72" s="200"/>
      <c r="P72" s="32"/>
      <c r="Q72" s="32"/>
    </row>
    <row r="73" spans="1:17">
      <c r="A73" s="274" t="str">
        <f>IF(B73="","",DATE(IF(INT(B73)&gt;=4,予算!$L$1,予算!$L$2),INT(B73),ROUND(MOD(B73,1)*100,0)))</f>
        <v/>
      </c>
      <c r="B73" s="68"/>
      <c r="C73" s="43"/>
      <c r="D73" s="11" t="str">
        <f>IF(C73="","",VLOOKUP(C73,予算!$B$7:$C$66,2))</f>
        <v/>
      </c>
      <c r="E73" s="199"/>
      <c r="F73" s="200"/>
      <c r="G73" s="32"/>
      <c r="H73" s="32"/>
      <c r="I73" s="50" t="str">
        <f t="shared" ref="I73:I136" si="1">IF(C73="","",I72+G73-H73)</f>
        <v/>
      </c>
      <c r="M73" s="68"/>
      <c r="N73" s="199"/>
      <c r="O73" s="200"/>
      <c r="P73" s="32"/>
      <c r="Q73" s="32"/>
    </row>
    <row r="74" spans="1:17">
      <c r="A74" s="274" t="str">
        <f>IF(B74="","",DATE(IF(INT(B74)&gt;=4,予算!$L$1,予算!$L$2),INT(B74),ROUND(MOD(B74,1)*100,0)))</f>
        <v/>
      </c>
      <c r="B74" s="68"/>
      <c r="C74" s="43"/>
      <c r="D74" s="11" t="str">
        <f>IF(C74="","",VLOOKUP(C74,予算!$B$7:$C$66,2))</f>
        <v/>
      </c>
      <c r="E74" s="199"/>
      <c r="F74" s="200"/>
      <c r="G74" s="32"/>
      <c r="H74" s="32"/>
      <c r="I74" s="50" t="str">
        <f t="shared" si="1"/>
        <v/>
      </c>
      <c r="M74" s="68"/>
      <c r="N74" s="199"/>
      <c r="O74" s="200"/>
      <c r="P74" s="32"/>
      <c r="Q74" s="32"/>
    </row>
    <row r="75" spans="1:17">
      <c r="A75" s="274" t="str">
        <f>IF(B75="","",DATE(IF(INT(B75)&gt;=4,予算!$L$1,予算!$L$2),INT(B75),ROUND(MOD(B75,1)*100,0)))</f>
        <v/>
      </c>
      <c r="B75" s="68"/>
      <c r="C75" s="43"/>
      <c r="D75" s="11" t="str">
        <f>IF(C75="","",VLOOKUP(C75,予算!$B$7:$C$66,2))</f>
        <v/>
      </c>
      <c r="E75" s="199"/>
      <c r="F75" s="200"/>
      <c r="G75" s="32"/>
      <c r="H75" s="32"/>
      <c r="I75" s="50" t="str">
        <f t="shared" si="1"/>
        <v/>
      </c>
      <c r="M75" s="68"/>
      <c r="N75" s="199"/>
      <c r="O75" s="200"/>
      <c r="P75" s="32"/>
      <c r="Q75" s="32"/>
    </row>
    <row r="76" spans="1:17">
      <c r="A76" s="274" t="str">
        <f>IF(B76="","",DATE(IF(INT(B76)&gt;=4,予算!$L$1,予算!$L$2),INT(B76),ROUND(MOD(B76,1)*100,0)))</f>
        <v/>
      </c>
      <c r="B76" s="68"/>
      <c r="C76" s="43"/>
      <c r="D76" s="11" t="str">
        <f>IF(C76="","",VLOOKUP(C76,予算!$B$7:$C$66,2))</f>
        <v/>
      </c>
      <c r="E76" s="199"/>
      <c r="F76" s="200"/>
      <c r="G76" s="32"/>
      <c r="H76" s="32"/>
      <c r="I76" s="50" t="str">
        <f t="shared" si="1"/>
        <v/>
      </c>
      <c r="M76" s="68"/>
      <c r="N76" s="199"/>
      <c r="O76" s="200"/>
      <c r="P76" s="32"/>
      <c r="Q76" s="32"/>
    </row>
    <row r="77" spans="1:17">
      <c r="A77" s="274" t="str">
        <f>IF(B77="","",DATE(IF(INT(B77)&gt;=4,予算!$L$1,予算!$L$2),INT(B77),ROUND(MOD(B77,1)*100,0)))</f>
        <v/>
      </c>
      <c r="B77" s="68"/>
      <c r="C77" s="43"/>
      <c r="D77" s="11" t="str">
        <f>IF(C77="","",VLOOKUP(C77,予算!$B$7:$C$66,2))</f>
        <v/>
      </c>
      <c r="E77" s="199"/>
      <c r="F77" s="200"/>
      <c r="G77" s="32"/>
      <c r="H77" s="32"/>
      <c r="I77" s="50" t="str">
        <f t="shared" si="1"/>
        <v/>
      </c>
      <c r="M77" s="68"/>
      <c r="N77" s="199"/>
      <c r="O77" s="200"/>
      <c r="P77" s="32"/>
      <c r="Q77" s="32"/>
    </row>
    <row r="78" spans="1:17">
      <c r="A78" s="274" t="str">
        <f>IF(B78="","",DATE(IF(INT(B78)&gt;=4,予算!$L$1,予算!$L$2),INT(B78),ROUND(MOD(B78,1)*100,0)))</f>
        <v/>
      </c>
      <c r="B78" s="68"/>
      <c r="C78" s="43"/>
      <c r="D78" s="11" t="str">
        <f>IF(C78="","",VLOOKUP(C78,予算!$B$7:$C$66,2))</f>
        <v/>
      </c>
      <c r="E78" s="199"/>
      <c r="F78" s="200"/>
      <c r="G78" s="32"/>
      <c r="H78" s="32"/>
      <c r="I78" s="50" t="str">
        <f t="shared" si="1"/>
        <v/>
      </c>
      <c r="M78" s="68"/>
      <c r="N78" s="199"/>
      <c r="O78" s="200"/>
      <c r="P78" s="32"/>
      <c r="Q78" s="32"/>
    </row>
    <row r="79" spans="1:17">
      <c r="A79" s="274" t="str">
        <f>IF(B79="","",DATE(IF(INT(B79)&gt;=4,予算!$L$1,予算!$L$2),INT(B79),ROUND(MOD(B79,1)*100,0)))</f>
        <v/>
      </c>
      <c r="B79" s="68"/>
      <c r="C79" s="43"/>
      <c r="D79" s="11" t="str">
        <f>IF(C79="","",VLOOKUP(C79,予算!$B$7:$C$66,2))</f>
        <v/>
      </c>
      <c r="E79" s="199"/>
      <c r="F79" s="200"/>
      <c r="G79" s="32"/>
      <c r="H79" s="32"/>
      <c r="I79" s="50" t="str">
        <f t="shared" si="1"/>
        <v/>
      </c>
      <c r="M79" s="68"/>
      <c r="N79" s="199"/>
      <c r="O79" s="200"/>
      <c r="P79" s="32"/>
      <c r="Q79" s="32"/>
    </row>
    <row r="80" spans="1:17">
      <c r="A80" s="274" t="str">
        <f>IF(B80="","",DATE(IF(INT(B80)&gt;=4,予算!$L$1,予算!$L$2),INT(B80),ROUND(MOD(B80,1)*100,0)))</f>
        <v/>
      </c>
      <c r="B80" s="68"/>
      <c r="C80" s="43"/>
      <c r="D80" s="11" t="str">
        <f>IF(C80="","",VLOOKUP(C80,予算!$B$7:$C$66,2))</f>
        <v/>
      </c>
      <c r="E80" s="199"/>
      <c r="F80" s="200"/>
      <c r="G80" s="32"/>
      <c r="H80" s="32"/>
      <c r="I80" s="50" t="str">
        <f t="shared" si="1"/>
        <v/>
      </c>
      <c r="M80" s="68"/>
      <c r="N80" s="199"/>
      <c r="O80" s="200"/>
      <c r="P80" s="32"/>
      <c r="Q80" s="32"/>
    </row>
    <row r="81" spans="1:17">
      <c r="A81" s="274" t="str">
        <f>IF(B81="","",DATE(IF(INT(B81)&gt;=4,予算!$L$1,予算!$L$2),INT(B81),ROUND(MOD(B81,1)*100,0)))</f>
        <v/>
      </c>
      <c r="B81" s="68"/>
      <c r="C81" s="43"/>
      <c r="D81" s="11" t="str">
        <f>IF(C81="","",VLOOKUP(C81,予算!$B$7:$C$66,2))</f>
        <v/>
      </c>
      <c r="E81" s="199"/>
      <c r="F81" s="200"/>
      <c r="G81" s="32"/>
      <c r="H81" s="32"/>
      <c r="I81" s="50" t="str">
        <f t="shared" si="1"/>
        <v/>
      </c>
      <c r="M81" s="68"/>
      <c r="N81" s="199"/>
      <c r="O81" s="200"/>
      <c r="P81" s="32"/>
      <c r="Q81" s="32"/>
    </row>
    <row r="82" spans="1:17">
      <c r="A82" s="274" t="str">
        <f>IF(B82="","",DATE(IF(INT(B82)&gt;=4,予算!$L$1,予算!$L$2),INT(B82),ROUND(MOD(B82,1)*100,0)))</f>
        <v/>
      </c>
      <c r="B82" s="68"/>
      <c r="C82" s="43"/>
      <c r="D82" s="11" t="str">
        <f>IF(C82="","",VLOOKUP(C82,予算!$B$7:$C$66,2))</f>
        <v/>
      </c>
      <c r="E82" s="199"/>
      <c r="F82" s="200"/>
      <c r="G82" s="32"/>
      <c r="H82" s="32"/>
      <c r="I82" s="50" t="str">
        <f t="shared" si="1"/>
        <v/>
      </c>
      <c r="M82" s="68"/>
      <c r="N82" s="199"/>
      <c r="O82" s="200"/>
      <c r="P82" s="32"/>
      <c r="Q82" s="32"/>
    </row>
    <row r="83" spans="1:17">
      <c r="A83" s="274" t="str">
        <f>IF(B83="","",DATE(IF(INT(B83)&gt;=4,予算!$L$1,予算!$L$2),INT(B83),ROUND(MOD(B83,1)*100,0)))</f>
        <v/>
      </c>
      <c r="B83" s="68"/>
      <c r="C83" s="43"/>
      <c r="D83" s="11" t="str">
        <f>IF(C83="","",VLOOKUP(C83,予算!$B$7:$C$66,2))</f>
        <v/>
      </c>
      <c r="E83" s="199"/>
      <c r="F83" s="200"/>
      <c r="G83" s="32"/>
      <c r="H83" s="32"/>
      <c r="I83" s="50" t="str">
        <f t="shared" si="1"/>
        <v/>
      </c>
      <c r="M83" s="68"/>
      <c r="N83" s="199"/>
      <c r="O83" s="200"/>
      <c r="P83" s="32"/>
      <c r="Q83" s="32"/>
    </row>
    <row r="84" spans="1:17">
      <c r="A84" s="274" t="str">
        <f>IF(B84="","",DATE(IF(INT(B84)&gt;=4,予算!$L$1,予算!$L$2),INT(B84),ROUND(MOD(B84,1)*100,0)))</f>
        <v/>
      </c>
      <c r="B84" s="68"/>
      <c r="C84" s="43"/>
      <c r="D84" s="11" t="str">
        <f>IF(C84="","",VLOOKUP(C84,予算!$B$7:$C$66,2))</f>
        <v/>
      </c>
      <c r="E84" s="199"/>
      <c r="F84" s="200"/>
      <c r="G84" s="32"/>
      <c r="H84" s="32"/>
      <c r="I84" s="50" t="str">
        <f t="shared" si="1"/>
        <v/>
      </c>
      <c r="M84" s="68"/>
      <c r="N84" s="199"/>
      <c r="O84" s="200"/>
      <c r="P84" s="32"/>
      <c r="Q84" s="32"/>
    </row>
    <row r="85" spans="1:17">
      <c r="A85" s="274" t="str">
        <f>IF(B85="","",DATE(IF(INT(B85)&gt;=4,予算!$L$1,予算!$L$2),INT(B85),ROUND(MOD(B85,1)*100,0)))</f>
        <v/>
      </c>
      <c r="B85" s="68"/>
      <c r="C85" s="43"/>
      <c r="D85" s="11" t="str">
        <f>IF(C85="","",VLOOKUP(C85,予算!$B$7:$C$66,2))</f>
        <v/>
      </c>
      <c r="E85" s="199"/>
      <c r="F85" s="200"/>
      <c r="G85" s="32"/>
      <c r="H85" s="32"/>
      <c r="I85" s="50" t="str">
        <f t="shared" si="1"/>
        <v/>
      </c>
      <c r="M85" s="68"/>
      <c r="N85" s="199"/>
      <c r="O85" s="200"/>
      <c r="P85" s="32"/>
      <c r="Q85" s="32"/>
    </row>
    <row r="86" spans="1:17">
      <c r="A86" s="274" t="str">
        <f>IF(B86="","",DATE(IF(INT(B86)&gt;=4,予算!$L$1,予算!$L$2),INT(B86),ROUND(MOD(B86,1)*100,0)))</f>
        <v/>
      </c>
      <c r="B86" s="68"/>
      <c r="C86" s="43"/>
      <c r="D86" s="11" t="str">
        <f>IF(C86="","",VLOOKUP(C86,予算!$B$7:$C$66,2))</f>
        <v/>
      </c>
      <c r="E86" s="199"/>
      <c r="F86" s="200"/>
      <c r="G86" s="32"/>
      <c r="H86" s="32"/>
      <c r="I86" s="50" t="str">
        <f t="shared" si="1"/>
        <v/>
      </c>
      <c r="M86" s="68"/>
      <c r="N86" s="199"/>
      <c r="O86" s="200"/>
      <c r="P86" s="32"/>
      <c r="Q86" s="32"/>
    </row>
    <row r="87" spans="1:17">
      <c r="A87" s="274" t="str">
        <f>IF(B87="","",DATE(IF(INT(B87)&gt;=4,予算!$L$1,予算!$L$2),INT(B87),ROUND(MOD(B87,1)*100,0)))</f>
        <v/>
      </c>
      <c r="B87" s="68"/>
      <c r="C87" s="43"/>
      <c r="D87" s="11" t="str">
        <f>IF(C87="","",VLOOKUP(C87,予算!$B$7:$C$66,2))</f>
        <v/>
      </c>
      <c r="E87" s="199"/>
      <c r="F87" s="200"/>
      <c r="G87" s="32"/>
      <c r="H87" s="32"/>
      <c r="I87" s="50" t="str">
        <f t="shared" si="1"/>
        <v/>
      </c>
      <c r="M87" s="68"/>
      <c r="N87" s="199"/>
      <c r="O87" s="200"/>
      <c r="P87" s="32"/>
      <c r="Q87" s="32"/>
    </row>
    <row r="88" spans="1:17">
      <c r="A88" s="274" t="str">
        <f>IF(B88="","",DATE(IF(INT(B88)&gt;=4,予算!$L$1,予算!$L$2),INT(B88),ROUND(MOD(B88,1)*100,0)))</f>
        <v/>
      </c>
      <c r="B88" s="68"/>
      <c r="C88" s="43"/>
      <c r="D88" s="11" t="str">
        <f>IF(C88="","",VLOOKUP(C88,予算!$B$7:$C$66,2))</f>
        <v/>
      </c>
      <c r="E88" s="199"/>
      <c r="F88" s="200"/>
      <c r="G88" s="32"/>
      <c r="H88" s="32"/>
      <c r="I88" s="50" t="str">
        <f t="shared" si="1"/>
        <v/>
      </c>
      <c r="M88" s="68"/>
      <c r="N88" s="199"/>
      <c r="O88" s="200"/>
      <c r="P88" s="32"/>
      <c r="Q88" s="32"/>
    </row>
    <row r="89" spans="1:17">
      <c r="A89" s="274" t="str">
        <f>IF(B89="","",DATE(IF(INT(B89)&gt;=4,予算!$L$1,予算!$L$2),INT(B89),ROUND(MOD(B89,1)*100,0)))</f>
        <v/>
      </c>
      <c r="B89" s="68"/>
      <c r="C89" s="43"/>
      <c r="D89" s="11" t="str">
        <f>IF(C89="","",VLOOKUP(C89,予算!$B$7:$C$66,2))</f>
        <v/>
      </c>
      <c r="E89" s="199"/>
      <c r="F89" s="200"/>
      <c r="G89" s="32"/>
      <c r="H89" s="32"/>
      <c r="I89" s="50" t="str">
        <f t="shared" si="1"/>
        <v/>
      </c>
      <c r="M89" s="68"/>
      <c r="N89" s="199"/>
      <c r="O89" s="200"/>
      <c r="P89" s="32"/>
      <c r="Q89" s="32"/>
    </row>
    <row r="90" spans="1:17">
      <c r="A90" s="274" t="str">
        <f>IF(B90="","",DATE(IF(INT(B90)&gt;=4,予算!$L$1,予算!$L$2),INT(B90),ROUND(MOD(B90,1)*100,0)))</f>
        <v/>
      </c>
      <c r="B90" s="68"/>
      <c r="C90" s="43"/>
      <c r="D90" s="11" t="str">
        <f>IF(C90="","",VLOOKUP(C90,予算!$B$7:$C$66,2))</f>
        <v/>
      </c>
      <c r="E90" s="199"/>
      <c r="F90" s="200"/>
      <c r="G90" s="32"/>
      <c r="H90" s="32"/>
      <c r="I90" s="50" t="str">
        <f t="shared" si="1"/>
        <v/>
      </c>
      <c r="M90" s="68"/>
      <c r="N90" s="199"/>
      <c r="O90" s="200"/>
      <c r="P90" s="32"/>
      <c r="Q90" s="32"/>
    </row>
    <row r="91" spans="1:17">
      <c r="A91" s="274" t="str">
        <f>IF(B91="","",DATE(IF(INT(B91)&gt;=4,予算!$L$1,予算!$L$2),INT(B91),ROUND(MOD(B91,1)*100,0)))</f>
        <v/>
      </c>
      <c r="B91" s="68"/>
      <c r="C91" s="43"/>
      <c r="D91" s="11" t="str">
        <f>IF(C91="","",VLOOKUP(C91,予算!$B$7:$C$66,2))</f>
        <v/>
      </c>
      <c r="E91" s="199"/>
      <c r="F91" s="200"/>
      <c r="G91" s="32"/>
      <c r="H91" s="32"/>
      <c r="I91" s="50" t="str">
        <f t="shared" si="1"/>
        <v/>
      </c>
      <c r="M91" s="68"/>
      <c r="N91" s="199"/>
      <c r="O91" s="200"/>
      <c r="P91" s="32"/>
      <c r="Q91" s="32"/>
    </row>
    <row r="92" spans="1:17">
      <c r="A92" s="274" t="str">
        <f>IF(B92="","",DATE(IF(INT(B92)&gt;=4,予算!$L$1,予算!$L$2),INT(B92),ROUND(MOD(B92,1)*100,0)))</f>
        <v/>
      </c>
      <c r="B92" s="68"/>
      <c r="C92" s="43"/>
      <c r="D92" s="11" t="str">
        <f>IF(C92="","",VLOOKUP(C92,予算!$B$7:$C$66,2))</f>
        <v/>
      </c>
      <c r="E92" s="199"/>
      <c r="F92" s="200"/>
      <c r="G92" s="32"/>
      <c r="H92" s="32"/>
      <c r="I92" s="50" t="str">
        <f t="shared" si="1"/>
        <v/>
      </c>
      <c r="M92" s="68"/>
      <c r="N92" s="199"/>
      <c r="O92" s="200"/>
      <c r="P92" s="32"/>
      <c r="Q92" s="32"/>
    </row>
    <row r="93" spans="1:17">
      <c r="A93" s="274" t="str">
        <f>IF(B93="","",DATE(IF(INT(B93)&gt;=4,予算!$L$1,予算!$L$2),INT(B93),ROUND(MOD(B93,1)*100,0)))</f>
        <v/>
      </c>
      <c r="B93" s="68"/>
      <c r="C93" s="43"/>
      <c r="D93" s="11" t="str">
        <f>IF(C93="","",VLOOKUP(C93,予算!$B$7:$C$66,2))</f>
        <v/>
      </c>
      <c r="E93" s="199"/>
      <c r="F93" s="200"/>
      <c r="G93" s="32"/>
      <c r="H93" s="32"/>
      <c r="I93" s="50" t="str">
        <f t="shared" si="1"/>
        <v/>
      </c>
      <c r="M93" s="68"/>
      <c r="N93" s="199"/>
      <c r="O93" s="200"/>
      <c r="P93" s="32"/>
      <c r="Q93" s="32"/>
    </row>
    <row r="94" spans="1:17">
      <c r="A94" s="274" t="str">
        <f>IF(B94="","",DATE(IF(INT(B94)&gt;=4,予算!$L$1,予算!$L$2),INT(B94),ROUND(MOD(B94,1)*100,0)))</f>
        <v/>
      </c>
      <c r="B94" s="68"/>
      <c r="C94" s="43"/>
      <c r="D94" s="11" t="str">
        <f>IF(C94="","",VLOOKUP(C94,予算!$B$7:$C$66,2))</f>
        <v/>
      </c>
      <c r="E94" s="199"/>
      <c r="F94" s="200"/>
      <c r="G94" s="32"/>
      <c r="H94" s="32"/>
      <c r="I94" s="50" t="str">
        <f t="shared" si="1"/>
        <v/>
      </c>
      <c r="M94" s="68"/>
      <c r="N94" s="199"/>
      <c r="O94" s="200"/>
      <c r="P94" s="32"/>
      <c r="Q94" s="32"/>
    </row>
    <row r="95" spans="1:17">
      <c r="A95" s="274" t="str">
        <f>IF(B95="","",DATE(IF(INT(B95)&gt;=4,予算!$L$1,予算!$L$2),INT(B95),ROUND(MOD(B95,1)*100,0)))</f>
        <v/>
      </c>
      <c r="B95" s="68"/>
      <c r="C95" s="43"/>
      <c r="D95" s="11" t="str">
        <f>IF(C95="","",VLOOKUP(C95,予算!$B$7:$C$66,2))</f>
        <v/>
      </c>
      <c r="E95" s="199"/>
      <c r="F95" s="200"/>
      <c r="G95" s="32"/>
      <c r="H95" s="32"/>
      <c r="I95" s="50" t="str">
        <f t="shared" si="1"/>
        <v/>
      </c>
      <c r="M95" s="68"/>
      <c r="N95" s="199"/>
      <c r="O95" s="200"/>
      <c r="P95" s="32"/>
      <c r="Q95" s="32"/>
    </row>
    <row r="96" spans="1:17">
      <c r="A96" s="274" t="str">
        <f>IF(B96="","",DATE(IF(INT(B96)&gt;=4,予算!$L$1,予算!$L$2),INT(B96),ROUND(MOD(B96,1)*100,0)))</f>
        <v/>
      </c>
      <c r="B96" s="68"/>
      <c r="C96" s="43"/>
      <c r="D96" s="11" t="str">
        <f>IF(C96="","",VLOOKUP(C96,予算!$B$7:$C$66,2))</f>
        <v/>
      </c>
      <c r="E96" s="199"/>
      <c r="F96" s="200"/>
      <c r="G96" s="32"/>
      <c r="H96" s="32"/>
      <c r="I96" s="50" t="str">
        <f t="shared" si="1"/>
        <v/>
      </c>
      <c r="M96" s="68"/>
      <c r="N96" s="199"/>
      <c r="O96" s="200"/>
      <c r="P96" s="32"/>
      <c r="Q96" s="32"/>
    </row>
    <row r="97" spans="1:17">
      <c r="A97" s="274" t="str">
        <f>IF(B97="","",DATE(IF(INT(B97)&gt;=4,予算!$L$1,予算!$L$2),INT(B97),ROUND(MOD(B97,1)*100,0)))</f>
        <v/>
      </c>
      <c r="B97" s="68"/>
      <c r="C97" s="43"/>
      <c r="D97" s="11" t="str">
        <f>IF(C97="","",VLOOKUP(C97,予算!$B$7:$C$66,2))</f>
        <v/>
      </c>
      <c r="E97" s="199"/>
      <c r="F97" s="200"/>
      <c r="G97" s="32"/>
      <c r="H97" s="32"/>
      <c r="I97" s="50" t="str">
        <f t="shared" si="1"/>
        <v/>
      </c>
      <c r="M97" s="68"/>
      <c r="N97" s="199"/>
      <c r="O97" s="200"/>
      <c r="P97" s="32"/>
      <c r="Q97" s="32"/>
    </row>
    <row r="98" spans="1:17">
      <c r="A98" s="274" t="str">
        <f>IF(B98="","",DATE(IF(INT(B98)&gt;=4,予算!$L$1,予算!$L$2),INT(B98),ROUND(MOD(B98,1)*100,0)))</f>
        <v/>
      </c>
      <c r="B98" s="68"/>
      <c r="C98" s="43"/>
      <c r="D98" s="11" t="str">
        <f>IF(C98="","",VLOOKUP(C98,予算!$B$7:$C$66,2))</f>
        <v/>
      </c>
      <c r="E98" s="199"/>
      <c r="F98" s="200"/>
      <c r="G98" s="32"/>
      <c r="H98" s="32"/>
      <c r="I98" s="50" t="str">
        <f t="shared" si="1"/>
        <v/>
      </c>
      <c r="M98" s="68"/>
      <c r="N98" s="199"/>
      <c r="O98" s="200"/>
      <c r="P98" s="32"/>
      <c r="Q98" s="32"/>
    </row>
    <row r="99" spans="1:17">
      <c r="A99" s="274" t="str">
        <f>IF(B99="","",DATE(IF(INT(B99)&gt;=4,予算!$L$1,予算!$L$2),INT(B99),ROUND(MOD(B99,1)*100,0)))</f>
        <v/>
      </c>
      <c r="B99" s="68"/>
      <c r="C99" s="43"/>
      <c r="D99" s="11" t="str">
        <f>IF(C99="","",VLOOKUP(C99,予算!$B$7:$C$66,2))</f>
        <v/>
      </c>
      <c r="E99" s="199"/>
      <c r="F99" s="200"/>
      <c r="G99" s="32"/>
      <c r="H99" s="32"/>
      <c r="I99" s="50" t="str">
        <f t="shared" si="1"/>
        <v/>
      </c>
      <c r="M99" s="68"/>
      <c r="N99" s="199"/>
      <c r="O99" s="200"/>
      <c r="P99" s="32"/>
      <c r="Q99" s="32"/>
    </row>
    <row r="100" spans="1:17">
      <c r="A100" s="274" t="str">
        <f>IF(B100="","",DATE(IF(INT(B100)&gt;=4,予算!$L$1,予算!$L$2),INT(B100),ROUND(MOD(B100,1)*100,0)))</f>
        <v/>
      </c>
      <c r="B100" s="68"/>
      <c r="C100" s="43"/>
      <c r="D100" s="11" t="str">
        <f>IF(C100="","",VLOOKUP(C100,予算!$B$7:$C$66,2))</f>
        <v/>
      </c>
      <c r="E100" s="199"/>
      <c r="F100" s="200"/>
      <c r="G100" s="32"/>
      <c r="H100" s="32"/>
      <c r="I100" s="50" t="str">
        <f t="shared" si="1"/>
        <v/>
      </c>
      <c r="M100" s="68"/>
      <c r="N100" s="199"/>
      <c r="O100" s="200"/>
      <c r="P100" s="32"/>
      <c r="Q100" s="32"/>
    </row>
    <row r="101" spans="1:17">
      <c r="A101" s="274" t="str">
        <f>IF(B101="","",DATE(IF(INT(B101)&gt;=4,予算!$L$1,予算!$L$2),INT(B101),ROUND(MOD(B101,1)*100,0)))</f>
        <v/>
      </c>
      <c r="B101" s="68"/>
      <c r="C101" s="43"/>
      <c r="D101" s="11" t="str">
        <f>IF(C101="","",VLOOKUP(C101,予算!$B$7:$C$66,2))</f>
        <v/>
      </c>
      <c r="E101" s="199"/>
      <c r="F101" s="200"/>
      <c r="G101" s="32"/>
      <c r="H101" s="32"/>
      <c r="I101" s="50" t="str">
        <f t="shared" si="1"/>
        <v/>
      </c>
      <c r="M101" s="68"/>
      <c r="N101" s="199"/>
      <c r="O101" s="200"/>
      <c r="P101" s="32"/>
      <c r="Q101" s="32"/>
    </row>
    <row r="102" spans="1:17">
      <c r="A102" s="274" t="str">
        <f>IF(B102="","",DATE(IF(INT(B102)&gt;=4,予算!$L$1,予算!$L$2),INT(B102),ROUND(MOD(B102,1)*100,0)))</f>
        <v/>
      </c>
      <c r="B102" s="68"/>
      <c r="C102" s="43"/>
      <c r="D102" s="11" t="str">
        <f>IF(C102="","",VLOOKUP(C102,予算!$B$7:$C$66,2))</f>
        <v/>
      </c>
      <c r="E102" s="199"/>
      <c r="F102" s="200"/>
      <c r="G102" s="32"/>
      <c r="H102" s="32"/>
      <c r="I102" s="50" t="str">
        <f t="shared" si="1"/>
        <v/>
      </c>
      <c r="M102" s="68"/>
      <c r="N102" s="199"/>
      <c r="O102" s="200"/>
      <c r="P102" s="32"/>
      <c r="Q102" s="32"/>
    </row>
    <row r="103" spans="1:17">
      <c r="A103" s="274" t="str">
        <f>IF(B103="","",DATE(IF(INT(B103)&gt;=4,予算!$L$1,予算!$L$2),INT(B103),ROUND(MOD(B103,1)*100,0)))</f>
        <v/>
      </c>
      <c r="B103" s="68"/>
      <c r="C103" s="43"/>
      <c r="D103" s="11" t="str">
        <f>IF(C103="","",VLOOKUP(C103,予算!$B$7:$C$66,2))</f>
        <v/>
      </c>
      <c r="E103" s="199"/>
      <c r="F103" s="200"/>
      <c r="G103" s="32"/>
      <c r="H103" s="32"/>
      <c r="I103" s="50" t="str">
        <f t="shared" si="1"/>
        <v/>
      </c>
      <c r="M103" s="68"/>
      <c r="N103" s="199"/>
      <c r="O103" s="200"/>
      <c r="P103" s="32"/>
      <c r="Q103" s="32"/>
    </row>
    <row r="104" spans="1:17">
      <c r="A104" s="274" t="str">
        <f>IF(B104="","",DATE(IF(INT(B104)&gt;=4,予算!$L$1,予算!$L$2),INT(B104),ROUND(MOD(B104,1)*100,0)))</f>
        <v/>
      </c>
      <c r="B104" s="68"/>
      <c r="C104" s="43"/>
      <c r="D104" s="11" t="str">
        <f>IF(C104="","",VLOOKUP(C104,予算!$B$7:$C$66,2))</f>
        <v/>
      </c>
      <c r="E104" s="199"/>
      <c r="F104" s="200"/>
      <c r="G104" s="32"/>
      <c r="H104" s="32"/>
      <c r="I104" s="50" t="str">
        <f t="shared" si="1"/>
        <v/>
      </c>
      <c r="M104" s="68"/>
      <c r="N104" s="199"/>
      <c r="O104" s="200"/>
      <c r="P104" s="32"/>
      <c r="Q104" s="32"/>
    </row>
    <row r="105" spans="1:17">
      <c r="A105" s="274" t="str">
        <f>IF(B105="","",DATE(IF(INT(B105)&gt;=4,予算!$L$1,予算!$L$2),INT(B105),ROUND(MOD(B105,1)*100,0)))</f>
        <v/>
      </c>
      <c r="B105" s="68"/>
      <c r="C105" s="43"/>
      <c r="D105" s="11" t="str">
        <f>IF(C105="","",VLOOKUP(C105,予算!$B$7:$C$66,2))</f>
        <v/>
      </c>
      <c r="E105" s="199"/>
      <c r="F105" s="200"/>
      <c r="G105" s="32"/>
      <c r="H105" s="32"/>
      <c r="I105" s="50" t="str">
        <f t="shared" si="1"/>
        <v/>
      </c>
      <c r="M105" s="68"/>
      <c r="N105" s="199"/>
      <c r="O105" s="200"/>
      <c r="P105" s="32"/>
      <c r="Q105" s="32"/>
    </row>
    <row r="106" spans="1:17">
      <c r="A106" s="274" t="str">
        <f>IF(B106="","",DATE(IF(INT(B106)&gt;=4,予算!$L$1,予算!$L$2),INT(B106),ROUND(MOD(B106,1)*100,0)))</f>
        <v/>
      </c>
      <c r="B106" s="68"/>
      <c r="C106" s="43"/>
      <c r="D106" s="11" t="str">
        <f>IF(C106="","",VLOOKUP(C106,予算!$B$7:$C$66,2))</f>
        <v/>
      </c>
      <c r="E106" s="199"/>
      <c r="F106" s="200"/>
      <c r="G106" s="32"/>
      <c r="H106" s="32"/>
      <c r="I106" s="50" t="str">
        <f t="shared" si="1"/>
        <v/>
      </c>
      <c r="M106" s="68"/>
      <c r="N106" s="199"/>
      <c r="O106" s="200"/>
      <c r="P106" s="32"/>
      <c r="Q106" s="32"/>
    </row>
    <row r="107" spans="1:17">
      <c r="A107" s="274" t="str">
        <f>IF(B107="","",DATE(IF(INT(B107)&gt;=4,予算!$L$1,予算!$L$2),INT(B107),ROUND(MOD(B107,1)*100,0)))</f>
        <v/>
      </c>
      <c r="B107" s="68"/>
      <c r="C107" s="43"/>
      <c r="D107" s="11" t="str">
        <f>IF(C107="","",VLOOKUP(C107,予算!$B$7:$C$66,2))</f>
        <v/>
      </c>
      <c r="E107" s="199"/>
      <c r="F107" s="200"/>
      <c r="G107" s="32"/>
      <c r="H107" s="32"/>
      <c r="I107" s="50" t="str">
        <f t="shared" si="1"/>
        <v/>
      </c>
      <c r="M107" s="68"/>
      <c r="N107" s="199"/>
      <c r="O107" s="200"/>
      <c r="P107" s="32"/>
      <c r="Q107" s="32"/>
    </row>
    <row r="108" spans="1:17">
      <c r="A108" s="274" t="str">
        <f>IF(B108="","",DATE(IF(INT(B108)&gt;=4,予算!$L$1,予算!$L$2),INT(B108),ROUND(MOD(B108,1)*100,0)))</f>
        <v/>
      </c>
      <c r="B108" s="68"/>
      <c r="C108" s="43"/>
      <c r="D108" s="11" t="str">
        <f>IF(C108="","",VLOOKUP(C108,予算!$B$7:$C$66,2))</f>
        <v/>
      </c>
      <c r="E108" s="199"/>
      <c r="F108" s="200"/>
      <c r="G108" s="32"/>
      <c r="H108" s="32"/>
      <c r="I108" s="50" t="str">
        <f t="shared" si="1"/>
        <v/>
      </c>
      <c r="M108" s="68"/>
      <c r="N108" s="199"/>
      <c r="O108" s="200"/>
      <c r="P108" s="32"/>
      <c r="Q108" s="32"/>
    </row>
    <row r="109" spans="1:17">
      <c r="A109" s="274" t="str">
        <f>IF(B109="","",DATE(IF(INT(B109)&gt;=4,予算!$L$1,予算!$L$2),INT(B109),ROUND(MOD(B109,1)*100,0)))</f>
        <v/>
      </c>
      <c r="B109" s="68"/>
      <c r="C109" s="43"/>
      <c r="D109" s="11" t="str">
        <f>IF(C109="","",VLOOKUP(C109,予算!$B$7:$C$66,2))</f>
        <v/>
      </c>
      <c r="E109" s="199"/>
      <c r="F109" s="200"/>
      <c r="G109" s="32"/>
      <c r="H109" s="32"/>
      <c r="I109" s="50" t="str">
        <f t="shared" si="1"/>
        <v/>
      </c>
      <c r="M109" s="68"/>
      <c r="N109" s="199"/>
      <c r="O109" s="200"/>
      <c r="P109" s="32"/>
      <c r="Q109" s="32"/>
    </row>
    <row r="110" spans="1:17">
      <c r="A110" s="274" t="str">
        <f>IF(B110="","",DATE(IF(INT(B110)&gt;=4,予算!$L$1,予算!$L$2),INT(B110),ROUND(MOD(B110,1)*100,0)))</f>
        <v/>
      </c>
      <c r="B110" s="68"/>
      <c r="C110" s="43"/>
      <c r="D110" s="11" t="str">
        <f>IF(C110="","",VLOOKUP(C110,予算!$B$7:$C$66,2))</f>
        <v/>
      </c>
      <c r="E110" s="199"/>
      <c r="F110" s="200"/>
      <c r="G110" s="32"/>
      <c r="H110" s="32"/>
      <c r="I110" s="50" t="str">
        <f t="shared" si="1"/>
        <v/>
      </c>
      <c r="M110" s="68"/>
      <c r="N110" s="199"/>
      <c r="O110" s="200"/>
      <c r="P110" s="32"/>
      <c r="Q110" s="32"/>
    </row>
    <row r="111" spans="1:17">
      <c r="A111" s="274" t="str">
        <f>IF(B111="","",DATE(IF(INT(B111)&gt;=4,予算!$L$1,予算!$L$2),INT(B111),ROUND(MOD(B111,1)*100,0)))</f>
        <v/>
      </c>
      <c r="B111" s="68"/>
      <c r="C111" s="43"/>
      <c r="D111" s="11" t="str">
        <f>IF(C111="","",VLOOKUP(C111,予算!$B$7:$C$66,2))</f>
        <v/>
      </c>
      <c r="E111" s="199"/>
      <c r="F111" s="200"/>
      <c r="G111" s="32"/>
      <c r="H111" s="32"/>
      <c r="I111" s="50" t="str">
        <f t="shared" si="1"/>
        <v/>
      </c>
      <c r="M111" s="68"/>
      <c r="N111" s="199"/>
      <c r="O111" s="200"/>
      <c r="P111" s="32"/>
      <c r="Q111" s="32"/>
    </row>
    <row r="112" spans="1:17">
      <c r="A112" s="274" t="str">
        <f>IF(B112="","",DATE(IF(INT(B112)&gt;=4,予算!$L$1,予算!$L$2),INT(B112),ROUND(MOD(B112,1)*100,0)))</f>
        <v/>
      </c>
      <c r="B112" s="68"/>
      <c r="C112" s="43"/>
      <c r="D112" s="11" t="str">
        <f>IF(C112="","",VLOOKUP(C112,予算!$B$7:$C$66,2))</f>
        <v/>
      </c>
      <c r="E112" s="199"/>
      <c r="F112" s="200"/>
      <c r="G112" s="32"/>
      <c r="H112" s="32"/>
      <c r="I112" s="50" t="str">
        <f t="shared" si="1"/>
        <v/>
      </c>
      <c r="M112" s="68"/>
      <c r="N112" s="199"/>
      <c r="O112" s="200"/>
      <c r="P112" s="32"/>
      <c r="Q112" s="32"/>
    </row>
    <row r="113" spans="1:17">
      <c r="A113" s="274" t="str">
        <f>IF(B113="","",DATE(IF(INT(B113)&gt;=4,予算!$L$1,予算!$L$2),INT(B113),ROUND(MOD(B113,1)*100,0)))</f>
        <v/>
      </c>
      <c r="B113" s="68"/>
      <c r="C113" s="43"/>
      <c r="D113" s="11" t="str">
        <f>IF(C113="","",VLOOKUP(C113,予算!$B$7:$C$66,2))</f>
        <v/>
      </c>
      <c r="E113" s="199"/>
      <c r="F113" s="200"/>
      <c r="G113" s="32"/>
      <c r="H113" s="32"/>
      <c r="I113" s="50" t="str">
        <f t="shared" si="1"/>
        <v/>
      </c>
      <c r="M113" s="68"/>
      <c r="N113" s="199"/>
      <c r="O113" s="200"/>
      <c r="P113" s="32"/>
      <c r="Q113" s="32"/>
    </row>
    <row r="114" spans="1:17">
      <c r="A114" s="274" t="str">
        <f>IF(B114="","",DATE(IF(INT(B114)&gt;=4,予算!$L$1,予算!$L$2),INT(B114),ROUND(MOD(B114,1)*100,0)))</f>
        <v/>
      </c>
      <c r="B114" s="68"/>
      <c r="C114" s="43"/>
      <c r="D114" s="11" t="str">
        <f>IF(C114="","",VLOOKUP(C114,予算!$B$7:$C$66,2))</f>
        <v/>
      </c>
      <c r="E114" s="199"/>
      <c r="F114" s="200"/>
      <c r="G114" s="32"/>
      <c r="H114" s="32"/>
      <c r="I114" s="50" t="str">
        <f t="shared" si="1"/>
        <v/>
      </c>
      <c r="M114" s="68"/>
      <c r="N114" s="199"/>
      <c r="O114" s="200"/>
      <c r="P114" s="32"/>
      <c r="Q114" s="32"/>
    </row>
    <row r="115" spans="1:17">
      <c r="A115" s="274" t="str">
        <f>IF(B115="","",DATE(IF(INT(B115)&gt;=4,予算!$L$1,予算!$L$2),INT(B115),ROUND(MOD(B115,1)*100,0)))</f>
        <v/>
      </c>
      <c r="B115" s="68"/>
      <c r="C115" s="43"/>
      <c r="D115" s="11" t="str">
        <f>IF(C115="","",VLOOKUP(C115,予算!$B$7:$C$66,2))</f>
        <v/>
      </c>
      <c r="E115" s="199"/>
      <c r="F115" s="200"/>
      <c r="G115" s="32"/>
      <c r="H115" s="32"/>
      <c r="I115" s="50" t="str">
        <f t="shared" si="1"/>
        <v/>
      </c>
      <c r="M115" s="68"/>
      <c r="N115" s="199"/>
      <c r="O115" s="200"/>
      <c r="P115" s="32"/>
      <c r="Q115" s="32"/>
    </row>
    <row r="116" spans="1:17">
      <c r="A116" s="274" t="str">
        <f>IF(B116="","",DATE(IF(INT(B116)&gt;=4,予算!$L$1,予算!$L$2),INT(B116),ROUND(MOD(B116,1)*100,0)))</f>
        <v/>
      </c>
      <c r="B116" s="68"/>
      <c r="C116" s="43"/>
      <c r="D116" s="11" t="str">
        <f>IF(C116="","",VLOOKUP(C116,予算!$B$7:$C$66,2))</f>
        <v/>
      </c>
      <c r="E116" s="199"/>
      <c r="F116" s="200"/>
      <c r="G116" s="32"/>
      <c r="H116" s="32"/>
      <c r="I116" s="50" t="str">
        <f t="shared" si="1"/>
        <v/>
      </c>
      <c r="M116" s="68"/>
      <c r="N116" s="199"/>
      <c r="O116" s="200"/>
      <c r="P116" s="32"/>
      <c r="Q116" s="32"/>
    </row>
    <row r="117" spans="1:17">
      <c r="A117" s="274" t="str">
        <f>IF(B117="","",DATE(IF(INT(B117)&gt;=4,予算!$L$1,予算!$L$2),INT(B117),ROUND(MOD(B117,1)*100,0)))</f>
        <v/>
      </c>
      <c r="B117" s="68"/>
      <c r="C117" s="43"/>
      <c r="D117" s="11" t="str">
        <f>IF(C117="","",VLOOKUP(C117,予算!$B$7:$C$66,2))</f>
        <v/>
      </c>
      <c r="E117" s="199"/>
      <c r="F117" s="200"/>
      <c r="G117" s="32"/>
      <c r="H117" s="32"/>
      <c r="I117" s="50" t="str">
        <f t="shared" si="1"/>
        <v/>
      </c>
      <c r="M117" s="68"/>
      <c r="N117" s="199"/>
      <c r="O117" s="200"/>
      <c r="P117" s="32"/>
      <c r="Q117" s="32"/>
    </row>
    <row r="118" spans="1:17">
      <c r="A118" s="274" t="str">
        <f>IF(B118="","",DATE(IF(INT(B118)&gt;=4,予算!$L$1,予算!$L$2),INT(B118),ROUND(MOD(B118,1)*100,0)))</f>
        <v/>
      </c>
      <c r="B118" s="68"/>
      <c r="C118" s="43"/>
      <c r="D118" s="11" t="str">
        <f>IF(C118="","",VLOOKUP(C118,予算!$B$7:$C$66,2))</f>
        <v/>
      </c>
      <c r="E118" s="199"/>
      <c r="F118" s="200"/>
      <c r="G118" s="32"/>
      <c r="H118" s="32"/>
      <c r="I118" s="50" t="str">
        <f t="shared" si="1"/>
        <v/>
      </c>
      <c r="M118" s="68"/>
      <c r="N118" s="199"/>
      <c r="O118" s="200"/>
      <c r="P118" s="32"/>
      <c r="Q118" s="32"/>
    </row>
    <row r="119" spans="1:17">
      <c r="A119" s="274" t="str">
        <f>IF(B119="","",DATE(IF(INT(B119)&gt;=4,予算!$L$1,予算!$L$2),INT(B119),ROUND(MOD(B119,1)*100,0)))</f>
        <v/>
      </c>
      <c r="B119" s="68"/>
      <c r="C119" s="43"/>
      <c r="D119" s="11" t="str">
        <f>IF(C119="","",VLOOKUP(C119,予算!$B$7:$C$66,2))</f>
        <v/>
      </c>
      <c r="E119" s="199"/>
      <c r="F119" s="200"/>
      <c r="G119" s="32"/>
      <c r="H119" s="32"/>
      <c r="I119" s="50" t="str">
        <f t="shared" si="1"/>
        <v/>
      </c>
      <c r="M119" s="68"/>
      <c r="N119" s="199"/>
      <c r="O119" s="200"/>
      <c r="P119" s="32"/>
      <c r="Q119" s="32"/>
    </row>
    <row r="120" spans="1:17">
      <c r="A120" s="274" t="str">
        <f>IF(B120="","",DATE(IF(INT(B120)&gt;=4,予算!$L$1,予算!$L$2),INT(B120),ROUND(MOD(B120,1)*100,0)))</f>
        <v/>
      </c>
      <c r="B120" s="68"/>
      <c r="C120" s="43"/>
      <c r="D120" s="11" t="str">
        <f>IF(C120="","",VLOOKUP(C120,予算!$B$7:$C$66,2))</f>
        <v/>
      </c>
      <c r="E120" s="199"/>
      <c r="F120" s="200"/>
      <c r="G120" s="32"/>
      <c r="H120" s="32"/>
      <c r="I120" s="50" t="str">
        <f t="shared" si="1"/>
        <v/>
      </c>
      <c r="M120" s="68"/>
      <c r="N120" s="199"/>
      <c r="O120" s="200"/>
      <c r="P120" s="32"/>
      <c r="Q120" s="32"/>
    </row>
    <row r="121" spans="1:17">
      <c r="A121" s="274" t="str">
        <f>IF(B121="","",DATE(IF(INT(B121)&gt;=4,予算!$L$1,予算!$L$2),INT(B121),ROUND(MOD(B121,1)*100,0)))</f>
        <v/>
      </c>
      <c r="B121" s="68"/>
      <c r="C121" s="43"/>
      <c r="D121" s="11" t="str">
        <f>IF(C121="","",VLOOKUP(C121,予算!$B$7:$C$66,2))</f>
        <v/>
      </c>
      <c r="E121" s="199"/>
      <c r="F121" s="200"/>
      <c r="G121" s="32"/>
      <c r="H121" s="32"/>
      <c r="I121" s="50" t="str">
        <f t="shared" si="1"/>
        <v/>
      </c>
      <c r="M121" s="68"/>
      <c r="N121" s="199"/>
      <c r="O121" s="200"/>
      <c r="P121" s="32"/>
      <c r="Q121" s="32"/>
    </row>
    <row r="122" spans="1:17">
      <c r="A122" s="274" t="str">
        <f>IF(B122="","",DATE(IF(INT(B122)&gt;=4,予算!$L$1,予算!$L$2),INT(B122),ROUND(MOD(B122,1)*100,0)))</f>
        <v/>
      </c>
      <c r="B122" s="68"/>
      <c r="C122" s="43"/>
      <c r="D122" s="11" t="str">
        <f>IF(C122="","",VLOOKUP(C122,予算!$B$7:$C$66,2))</f>
        <v/>
      </c>
      <c r="E122" s="199"/>
      <c r="F122" s="200"/>
      <c r="G122" s="32"/>
      <c r="H122" s="32"/>
      <c r="I122" s="50" t="str">
        <f t="shared" si="1"/>
        <v/>
      </c>
      <c r="M122" s="68"/>
      <c r="N122" s="199"/>
      <c r="O122" s="200"/>
      <c r="P122" s="32"/>
      <c r="Q122" s="32"/>
    </row>
    <row r="123" spans="1:17">
      <c r="A123" s="274" t="str">
        <f>IF(B123="","",DATE(IF(INT(B123)&gt;=4,予算!$L$1,予算!$L$2),INT(B123),ROUND(MOD(B123,1)*100,0)))</f>
        <v/>
      </c>
      <c r="B123" s="68"/>
      <c r="C123" s="43"/>
      <c r="D123" s="11" t="str">
        <f>IF(C123="","",VLOOKUP(C123,予算!$B$7:$C$66,2))</f>
        <v/>
      </c>
      <c r="E123" s="199"/>
      <c r="F123" s="200"/>
      <c r="G123" s="32"/>
      <c r="H123" s="32"/>
      <c r="I123" s="50" t="str">
        <f t="shared" si="1"/>
        <v/>
      </c>
      <c r="M123" s="68"/>
      <c r="N123" s="199"/>
      <c r="O123" s="200"/>
      <c r="P123" s="32"/>
      <c r="Q123" s="32"/>
    </row>
    <row r="124" spans="1:17">
      <c r="A124" s="274" t="str">
        <f>IF(B124="","",DATE(IF(INT(B124)&gt;=4,予算!$L$1,予算!$L$2),INT(B124),ROUND(MOD(B124,1)*100,0)))</f>
        <v/>
      </c>
      <c r="B124" s="68"/>
      <c r="C124" s="43"/>
      <c r="D124" s="11" t="str">
        <f>IF(C124="","",VLOOKUP(C124,予算!$B$7:$C$66,2))</f>
        <v/>
      </c>
      <c r="E124" s="199"/>
      <c r="F124" s="200"/>
      <c r="G124" s="32"/>
      <c r="H124" s="32"/>
      <c r="I124" s="50" t="str">
        <f t="shared" si="1"/>
        <v/>
      </c>
      <c r="M124" s="68"/>
      <c r="N124" s="199"/>
      <c r="O124" s="200"/>
      <c r="P124" s="32"/>
      <c r="Q124" s="32"/>
    </row>
    <row r="125" spans="1:17">
      <c r="A125" s="274" t="str">
        <f>IF(B125="","",DATE(IF(INT(B125)&gt;=4,予算!$L$1,予算!$L$2),INT(B125),ROUND(MOD(B125,1)*100,0)))</f>
        <v/>
      </c>
      <c r="B125" s="68"/>
      <c r="C125" s="43"/>
      <c r="D125" s="11" t="str">
        <f>IF(C125="","",VLOOKUP(C125,予算!$B$7:$C$66,2))</f>
        <v/>
      </c>
      <c r="E125" s="199"/>
      <c r="F125" s="200"/>
      <c r="G125" s="32"/>
      <c r="H125" s="32"/>
      <c r="I125" s="50" t="str">
        <f t="shared" si="1"/>
        <v/>
      </c>
      <c r="M125" s="68"/>
      <c r="N125" s="199"/>
      <c r="O125" s="200"/>
      <c r="P125" s="32"/>
      <c r="Q125" s="32"/>
    </row>
    <row r="126" spans="1:17">
      <c r="A126" s="274" t="str">
        <f>IF(B126="","",DATE(IF(INT(B126)&gt;=4,予算!$L$1,予算!$L$2),INT(B126),ROUND(MOD(B126,1)*100,0)))</f>
        <v/>
      </c>
      <c r="B126" s="68"/>
      <c r="C126" s="43"/>
      <c r="D126" s="11" t="str">
        <f>IF(C126="","",VLOOKUP(C126,予算!$B$7:$C$66,2))</f>
        <v/>
      </c>
      <c r="E126" s="199"/>
      <c r="F126" s="200"/>
      <c r="G126" s="32"/>
      <c r="H126" s="32"/>
      <c r="I126" s="50" t="str">
        <f t="shared" si="1"/>
        <v/>
      </c>
      <c r="M126" s="68"/>
      <c r="N126" s="199"/>
      <c r="O126" s="200"/>
      <c r="P126" s="32"/>
      <c r="Q126" s="32"/>
    </row>
    <row r="127" spans="1:17">
      <c r="A127" s="274" t="str">
        <f>IF(B127="","",DATE(IF(INT(B127)&gt;=4,予算!$L$1,予算!$L$2),INT(B127),ROUND(MOD(B127,1)*100,0)))</f>
        <v/>
      </c>
      <c r="B127" s="68"/>
      <c r="C127" s="43"/>
      <c r="D127" s="11" t="str">
        <f>IF(C127="","",VLOOKUP(C127,予算!$B$7:$C$66,2))</f>
        <v/>
      </c>
      <c r="E127" s="199"/>
      <c r="F127" s="200"/>
      <c r="G127" s="32"/>
      <c r="H127" s="32"/>
      <c r="I127" s="50" t="str">
        <f t="shared" si="1"/>
        <v/>
      </c>
      <c r="M127" s="68"/>
      <c r="N127" s="199"/>
      <c r="O127" s="200"/>
      <c r="P127" s="32"/>
      <c r="Q127" s="32"/>
    </row>
    <row r="128" spans="1:17">
      <c r="A128" s="274" t="str">
        <f>IF(B128="","",DATE(IF(INT(B128)&gt;=4,予算!$L$1,予算!$L$2),INT(B128),ROUND(MOD(B128,1)*100,0)))</f>
        <v/>
      </c>
      <c r="B128" s="68"/>
      <c r="C128" s="43"/>
      <c r="D128" s="11" t="str">
        <f>IF(C128="","",VLOOKUP(C128,予算!$B$7:$C$66,2))</f>
        <v/>
      </c>
      <c r="E128" s="199"/>
      <c r="F128" s="200"/>
      <c r="G128" s="32"/>
      <c r="H128" s="32"/>
      <c r="I128" s="50" t="str">
        <f t="shared" si="1"/>
        <v/>
      </c>
      <c r="M128" s="68"/>
      <c r="N128" s="199"/>
      <c r="O128" s="200"/>
      <c r="P128" s="32"/>
      <c r="Q128" s="32"/>
    </row>
    <row r="129" spans="1:17">
      <c r="A129" s="274" t="str">
        <f>IF(B129="","",DATE(IF(INT(B129)&gt;=4,予算!$L$1,予算!$L$2),INT(B129),ROUND(MOD(B129,1)*100,0)))</f>
        <v/>
      </c>
      <c r="B129" s="68"/>
      <c r="C129" s="43"/>
      <c r="D129" s="11" t="str">
        <f>IF(C129="","",VLOOKUP(C129,予算!$B$7:$C$66,2))</f>
        <v/>
      </c>
      <c r="E129" s="199"/>
      <c r="F129" s="200"/>
      <c r="G129" s="32"/>
      <c r="H129" s="32"/>
      <c r="I129" s="50" t="str">
        <f t="shared" si="1"/>
        <v/>
      </c>
      <c r="M129" s="68"/>
      <c r="N129" s="199"/>
      <c r="O129" s="200"/>
      <c r="P129" s="32"/>
      <c r="Q129" s="32"/>
    </row>
    <row r="130" spans="1:17">
      <c r="A130" s="274" t="str">
        <f>IF(B130="","",DATE(IF(INT(B130)&gt;=4,予算!$L$1,予算!$L$2),INT(B130),ROUND(MOD(B130,1)*100,0)))</f>
        <v/>
      </c>
      <c r="B130" s="68"/>
      <c r="C130" s="43"/>
      <c r="D130" s="11" t="str">
        <f>IF(C130="","",VLOOKUP(C130,予算!$B$7:$C$66,2))</f>
        <v/>
      </c>
      <c r="E130" s="199"/>
      <c r="F130" s="200"/>
      <c r="G130" s="32"/>
      <c r="H130" s="32"/>
      <c r="I130" s="50" t="str">
        <f t="shared" si="1"/>
        <v/>
      </c>
      <c r="M130" s="68"/>
      <c r="N130" s="199"/>
      <c r="O130" s="200"/>
      <c r="P130" s="32"/>
      <c r="Q130" s="32"/>
    </row>
    <row r="131" spans="1:17">
      <c r="A131" s="274" t="str">
        <f>IF(B131="","",DATE(IF(INT(B131)&gt;=4,予算!$L$1,予算!$L$2),INT(B131),ROUND(MOD(B131,1)*100,0)))</f>
        <v/>
      </c>
      <c r="B131" s="68"/>
      <c r="C131" s="43"/>
      <c r="D131" s="11" t="str">
        <f>IF(C131="","",VLOOKUP(C131,予算!$B$7:$C$66,2))</f>
        <v/>
      </c>
      <c r="E131" s="199"/>
      <c r="F131" s="200"/>
      <c r="G131" s="32"/>
      <c r="H131" s="32"/>
      <c r="I131" s="50" t="str">
        <f t="shared" si="1"/>
        <v/>
      </c>
      <c r="M131" s="68"/>
      <c r="N131" s="43"/>
      <c r="O131" s="200"/>
      <c r="P131" s="32"/>
      <c r="Q131" s="32"/>
    </row>
    <row r="132" spans="1:17">
      <c r="A132" s="274" t="str">
        <f>IF(B132="","",DATE(IF(INT(B132)&gt;=4,予算!$L$1,予算!$L$2),INT(B132),ROUND(MOD(B132,1)*100,0)))</f>
        <v/>
      </c>
      <c r="B132" s="68"/>
      <c r="C132" s="43"/>
      <c r="D132" s="11" t="str">
        <f>IF(C132="","",VLOOKUP(C132,予算!$B$7:$C$66,2))</f>
        <v/>
      </c>
      <c r="E132" s="199"/>
      <c r="F132" s="200"/>
      <c r="G132" s="32"/>
      <c r="H132" s="32"/>
      <c r="I132" s="50" t="str">
        <f t="shared" si="1"/>
        <v/>
      </c>
      <c r="M132" s="68"/>
      <c r="N132" s="43"/>
      <c r="O132" s="200"/>
      <c r="P132" s="32"/>
      <c r="Q132" s="32"/>
    </row>
    <row r="133" spans="1:17">
      <c r="A133" s="274" t="str">
        <f>IF(B133="","",DATE(IF(INT(B133)&gt;=4,予算!$L$1,予算!$L$2),INT(B133),ROUND(MOD(B133,1)*100,0)))</f>
        <v/>
      </c>
      <c r="B133" s="68"/>
      <c r="C133" s="43"/>
      <c r="D133" s="11" t="str">
        <f>IF(C133="","",VLOOKUP(C133,予算!$B$7:$C$66,2))</f>
        <v/>
      </c>
      <c r="E133" s="199"/>
      <c r="F133" s="200"/>
      <c r="G133" s="32"/>
      <c r="H133" s="32"/>
      <c r="I133" s="50" t="str">
        <f t="shared" si="1"/>
        <v/>
      </c>
      <c r="M133" s="68"/>
      <c r="N133" s="43"/>
      <c r="O133" s="200"/>
      <c r="P133" s="32"/>
      <c r="Q133" s="32"/>
    </row>
    <row r="134" spans="1:17">
      <c r="A134" s="274" t="str">
        <f>IF(B134="","",DATE(IF(INT(B134)&gt;=4,予算!$L$1,予算!$L$2),INT(B134),ROUND(MOD(B134,1)*100,0)))</f>
        <v/>
      </c>
      <c r="B134" s="68"/>
      <c r="C134" s="43"/>
      <c r="D134" s="11" t="str">
        <f>IF(C134="","",VLOOKUP(C134,予算!$B$7:$C$66,2))</f>
        <v/>
      </c>
      <c r="E134" s="199"/>
      <c r="F134" s="200"/>
      <c r="G134" s="32"/>
      <c r="H134" s="32"/>
      <c r="I134" s="50" t="str">
        <f t="shared" si="1"/>
        <v/>
      </c>
      <c r="M134" s="68"/>
      <c r="N134" s="43"/>
      <c r="O134" s="200"/>
      <c r="P134" s="32"/>
      <c r="Q134" s="32"/>
    </row>
    <row r="135" spans="1:17">
      <c r="A135" s="274" t="str">
        <f>IF(B135="","",DATE(IF(INT(B135)&gt;=4,予算!$L$1,予算!$L$2),INT(B135),ROUND(MOD(B135,1)*100,0)))</f>
        <v/>
      </c>
      <c r="B135" s="68"/>
      <c r="C135" s="43"/>
      <c r="D135" s="11" t="str">
        <f>IF(C135="","",VLOOKUP(C135,予算!$B$7:$C$66,2))</f>
        <v/>
      </c>
      <c r="E135" s="199"/>
      <c r="F135" s="200"/>
      <c r="G135" s="32"/>
      <c r="H135" s="32"/>
      <c r="I135" s="50" t="str">
        <f t="shared" si="1"/>
        <v/>
      </c>
      <c r="M135" s="68"/>
      <c r="N135" s="43"/>
      <c r="O135" s="200"/>
      <c r="P135" s="32"/>
      <c r="Q135" s="32"/>
    </row>
    <row r="136" spans="1:17">
      <c r="A136" s="274" t="str">
        <f>IF(B136="","",DATE(IF(INT(B136)&gt;=4,予算!$L$1,予算!$L$2),INT(B136),ROUND(MOD(B136,1)*100,0)))</f>
        <v/>
      </c>
      <c r="B136" s="68"/>
      <c r="C136" s="43"/>
      <c r="D136" s="11" t="str">
        <f>IF(C136="","",VLOOKUP(C136,予算!$B$7:$C$66,2))</f>
        <v/>
      </c>
      <c r="E136" s="199"/>
      <c r="F136" s="200"/>
      <c r="G136" s="32"/>
      <c r="H136" s="32"/>
      <c r="I136" s="50" t="str">
        <f t="shared" si="1"/>
        <v/>
      </c>
      <c r="M136" s="68"/>
      <c r="N136" s="43"/>
      <c r="O136" s="200"/>
      <c r="P136" s="32"/>
      <c r="Q136" s="32"/>
    </row>
    <row r="137" spans="1:17">
      <c r="A137" s="274" t="str">
        <f>IF(B137="","",DATE(IF(INT(B137)&gt;=4,予算!$L$1,予算!$L$2),INT(B137),ROUND(MOD(B137,1)*100,0)))</f>
        <v/>
      </c>
      <c r="B137" s="68"/>
      <c r="C137" s="43"/>
      <c r="D137" s="11" t="str">
        <f>IF(C137="","",VLOOKUP(C137,予算!$B$7:$C$66,2))</f>
        <v/>
      </c>
      <c r="E137" s="199"/>
      <c r="F137" s="200"/>
      <c r="G137" s="32"/>
      <c r="H137" s="32"/>
      <c r="I137" s="50" t="str">
        <f t="shared" ref="I137:I200" si="2">IF(C137="","",I136+G137-H137)</f>
        <v/>
      </c>
      <c r="M137" s="68"/>
      <c r="N137" s="43"/>
      <c r="O137" s="200"/>
      <c r="P137" s="32"/>
      <c r="Q137" s="32"/>
    </row>
    <row r="138" spans="1:17">
      <c r="A138" s="274" t="str">
        <f>IF(B138="","",DATE(IF(INT(B138)&gt;=4,予算!$L$1,予算!$L$2),INT(B138),ROUND(MOD(B138,1)*100,0)))</f>
        <v/>
      </c>
      <c r="B138" s="68"/>
      <c r="C138" s="43"/>
      <c r="D138" s="11" t="str">
        <f>IF(C138="","",VLOOKUP(C138,予算!$B$7:$C$66,2))</f>
        <v/>
      </c>
      <c r="E138" s="199"/>
      <c r="F138" s="200"/>
      <c r="G138" s="32"/>
      <c r="H138" s="32"/>
      <c r="I138" s="50" t="str">
        <f t="shared" si="2"/>
        <v/>
      </c>
      <c r="M138" s="68"/>
      <c r="N138" s="43"/>
      <c r="O138" s="200"/>
      <c r="P138" s="32"/>
      <c r="Q138" s="32"/>
    </row>
    <row r="139" spans="1:17">
      <c r="A139" s="274" t="str">
        <f>IF(B139="","",DATE(IF(INT(B139)&gt;=4,予算!$L$1,予算!$L$2),INT(B139),ROUND(MOD(B139,1)*100,0)))</f>
        <v/>
      </c>
      <c r="B139" s="68"/>
      <c r="C139" s="43"/>
      <c r="D139" s="11" t="str">
        <f>IF(C139="","",VLOOKUP(C139,予算!$B$7:$C$66,2))</f>
        <v/>
      </c>
      <c r="E139" s="199"/>
      <c r="F139" s="200"/>
      <c r="G139" s="32"/>
      <c r="H139" s="32"/>
      <c r="I139" s="50" t="str">
        <f t="shared" si="2"/>
        <v/>
      </c>
      <c r="M139" s="68"/>
      <c r="N139" s="43"/>
      <c r="O139" s="200"/>
      <c r="P139" s="32"/>
      <c r="Q139" s="32"/>
    </row>
    <row r="140" spans="1:17">
      <c r="A140" s="274" t="str">
        <f>IF(B140="","",DATE(IF(INT(B140)&gt;=4,予算!$L$1,予算!$L$2),INT(B140),ROUND(MOD(B140,1)*100,0)))</f>
        <v/>
      </c>
      <c r="B140" s="68"/>
      <c r="C140" s="43"/>
      <c r="D140" s="11" t="str">
        <f>IF(C140="","",VLOOKUP(C140,予算!$B$7:$C$66,2))</f>
        <v/>
      </c>
      <c r="E140" s="199"/>
      <c r="F140" s="200"/>
      <c r="G140" s="32"/>
      <c r="H140" s="32"/>
      <c r="I140" s="50" t="str">
        <f t="shared" si="2"/>
        <v/>
      </c>
      <c r="M140" s="68"/>
      <c r="N140" s="43"/>
      <c r="O140" s="200"/>
      <c r="P140" s="32"/>
      <c r="Q140" s="32"/>
    </row>
    <row r="141" spans="1:17">
      <c r="A141" s="274" t="str">
        <f>IF(B141="","",DATE(IF(INT(B141)&gt;=4,予算!$L$1,予算!$L$2),INT(B141),ROUND(MOD(B141,1)*100,0)))</f>
        <v/>
      </c>
      <c r="B141" s="68"/>
      <c r="C141" s="43"/>
      <c r="D141" s="11" t="str">
        <f>IF(C141="","",VLOOKUP(C141,予算!$B$7:$C$66,2))</f>
        <v/>
      </c>
      <c r="E141" s="199"/>
      <c r="F141" s="200"/>
      <c r="G141" s="32"/>
      <c r="H141" s="32"/>
      <c r="I141" s="50" t="str">
        <f t="shared" si="2"/>
        <v/>
      </c>
      <c r="M141" s="68"/>
      <c r="N141" s="43"/>
      <c r="O141" s="200"/>
      <c r="P141" s="32"/>
      <c r="Q141" s="32"/>
    </row>
    <row r="142" spans="1:17">
      <c r="A142" s="274" t="str">
        <f>IF(B142="","",DATE(IF(INT(B142)&gt;=4,予算!$L$1,予算!$L$2),INT(B142),ROUND(MOD(B142,1)*100,0)))</f>
        <v/>
      </c>
      <c r="B142" s="68"/>
      <c r="C142" s="43"/>
      <c r="D142" s="11" t="str">
        <f>IF(C142="","",VLOOKUP(C142,予算!$B$7:$C$66,2))</f>
        <v/>
      </c>
      <c r="E142" s="199"/>
      <c r="F142" s="200"/>
      <c r="G142" s="32"/>
      <c r="H142" s="32"/>
      <c r="I142" s="50" t="str">
        <f t="shared" si="2"/>
        <v/>
      </c>
      <c r="M142" s="68"/>
      <c r="N142" s="43"/>
      <c r="O142" s="200"/>
      <c r="P142" s="32"/>
      <c r="Q142" s="32"/>
    </row>
    <row r="143" spans="1:17">
      <c r="A143" s="274" t="str">
        <f>IF(B143="","",DATE(IF(INT(B143)&gt;=4,予算!$L$1,予算!$L$2),INT(B143),ROUND(MOD(B143,1)*100,0)))</f>
        <v/>
      </c>
      <c r="B143" s="68"/>
      <c r="C143" s="43"/>
      <c r="D143" s="11" t="str">
        <f>IF(C143="","",VLOOKUP(C143,予算!$B$7:$C$66,2))</f>
        <v/>
      </c>
      <c r="E143" s="199"/>
      <c r="F143" s="200"/>
      <c r="G143" s="32"/>
      <c r="H143" s="32"/>
      <c r="I143" s="50" t="str">
        <f t="shared" si="2"/>
        <v/>
      </c>
      <c r="M143" s="68"/>
      <c r="N143" s="43"/>
      <c r="O143" s="200"/>
      <c r="P143" s="32"/>
      <c r="Q143" s="32"/>
    </row>
    <row r="144" spans="1:17">
      <c r="A144" s="274" t="str">
        <f>IF(B144="","",DATE(IF(INT(B144)&gt;=4,予算!$L$1,予算!$L$2),INT(B144),ROUND(MOD(B144,1)*100,0)))</f>
        <v/>
      </c>
      <c r="B144" s="68"/>
      <c r="C144" s="43"/>
      <c r="D144" s="11" t="str">
        <f>IF(C144="","",VLOOKUP(C144,予算!$B$7:$C$66,2))</f>
        <v/>
      </c>
      <c r="E144" s="199"/>
      <c r="F144" s="200"/>
      <c r="G144" s="32"/>
      <c r="H144" s="32"/>
      <c r="I144" s="50" t="str">
        <f t="shared" si="2"/>
        <v/>
      </c>
      <c r="M144" s="68"/>
      <c r="N144" s="43"/>
      <c r="O144" s="200"/>
      <c r="P144" s="32"/>
      <c r="Q144" s="32"/>
    </row>
    <row r="145" spans="1:17">
      <c r="A145" s="274" t="str">
        <f>IF(B145="","",DATE(IF(INT(B145)&gt;=4,予算!$L$1,予算!$L$2),INT(B145),ROUND(MOD(B145,1)*100,0)))</f>
        <v/>
      </c>
      <c r="B145" s="68"/>
      <c r="C145" s="43"/>
      <c r="D145" s="11" t="str">
        <f>IF(C145="","",VLOOKUP(C145,予算!$B$7:$C$66,2))</f>
        <v/>
      </c>
      <c r="E145" s="199"/>
      <c r="F145" s="200"/>
      <c r="G145" s="32"/>
      <c r="H145" s="32"/>
      <c r="I145" s="50" t="str">
        <f t="shared" si="2"/>
        <v/>
      </c>
      <c r="M145" s="68"/>
      <c r="N145" s="43"/>
      <c r="O145" s="200"/>
      <c r="P145" s="32"/>
      <c r="Q145" s="32"/>
    </row>
    <row r="146" spans="1:17">
      <c r="A146" s="274" t="str">
        <f>IF(B146="","",DATE(IF(INT(B146)&gt;=4,予算!$L$1,予算!$L$2),INT(B146),ROUND(MOD(B146,1)*100,0)))</f>
        <v/>
      </c>
      <c r="B146" s="68"/>
      <c r="C146" s="43"/>
      <c r="D146" s="11" t="str">
        <f>IF(C146="","",VLOOKUP(C146,予算!$B$7:$C$66,2))</f>
        <v/>
      </c>
      <c r="E146" s="199"/>
      <c r="F146" s="207"/>
      <c r="G146" s="32"/>
      <c r="H146" s="32"/>
      <c r="I146" s="50" t="str">
        <f t="shared" si="2"/>
        <v/>
      </c>
      <c r="M146" s="68"/>
      <c r="N146" s="43"/>
      <c r="O146" s="200"/>
      <c r="P146" s="32"/>
      <c r="Q146" s="32"/>
    </row>
    <row r="147" spans="1:17">
      <c r="A147" s="274" t="str">
        <f>IF(B147="","",DATE(IF(INT(B147)&gt;=4,予算!$L$1,予算!$L$2),INT(B147),ROUND(MOD(B147,1)*100,0)))</f>
        <v/>
      </c>
      <c r="B147" s="68"/>
      <c r="C147" s="43"/>
      <c r="D147" s="11" t="str">
        <f>IF(C147="","",VLOOKUP(C147,予算!$B$7:$C$66,2))</f>
        <v/>
      </c>
      <c r="E147" s="199"/>
      <c r="F147" s="200"/>
      <c r="G147" s="32"/>
      <c r="H147" s="32"/>
      <c r="I147" s="50" t="str">
        <f t="shared" si="2"/>
        <v/>
      </c>
      <c r="M147" s="68"/>
      <c r="N147" s="43"/>
      <c r="O147" s="200"/>
      <c r="P147" s="32"/>
      <c r="Q147" s="32"/>
    </row>
    <row r="148" spans="1:17">
      <c r="A148" s="274" t="str">
        <f>IF(B148="","",DATE(IF(INT(B148)&gt;=4,予算!$L$1,予算!$L$2),INT(B148),ROUND(MOD(B148,1)*100,0)))</f>
        <v/>
      </c>
      <c r="B148" s="68"/>
      <c r="C148" s="43"/>
      <c r="D148" s="11" t="str">
        <f>IF(C148="","",VLOOKUP(C148,予算!$B$7:$C$66,2))</f>
        <v/>
      </c>
      <c r="E148" s="199"/>
      <c r="F148" s="200"/>
      <c r="G148" s="32"/>
      <c r="H148" s="32"/>
      <c r="I148" s="50" t="str">
        <f t="shared" si="2"/>
        <v/>
      </c>
      <c r="M148" s="68"/>
      <c r="N148" s="43"/>
      <c r="O148" s="200"/>
      <c r="P148" s="32"/>
      <c r="Q148" s="32"/>
    </row>
    <row r="149" spans="1:17">
      <c r="A149" s="274" t="str">
        <f>IF(B149="","",DATE(IF(INT(B149)&gt;=4,予算!$L$1,予算!$L$2),INT(B149),ROUND(MOD(B149,1)*100,0)))</f>
        <v/>
      </c>
      <c r="B149" s="68"/>
      <c r="C149" s="43"/>
      <c r="D149" s="11" t="str">
        <f>IF(C149="","",VLOOKUP(C149,予算!$B$7:$C$66,2))</f>
        <v/>
      </c>
      <c r="E149" s="199"/>
      <c r="F149" s="200"/>
      <c r="G149" s="32"/>
      <c r="H149" s="32"/>
      <c r="I149" s="50" t="str">
        <f t="shared" si="2"/>
        <v/>
      </c>
      <c r="M149" s="68"/>
      <c r="N149" s="43"/>
      <c r="O149" s="200"/>
      <c r="P149" s="32"/>
      <c r="Q149" s="32"/>
    </row>
    <row r="150" spans="1:17">
      <c r="A150" s="274" t="str">
        <f>IF(B150="","",DATE(IF(INT(B150)&gt;=4,予算!$L$1,予算!$L$2),INT(B150),ROUND(MOD(B150,1)*100,0)))</f>
        <v/>
      </c>
      <c r="B150" s="68"/>
      <c r="C150" s="43"/>
      <c r="D150" s="11" t="str">
        <f>IF(C150="","",VLOOKUP(C150,予算!$B$7:$C$66,2))</f>
        <v/>
      </c>
      <c r="E150" s="199"/>
      <c r="F150" s="200"/>
      <c r="G150" s="32"/>
      <c r="H150" s="32"/>
      <c r="I150" s="50" t="str">
        <f t="shared" si="2"/>
        <v/>
      </c>
      <c r="M150" s="68"/>
      <c r="N150" s="43"/>
      <c r="O150" s="200"/>
      <c r="P150" s="32"/>
      <c r="Q150" s="32"/>
    </row>
    <row r="151" spans="1:17">
      <c r="A151" s="274" t="str">
        <f>IF(B151="","",DATE(IF(INT(B151)&gt;=4,予算!$L$1,予算!$L$2),INT(B151),ROUND(MOD(B151,1)*100,0)))</f>
        <v/>
      </c>
      <c r="B151" s="68"/>
      <c r="C151" s="43"/>
      <c r="D151" s="11" t="str">
        <f>IF(C151="","",VLOOKUP(C151,予算!$B$7:$C$66,2))</f>
        <v/>
      </c>
      <c r="E151" s="199"/>
      <c r="F151" s="200"/>
      <c r="G151" s="32"/>
      <c r="H151" s="32"/>
      <c r="I151" s="50" t="str">
        <f t="shared" si="2"/>
        <v/>
      </c>
      <c r="M151" s="100"/>
      <c r="N151" s="78"/>
      <c r="O151" s="79"/>
      <c r="P151" s="80"/>
      <c r="Q151" s="80"/>
    </row>
    <row r="152" spans="1:17">
      <c r="A152" s="274" t="str">
        <f>IF(B152="","",DATE(IF(INT(B152)&gt;=4,予算!$L$1,予算!$L$2),INT(B152),ROUND(MOD(B152,1)*100,0)))</f>
        <v/>
      </c>
      <c r="B152" s="68"/>
      <c r="C152" s="43"/>
      <c r="D152" s="11" t="str">
        <f>IF(C152="","",VLOOKUP(C152,予算!$B$7:$C$66,2))</f>
        <v/>
      </c>
      <c r="E152" s="199"/>
      <c r="F152" s="200"/>
      <c r="G152" s="32"/>
      <c r="H152" s="32"/>
      <c r="I152" s="50" t="str">
        <f t="shared" si="2"/>
        <v/>
      </c>
      <c r="M152" s="100"/>
      <c r="N152" s="78"/>
      <c r="O152" s="79"/>
      <c r="P152" s="80"/>
      <c r="Q152" s="80"/>
    </row>
    <row r="153" spans="1:17">
      <c r="A153" s="274" t="str">
        <f>IF(B153="","",DATE(IF(INT(B153)&gt;=4,予算!$L$1,予算!$L$2),INT(B153),ROUND(MOD(B153,1)*100,0)))</f>
        <v/>
      </c>
      <c r="B153" s="68"/>
      <c r="C153" s="43"/>
      <c r="D153" s="11" t="str">
        <f>IF(C153="","",VLOOKUP(C153,予算!$B$7:$C$66,2))</f>
        <v/>
      </c>
      <c r="E153" s="199"/>
      <c r="F153" s="200"/>
      <c r="G153" s="32"/>
      <c r="H153" s="32"/>
      <c r="I153" s="50" t="str">
        <f t="shared" si="2"/>
        <v/>
      </c>
      <c r="M153" s="100"/>
      <c r="N153" s="78"/>
      <c r="O153" s="79"/>
      <c r="P153" s="80"/>
      <c r="Q153" s="80"/>
    </row>
    <row r="154" spans="1:17">
      <c r="A154" s="274" t="str">
        <f>IF(B154="","",DATE(IF(INT(B154)&gt;=4,予算!$L$1,予算!$L$2),INT(B154),ROUND(MOD(B154,1)*100,0)))</f>
        <v/>
      </c>
      <c r="B154" s="68"/>
      <c r="C154" s="43"/>
      <c r="D154" s="11" t="str">
        <f>IF(C154="","",VLOOKUP(C154,予算!$B$7:$C$66,2))</f>
        <v/>
      </c>
      <c r="E154" s="199"/>
      <c r="F154" s="200"/>
      <c r="G154" s="32"/>
      <c r="H154" s="32"/>
      <c r="I154" s="50" t="str">
        <f t="shared" si="2"/>
        <v/>
      </c>
      <c r="M154" s="100"/>
      <c r="N154" s="78"/>
      <c r="O154" s="79"/>
      <c r="P154" s="80"/>
      <c r="Q154" s="80"/>
    </row>
    <row r="155" spans="1:17">
      <c r="A155" s="274" t="str">
        <f>IF(B155="","",DATE(IF(INT(B155)&gt;=4,予算!$L$1,予算!$L$2),INT(B155),ROUND(MOD(B155,1)*100,0)))</f>
        <v/>
      </c>
      <c r="B155" s="68"/>
      <c r="C155" s="43"/>
      <c r="D155" s="11" t="str">
        <f>IF(C155="","",VLOOKUP(C155,予算!$B$7:$C$66,2))</f>
        <v/>
      </c>
      <c r="E155" s="199"/>
      <c r="F155" s="200"/>
      <c r="G155" s="32"/>
      <c r="H155" s="32"/>
      <c r="I155" s="50" t="str">
        <f t="shared" si="2"/>
        <v/>
      </c>
      <c r="M155" s="100"/>
      <c r="N155" s="78"/>
      <c r="O155" s="79"/>
      <c r="P155" s="80"/>
      <c r="Q155" s="80"/>
    </row>
    <row r="156" spans="1:17">
      <c r="A156" s="274" t="str">
        <f>IF(B156="","",DATE(IF(INT(B156)&gt;=4,予算!$L$1,予算!$L$2),INT(B156),ROUND(MOD(B156,1)*100,0)))</f>
        <v/>
      </c>
      <c r="B156" s="68"/>
      <c r="C156" s="43"/>
      <c r="D156" s="11" t="str">
        <f>IF(C156="","",VLOOKUP(C156,予算!$B$7:$C$66,2))</f>
        <v/>
      </c>
      <c r="E156" s="199"/>
      <c r="F156" s="200"/>
      <c r="G156" s="32"/>
      <c r="H156" s="32"/>
      <c r="I156" s="50" t="str">
        <f t="shared" si="2"/>
        <v/>
      </c>
      <c r="M156" s="100"/>
      <c r="N156" s="78"/>
      <c r="O156" s="79"/>
      <c r="P156" s="80"/>
      <c r="Q156" s="80"/>
    </row>
    <row r="157" spans="1:17">
      <c r="A157" s="274" t="str">
        <f>IF(B157="","",DATE(IF(INT(B157)&gt;=4,予算!$L$1,予算!$L$2),INT(B157),ROUND(MOD(B157,1)*100,0)))</f>
        <v/>
      </c>
      <c r="B157" s="68"/>
      <c r="C157" s="43"/>
      <c r="D157" s="11" t="str">
        <f>IF(C157="","",VLOOKUP(C157,予算!$B$7:$C$66,2))</f>
        <v/>
      </c>
      <c r="E157" s="199"/>
      <c r="F157" s="200"/>
      <c r="G157" s="32"/>
      <c r="H157" s="32"/>
      <c r="I157" s="50" t="str">
        <f t="shared" si="2"/>
        <v/>
      </c>
      <c r="M157" s="100"/>
      <c r="N157" s="78"/>
      <c r="O157" s="79"/>
      <c r="P157" s="80"/>
      <c r="Q157" s="80"/>
    </row>
    <row r="158" spans="1:17">
      <c r="A158" s="274" t="str">
        <f>IF(B158="","",DATE(IF(INT(B158)&gt;=4,予算!$L$1,予算!$L$2),INT(B158),ROUND(MOD(B158,1)*100,0)))</f>
        <v/>
      </c>
      <c r="B158" s="68"/>
      <c r="C158" s="43"/>
      <c r="D158" s="11" t="str">
        <f>IF(C158="","",VLOOKUP(C158,予算!$B$7:$C$66,2))</f>
        <v/>
      </c>
      <c r="E158" s="199"/>
      <c r="F158" s="200"/>
      <c r="G158" s="32"/>
      <c r="H158" s="32"/>
      <c r="I158" s="50" t="str">
        <f t="shared" si="2"/>
        <v/>
      </c>
      <c r="M158" s="100"/>
      <c r="N158" s="78"/>
      <c r="O158" s="79"/>
      <c r="P158" s="80"/>
      <c r="Q158" s="80"/>
    </row>
    <row r="159" spans="1:17">
      <c r="A159" s="274" t="str">
        <f>IF(B159="","",DATE(IF(INT(B159)&gt;=4,予算!$L$1,予算!$L$2),INT(B159),ROUND(MOD(B159,1)*100,0)))</f>
        <v/>
      </c>
      <c r="B159" s="68"/>
      <c r="C159" s="43"/>
      <c r="D159" s="11" t="str">
        <f>IF(C159="","",VLOOKUP(C159,予算!$B$7:$C$66,2))</f>
        <v/>
      </c>
      <c r="E159" s="199"/>
      <c r="F159" s="200"/>
      <c r="G159" s="32"/>
      <c r="H159" s="32"/>
      <c r="I159" s="50" t="str">
        <f t="shared" si="2"/>
        <v/>
      </c>
      <c r="M159" s="100"/>
      <c r="N159" s="78"/>
      <c r="O159" s="79"/>
      <c r="P159" s="80"/>
      <c r="Q159" s="80"/>
    </row>
    <row r="160" spans="1:17">
      <c r="A160" s="274" t="str">
        <f>IF(B160="","",DATE(IF(INT(B160)&gt;=4,予算!$L$1,予算!$L$2),INT(B160),ROUND(MOD(B160,1)*100,0)))</f>
        <v/>
      </c>
      <c r="B160" s="68"/>
      <c r="C160" s="43"/>
      <c r="D160" s="11" t="str">
        <f>IF(C160="","",VLOOKUP(C160,予算!$B$7:$C$66,2))</f>
        <v/>
      </c>
      <c r="E160" s="199"/>
      <c r="F160" s="200"/>
      <c r="G160" s="32"/>
      <c r="H160" s="32"/>
      <c r="I160" s="50" t="str">
        <f t="shared" si="2"/>
        <v/>
      </c>
      <c r="M160" s="100"/>
      <c r="N160" s="78"/>
      <c r="O160" s="79"/>
      <c r="P160" s="80"/>
      <c r="Q160" s="80"/>
    </row>
    <row r="161" spans="1:17">
      <c r="A161" s="274" t="str">
        <f>IF(B161="","",DATE(IF(INT(B161)&gt;=4,予算!$L$1,予算!$L$2),INT(B161),ROUND(MOD(B161,1)*100,0)))</f>
        <v/>
      </c>
      <c r="B161" s="68"/>
      <c r="C161" s="43"/>
      <c r="D161" s="11" t="str">
        <f>IF(C161="","",VLOOKUP(C161,予算!$B$7:$C$66,2))</f>
        <v/>
      </c>
      <c r="E161" s="199"/>
      <c r="F161" s="200"/>
      <c r="G161" s="32"/>
      <c r="H161" s="32"/>
      <c r="I161" s="50" t="str">
        <f t="shared" si="2"/>
        <v/>
      </c>
      <c r="M161" s="100"/>
      <c r="N161" s="78"/>
      <c r="O161" s="79"/>
      <c r="P161" s="80"/>
      <c r="Q161" s="80"/>
    </row>
    <row r="162" spans="1:17">
      <c r="A162" s="274" t="str">
        <f>IF(B162="","",DATE(IF(INT(B162)&gt;=4,予算!$L$1,予算!$L$2),INT(B162),ROUND(MOD(B162,1)*100,0)))</f>
        <v/>
      </c>
      <c r="B162" s="68"/>
      <c r="C162" s="43"/>
      <c r="D162" s="11" t="str">
        <f>IF(C162="","",VLOOKUP(C162,予算!$B$7:$C$66,2))</f>
        <v/>
      </c>
      <c r="E162" s="199"/>
      <c r="F162" s="200"/>
      <c r="G162" s="32"/>
      <c r="H162" s="32"/>
      <c r="I162" s="50" t="str">
        <f t="shared" si="2"/>
        <v/>
      </c>
      <c r="M162" s="100"/>
      <c r="N162" s="78"/>
      <c r="O162" s="79"/>
      <c r="P162" s="80"/>
      <c r="Q162" s="80"/>
    </row>
    <row r="163" spans="1:17">
      <c r="A163" s="274" t="str">
        <f>IF(B163="","",DATE(IF(INT(B163)&gt;=4,予算!$L$1,予算!$L$2),INT(B163),ROUND(MOD(B163,1)*100,0)))</f>
        <v/>
      </c>
      <c r="B163" s="68"/>
      <c r="C163" s="43"/>
      <c r="D163" s="11" t="str">
        <f>IF(C163="","",VLOOKUP(C163,予算!$B$7:$C$66,2))</f>
        <v/>
      </c>
      <c r="E163" s="199"/>
      <c r="F163" s="200"/>
      <c r="G163" s="32"/>
      <c r="H163" s="32"/>
      <c r="I163" s="50" t="str">
        <f t="shared" si="2"/>
        <v/>
      </c>
      <c r="M163" s="100"/>
      <c r="N163" s="78"/>
      <c r="O163" s="79"/>
      <c r="P163" s="80"/>
      <c r="Q163" s="80"/>
    </row>
    <row r="164" spans="1:17">
      <c r="A164" s="274" t="str">
        <f>IF(B164="","",DATE(IF(INT(B164)&gt;=4,予算!$L$1,予算!$L$2),INT(B164),ROUND(MOD(B164,1)*100,0)))</f>
        <v/>
      </c>
      <c r="B164" s="68"/>
      <c r="C164" s="43"/>
      <c r="D164" s="11" t="str">
        <f>IF(C164="","",VLOOKUP(C164,予算!$B$7:$C$66,2))</f>
        <v/>
      </c>
      <c r="E164" s="199"/>
      <c r="F164" s="200"/>
      <c r="G164" s="32"/>
      <c r="H164" s="32"/>
      <c r="I164" s="50" t="str">
        <f t="shared" si="2"/>
        <v/>
      </c>
      <c r="M164" s="100"/>
      <c r="N164" s="78"/>
      <c r="O164" s="79"/>
      <c r="P164" s="80"/>
      <c r="Q164" s="80"/>
    </row>
    <row r="165" spans="1:17">
      <c r="A165" s="274" t="str">
        <f>IF(B165="","",DATE(IF(INT(B165)&gt;=4,予算!$L$1,予算!$L$2),INT(B165),ROUND(MOD(B165,1)*100,0)))</f>
        <v/>
      </c>
      <c r="B165" s="68"/>
      <c r="C165" s="43"/>
      <c r="D165" s="11" t="str">
        <f>IF(C165="","",VLOOKUP(C165,予算!$B$7:$C$66,2))</f>
        <v/>
      </c>
      <c r="E165" s="199"/>
      <c r="F165" s="200"/>
      <c r="G165" s="32"/>
      <c r="H165" s="32"/>
      <c r="I165" s="50" t="str">
        <f t="shared" si="2"/>
        <v/>
      </c>
      <c r="M165" s="100"/>
      <c r="N165" s="78"/>
      <c r="O165" s="79"/>
      <c r="P165" s="80"/>
      <c r="Q165" s="80"/>
    </row>
    <row r="166" spans="1:17">
      <c r="A166" s="274" t="str">
        <f>IF(B166="","",DATE(IF(INT(B166)&gt;=4,予算!$L$1,予算!$L$2),INT(B166),ROUND(MOD(B166,1)*100,0)))</f>
        <v/>
      </c>
      <c r="B166" s="68"/>
      <c r="C166" s="43"/>
      <c r="D166" s="11" t="str">
        <f>IF(C166="","",VLOOKUP(C166,予算!$B$7:$C$66,2))</f>
        <v/>
      </c>
      <c r="E166" s="199"/>
      <c r="F166" s="200"/>
      <c r="G166" s="32"/>
      <c r="H166" s="32"/>
      <c r="I166" s="50" t="str">
        <f t="shared" si="2"/>
        <v/>
      </c>
      <c r="M166" s="100"/>
      <c r="N166" s="78"/>
      <c r="O166" s="79"/>
      <c r="P166" s="80"/>
      <c r="Q166" s="80"/>
    </row>
    <row r="167" spans="1:17">
      <c r="A167" s="274" t="str">
        <f>IF(B167="","",DATE(IF(INT(B167)&gt;=4,予算!$L$1,予算!$L$2),INT(B167),ROUND(MOD(B167,1)*100,0)))</f>
        <v/>
      </c>
      <c r="B167" s="68"/>
      <c r="C167" s="43"/>
      <c r="D167" s="11" t="str">
        <f>IF(C167="","",VLOOKUP(C167,予算!$B$7:$C$66,2))</f>
        <v/>
      </c>
      <c r="E167" s="199"/>
      <c r="F167" s="200"/>
      <c r="G167" s="32"/>
      <c r="H167" s="32"/>
      <c r="I167" s="50" t="str">
        <f t="shared" si="2"/>
        <v/>
      </c>
      <c r="M167" s="100"/>
      <c r="N167" s="78"/>
      <c r="O167" s="79"/>
      <c r="P167" s="80"/>
      <c r="Q167" s="80"/>
    </row>
    <row r="168" spans="1:17">
      <c r="A168" s="274" t="str">
        <f>IF(B168="","",DATE(IF(INT(B168)&gt;=4,予算!$L$1,予算!$L$2),INT(B168),ROUND(MOD(B168,1)*100,0)))</f>
        <v/>
      </c>
      <c r="B168" s="68"/>
      <c r="C168" s="43"/>
      <c r="D168" s="11" t="str">
        <f>IF(C168="","",VLOOKUP(C168,予算!$B$7:$C$66,2))</f>
        <v/>
      </c>
      <c r="E168" s="199"/>
      <c r="F168" s="200"/>
      <c r="G168" s="32"/>
      <c r="H168" s="32"/>
      <c r="I168" s="50" t="str">
        <f t="shared" si="2"/>
        <v/>
      </c>
      <c r="M168" s="100"/>
      <c r="N168" s="78"/>
      <c r="O168" s="79"/>
      <c r="P168" s="80"/>
      <c r="Q168" s="80"/>
    </row>
    <row r="169" spans="1:17">
      <c r="A169" s="274" t="str">
        <f>IF(B169="","",DATE(IF(INT(B169)&gt;=4,予算!$L$1,予算!$L$2),INT(B169),ROUND(MOD(B169,1)*100,0)))</f>
        <v/>
      </c>
      <c r="B169" s="68"/>
      <c r="C169" s="43"/>
      <c r="D169" s="11" t="str">
        <f>IF(C169="","",VLOOKUP(C169,予算!$B$7:$C$66,2))</f>
        <v/>
      </c>
      <c r="E169" s="199"/>
      <c r="F169" s="200"/>
      <c r="G169" s="32"/>
      <c r="H169" s="32"/>
      <c r="I169" s="50" t="str">
        <f t="shared" si="2"/>
        <v/>
      </c>
      <c r="M169" s="100"/>
      <c r="N169" s="78"/>
      <c r="O169" s="79"/>
      <c r="P169" s="80"/>
      <c r="Q169" s="80"/>
    </row>
    <row r="170" spans="1:17">
      <c r="A170" s="274" t="str">
        <f>IF(B170="","",DATE(IF(INT(B170)&gt;=4,予算!$L$1,予算!$L$2),INT(B170),ROUND(MOD(B170,1)*100,0)))</f>
        <v/>
      </c>
      <c r="B170" s="68"/>
      <c r="C170" s="43"/>
      <c r="D170" s="11" t="str">
        <f>IF(C170="","",VLOOKUP(C170,予算!$B$7:$C$66,2))</f>
        <v/>
      </c>
      <c r="E170" s="199"/>
      <c r="F170" s="200"/>
      <c r="G170" s="32"/>
      <c r="H170" s="32"/>
      <c r="I170" s="50" t="str">
        <f t="shared" si="2"/>
        <v/>
      </c>
      <c r="M170" s="100"/>
      <c r="N170" s="78"/>
      <c r="O170" s="79"/>
      <c r="P170" s="80"/>
      <c r="Q170" s="80"/>
    </row>
    <row r="171" spans="1:17">
      <c r="A171" s="274" t="str">
        <f>IF(B171="","",DATE(IF(INT(B171)&gt;=4,予算!$L$1,予算!$L$2),INT(B171),ROUND(MOD(B171,1)*100,0)))</f>
        <v/>
      </c>
      <c r="B171" s="68"/>
      <c r="C171" s="43"/>
      <c r="D171" s="11" t="str">
        <f>IF(C171="","",VLOOKUP(C171,予算!$B$7:$C$66,2))</f>
        <v/>
      </c>
      <c r="E171" s="199"/>
      <c r="F171" s="200"/>
      <c r="G171" s="32"/>
      <c r="H171" s="32"/>
      <c r="I171" s="50" t="str">
        <f t="shared" si="2"/>
        <v/>
      </c>
      <c r="M171" s="100"/>
      <c r="N171" s="78"/>
      <c r="O171" s="79"/>
      <c r="P171" s="80"/>
      <c r="Q171" s="80"/>
    </row>
    <row r="172" spans="1:17">
      <c r="A172" s="274" t="str">
        <f>IF(B172="","",DATE(IF(INT(B172)&gt;=4,予算!$L$1,予算!$L$2),INT(B172),ROUND(MOD(B172,1)*100,0)))</f>
        <v/>
      </c>
      <c r="B172" s="68"/>
      <c r="C172" s="43"/>
      <c r="D172" s="11" t="str">
        <f>IF(C172="","",VLOOKUP(C172,予算!$B$7:$C$66,2))</f>
        <v/>
      </c>
      <c r="E172" s="199"/>
      <c r="F172" s="200"/>
      <c r="G172" s="32"/>
      <c r="H172" s="32"/>
      <c r="I172" s="50" t="str">
        <f t="shared" si="2"/>
        <v/>
      </c>
      <c r="M172" s="100"/>
      <c r="N172" s="78"/>
      <c r="O172" s="79"/>
      <c r="P172" s="80"/>
      <c r="Q172" s="80"/>
    </row>
    <row r="173" spans="1:17">
      <c r="A173" s="274" t="str">
        <f>IF(B173="","",DATE(IF(INT(B173)&gt;=4,予算!$L$1,予算!$L$2),INT(B173),ROUND(MOD(B173,1)*100,0)))</f>
        <v/>
      </c>
      <c r="B173" s="68"/>
      <c r="C173" s="43"/>
      <c r="D173" s="11" t="str">
        <f>IF(C173="","",VLOOKUP(C173,予算!$B$7:$C$66,2))</f>
        <v/>
      </c>
      <c r="E173" s="199"/>
      <c r="F173" s="200"/>
      <c r="G173" s="32"/>
      <c r="H173" s="32"/>
      <c r="I173" s="50" t="str">
        <f t="shared" si="2"/>
        <v/>
      </c>
      <c r="M173" s="100"/>
      <c r="N173" s="78"/>
      <c r="O173" s="79"/>
      <c r="P173" s="80"/>
      <c r="Q173" s="80"/>
    </row>
    <row r="174" spans="1:17">
      <c r="A174" s="274" t="str">
        <f>IF(B174="","",DATE(IF(INT(B174)&gt;=4,予算!$L$1,予算!$L$2),INT(B174),ROUND(MOD(B174,1)*100,0)))</f>
        <v/>
      </c>
      <c r="B174" s="68"/>
      <c r="C174" s="43"/>
      <c r="D174" s="11" t="str">
        <f>IF(C174="","",VLOOKUP(C174,予算!$B$7:$C$66,2))</f>
        <v/>
      </c>
      <c r="E174" s="199"/>
      <c r="F174" s="200"/>
      <c r="G174" s="32"/>
      <c r="H174" s="32"/>
      <c r="I174" s="50" t="str">
        <f t="shared" si="2"/>
        <v/>
      </c>
      <c r="M174" s="100"/>
      <c r="N174" s="78"/>
      <c r="O174" s="79"/>
      <c r="P174" s="80"/>
      <c r="Q174" s="80"/>
    </row>
    <row r="175" spans="1:17">
      <c r="A175" s="274" t="str">
        <f>IF(B175="","",DATE(IF(INT(B175)&gt;=4,予算!$L$1,予算!$L$2),INT(B175),ROUND(MOD(B175,1)*100,0)))</f>
        <v/>
      </c>
      <c r="B175" s="68"/>
      <c r="C175" s="43"/>
      <c r="D175" s="11" t="str">
        <f>IF(C175="","",VLOOKUP(C175,予算!$B$7:$C$66,2))</f>
        <v/>
      </c>
      <c r="E175" s="199"/>
      <c r="F175" s="200"/>
      <c r="G175" s="32"/>
      <c r="H175" s="32"/>
      <c r="I175" s="50" t="str">
        <f t="shared" si="2"/>
        <v/>
      </c>
      <c r="M175" s="100"/>
      <c r="N175" s="78"/>
      <c r="O175" s="79"/>
      <c r="P175" s="80"/>
      <c r="Q175" s="80"/>
    </row>
    <row r="176" spans="1:17">
      <c r="A176" s="274" t="str">
        <f>IF(B176="","",DATE(IF(INT(B176)&gt;=4,予算!$L$1,予算!$L$2),INT(B176),ROUND(MOD(B176,1)*100,0)))</f>
        <v/>
      </c>
      <c r="B176" s="68"/>
      <c r="C176" s="43"/>
      <c r="D176" s="11" t="str">
        <f>IF(C176="","",VLOOKUP(C176,予算!$B$7:$C$66,2))</f>
        <v/>
      </c>
      <c r="E176" s="199"/>
      <c r="F176" s="200"/>
      <c r="G176" s="32"/>
      <c r="H176" s="32"/>
      <c r="I176" s="50" t="str">
        <f t="shared" si="2"/>
        <v/>
      </c>
      <c r="M176" s="100"/>
      <c r="N176" s="78"/>
      <c r="O176" s="79"/>
      <c r="P176" s="80"/>
      <c r="Q176" s="80"/>
    </row>
    <row r="177" spans="1:17">
      <c r="A177" s="274" t="str">
        <f>IF(B177="","",DATE(IF(INT(B177)&gt;=4,予算!$L$1,予算!$L$2),INT(B177),ROUND(MOD(B177,1)*100,0)))</f>
        <v/>
      </c>
      <c r="B177" s="68"/>
      <c r="C177" s="43"/>
      <c r="D177" s="11" t="str">
        <f>IF(C177="","",VLOOKUP(C177,予算!$B$7:$C$66,2))</f>
        <v/>
      </c>
      <c r="E177" s="199"/>
      <c r="F177" s="200"/>
      <c r="G177" s="32"/>
      <c r="H177" s="32"/>
      <c r="I177" s="50" t="str">
        <f t="shared" si="2"/>
        <v/>
      </c>
      <c r="M177" s="100"/>
      <c r="N177" s="78"/>
      <c r="O177" s="79"/>
      <c r="P177" s="80"/>
      <c r="Q177" s="80"/>
    </row>
    <row r="178" spans="1:17">
      <c r="A178" s="274" t="str">
        <f>IF(B178="","",DATE(IF(INT(B178)&gt;=4,予算!$L$1,予算!$L$2),INT(B178),ROUND(MOD(B178,1)*100,0)))</f>
        <v/>
      </c>
      <c r="B178" s="68"/>
      <c r="C178" s="43"/>
      <c r="D178" s="11" t="str">
        <f>IF(C178="","",VLOOKUP(C178,予算!$B$7:$C$66,2))</f>
        <v/>
      </c>
      <c r="E178" s="199"/>
      <c r="F178" s="200"/>
      <c r="G178" s="32"/>
      <c r="H178" s="32"/>
      <c r="I178" s="50" t="str">
        <f t="shared" si="2"/>
        <v/>
      </c>
      <c r="M178" s="100"/>
      <c r="N178" s="78"/>
      <c r="O178" s="79"/>
      <c r="P178" s="80"/>
      <c r="Q178" s="80"/>
    </row>
    <row r="179" spans="1:17">
      <c r="A179" s="274" t="str">
        <f>IF(B179="","",DATE(IF(INT(B179)&gt;=4,予算!$L$1,予算!$L$2),INT(B179),ROUND(MOD(B179,1)*100,0)))</f>
        <v/>
      </c>
      <c r="B179" s="68"/>
      <c r="C179" s="43"/>
      <c r="D179" s="11" t="str">
        <f>IF(C179="","",VLOOKUP(C179,予算!$B$7:$C$66,2))</f>
        <v/>
      </c>
      <c r="E179" s="199"/>
      <c r="F179" s="200"/>
      <c r="G179" s="32"/>
      <c r="H179" s="32"/>
      <c r="I179" s="50" t="str">
        <f t="shared" si="2"/>
        <v/>
      </c>
      <c r="M179" s="100"/>
      <c r="N179" s="78"/>
      <c r="O179" s="79"/>
      <c r="P179" s="80"/>
      <c r="Q179" s="80"/>
    </row>
    <row r="180" spans="1:17">
      <c r="A180" s="274" t="str">
        <f>IF(B180="","",DATE(IF(INT(B180)&gt;=4,予算!$L$1,予算!$L$2),INT(B180),ROUND(MOD(B180,1)*100,0)))</f>
        <v/>
      </c>
      <c r="B180" s="68"/>
      <c r="C180" s="43"/>
      <c r="D180" s="11" t="str">
        <f>IF(C180="","",VLOOKUP(C180,予算!$B$7:$C$66,2))</f>
        <v/>
      </c>
      <c r="E180" s="199"/>
      <c r="F180" s="200"/>
      <c r="G180" s="32"/>
      <c r="H180" s="32"/>
      <c r="I180" s="50" t="str">
        <f t="shared" si="2"/>
        <v/>
      </c>
      <c r="M180" s="100"/>
      <c r="N180" s="78"/>
      <c r="O180" s="79"/>
      <c r="P180" s="80"/>
      <c r="Q180" s="80"/>
    </row>
    <row r="181" spans="1:17">
      <c r="A181" s="274" t="str">
        <f>IF(B181="","",DATE(IF(INT(B181)&gt;=4,予算!$L$1,予算!$L$2),INT(B181),ROUND(MOD(B181,1)*100,0)))</f>
        <v/>
      </c>
      <c r="B181" s="68"/>
      <c r="C181" s="43"/>
      <c r="D181" s="11" t="str">
        <f>IF(C181="","",VLOOKUP(C181,予算!$B$7:$C$66,2))</f>
        <v/>
      </c>
      <c r="E181" s="199"/>
      <c r="F181" s="200"/>
      <c r="G181" s="32"/>
      <c r="H181" s="32"/>
      <c r="I181" s="50" t="str">
        <f t="shared" si="2"/>
        <v/>
      </c>
      <c r="M181" s="100"/>
      <c r="N181" s="78"/>
      <c r="O181" s="79"/>
      <c r="P181" s="80"/>
      <c r="Q181" s="80"/>
    </row>
    <row r="182" spans="1:17">
      <c r="A182" s="274" t="str">
        <f>IF(B182="","",DATE(IF(INT(B182)&gt;=4,予算!$L$1,予算!$L$2),INT(B182),ROUND(MOD(B182,1)*100,0)))</f>
        <v/>
      </c>
      <c r="B182" s="68"/>
      <c r="C182" s="43"/>
      <c r="D182" s="11" t="str">
        <f>IF(C182="","",VLOOKUP(C182,予算!$B$7:$C$66,2))</f>
        <v/>
      </c>
      <c r="E182" s="43"/>
      <c r="F182" s="200"/>
      <c r="G182" s="32"/>
      <c r="H182" s="32"/>
      <c r="I182" s="50" t="str">
        <f t="shared" si="2"/>
        <v/>
      </c>
      <c r="M182" s="100"/>
      <c r="N182" s="78"/>
      <c r="O182" s="79"/>
      <c r="P182" s="80"/>
      <c r="Q182" s="80"/>
    </row>
    <row r="183" spans="1:17">
      <c r="A183" s="274" t="str">
        <f>IF(B183="","",DATE(IF(INT(B183)&gt;=4,予算!$L$1,予算!$L$2),INT(B183),ROUND(MOD(B183,1)*100,0)))</f>
        <v/>
      </c>
      <c r="B183" s="68"/>
      <c r="C183" s="43"/>
      <c r="D183" s="11" t="str">
        <f>IF(C183="","",VLOOKUP(C183,予算!$B$7:$C$66,2))</f>
        <v/>
      </c>
      <c r="E183" s="43"/>
      <c r="F183" s="200"/>
      <c r="G183" s="32"/>
      <c r="H183" s="32"/>
      <c r="I183" s="50" t="str">
        <f t="shared" si="2"/>
        <v/>
      </c>
      <c r="M183" s="100"/>
      <c r="N183" s="78"/>
      <c r="O183" s="79"/>
      <c r="P183" s="80"/>
      <c r="Q183" s="80"/>
    </row>
    <row r="184" spans="1:17">
      <c r="A184" s="274" t="str">
        <f>IF(B184="","",DATE(IF(INT(B184)&gt;=4,予算!$L$1,予算!$L$2),INT(B184),ROUND(MOD(B184,1)*100,0)))</f>
        <v/>
      </c>
      <c r="B184" s="68"/>
      <c r="C184" s="43"/>
      <c r="D184" s="11" t="str">
        <f>IF(C184="","",VLOOKUP(C184,予算!$B$7:$C$66,2))</f>
        <v/>
      </c>
      <c r="E184" s="43"/>
      <c r="F184" s="200"/>
      <c r="G184" s="32"/>
      <c r="H184" s="32"/>
      <c r="I184" s="50" t="str">
        <f t="shared" si="2"/>
        <v/>
      </c>
      <c r="M184" s="100"/>
      <c r="N184" s="78"/>
      <c r="O184" s="79"/>
      <c r="P184" s="80"/>
      <c r="Q184" s="80"/>
    </row>
    <row r="185" spans="1:17">
      <c r="A185" s="274" t="str">
        <f>IF(B185="","",DATE(IF(INT(B185)&gt;=4,予算!$L$1,予算!$L$2),INT(B185),ROUND(MOD(B185,1)*100,0)))</f>
        <v/>
      </c>
      <c r="B185" s="68"/>
      <c r="C185" s="43"/>
      <c r="D185" s="11" t="str">
        <f>IF(C185="","",VLOOKUP(C185,予算!$B$7:$C$66,2))</f>
        <v/>
      </c>
      <c r="E185" s="199"/>
      <c r="F185" s="200"/>
      <c r="G185" s="32"/>
      <c r="H185" s="32"/>
      <c r="I185" s="50" t="str">
        <f t="shared" si="2"/>
        <v/>
      </c>
      <c r="M185" s="100"/>
      <c r="N185" s="78"/>
      <c r="O185" s="79"/>
      <c r="P185" s="80"/>
      <c r="Q185" s="80"/>
    </row>
    <row r="186" spans="1:17">
      <c r="A186" s="274" t="str">
        <f>IF(B186="","",DATE(IF(INT(B186)&gt;=4,予算!$L$1,予算!$L$2),INT(B186),ROUND(MOD(B186,1)*100,0)))</f>
        <v/>
      </c>
      <c r="B186" s="68"/>
      <c r="C186" s="43"/>
      <c r="D186" s="11" t="str">
        <f>IF(C186="","",VLOOKUP(C186,予算!$B$7:$C$66,2))</f>
        <v/>
      </c>
      <c r="E186" s="199"/>
      <c r="F186" s="200"/>
      <c r="G186" s="32"/>
      <c r="H186" s="32"/>
      <c r="I186" s="50" t="str">
        <f t="shared" si="2"/>
        <v/>
      </c>
      <c r="M186" s="100"/>
      <c r="N186" s="78"/>
      <c r="O186" s="79"/>
      <c r="P186" s="80"/>
      <c r="Q186" s="80"/>
    </row>
    <row r="187" spans="1:17">
      <c r="A187" s="274" t="str">
        <f>IF(B187="","",DATE(IF(INT(B187)&gt;=4,予算!$L$1,予算!$L$2),INT(B187),ROUND(MOD(B187,1)*100,0)))</f>
        <v/>
      </c>
      <c r="B187" s="68"/>
      <c r="C187" s="43"/>
      <c r="D187" s="11" t="str">
        <f>IF(C187="","",VLOOKUP(C187,予算!$B$7:$C$66,2))</f>
        <v/>
      </c>
      <c r="E187" s="199"/>
      <c r="F187" s="200"/>
      <c r="G187" s="32"/>
      <c r="H187" s="32"/>
      <c r="I187" s="50" t="str">
        <f t="shared" si="2"/>
        <v/>
      </c>
      <c r="M187" s="100"/>
      <c r="N187" s="78"/>
      <c r="O187" s="79"/>
      <c r="P187" s="80"/>
      <c r="Q187" s="80"/>
    </row>
    <row r="188" spans="1:17">
      <c r="A188" s="274" t="str">
        <f>IF(B188="","",DATE(IF(INT(B188)&gt;=4,予算!$L$1,予算!$L$2),INT(B188),ROUND(MOD(B188,1)*100,0)))</f>
        <v/>
      </c>
      <c r="B188" s="68"/>
      <c r="C188" s="43"/>
      <c r="D188" s="11" t="str">
        <f>IF(C188="","",VLOOKUP(C188,予算!$B$7:$C$66,2))</f>
        <v/>
      </c>
      <c r="E188" s="199"/>
      <c r="F188" s="200"/>
      <c r="G188" s="32"/>
      <c r="H188" s="32"/>
      <c r="I188" s="50" t="str">
        <f t="shared" si="2"/>
        <v/>
      </c>
      <c r="M188" s="100"/>
      <c r="N188" s="78"/>
      <c r="O188" s="79"/>
      <c r="P188" s="80"/>
      <c r="Q188" s="80"/>
    </row>
    <row r="189" spans="1:17">
      <c r="A189" s="274" t="str">
        <f>IF(B189="","",DATE(IF(INT(B189)&gt;=4,予算!$L$1,予算!$L$2),INT(B189),ROUND(MOD(B189,1)*100,0)))</f>
        <v/>
      </c>
      <c r="B189" s="68"/>
      <c r="C189" s="43"/>
      <c r="D189" s="11" t="str">
        <f>IF(C189="","",VLOOKUP(C189,予算!$B$7:$C$66,2))</f>
        <v/>
      </c>
      <c r="E189" s="43"/>
      <c r="F189" s="200"/>
      <c r="G189" s="32"/>
      <c r="H189" s="32"/>
      <c r="I189" s="50" t="str">
        <f t="shared" si="2"/>
        <v/>
      </c>
      <c r="M189" s="100"/>
      <c r="N189" s="78"/>
      <c r="O189" s="79"/>
      <c r="P189" s="80"/>
      <c r="Q189" s="80"/>
    </row>
    <row r="190" spans="1:17">
      <c r="A190" s="274" t="str">
        <f>IF(B190="","",DATE(IF(INT(B190)&gt;=4,予算!$L$1,予算!$L$2),INT(B190),ROUND(MOD(B190,1)*100,0)))</f>
        <v/>
      </c>
      <c r="B190" s="68"/>
      <c r="C190" s="43"/>
      <c r="D190" s="11" t="str">
        <f>IF(C190="","",VLOOKUP(C190,予算!$B$7:$C$66,2))</f>
        <v/>
      </c>
      <c r="E190" s="43"/>
      <c r="F190" s="200"/>
      <c r="G190" s="32"/>
      <c r="H190" s="32"/>
      <c r="I190" s="50" t="str">
        <f t="shared" si="2"/>
        <v/>
      </c>
      <c r="M190" s="100"/>
      <c r="N190" s="78"/>
      <c r="O190" s="79"/>
      <c r="P190" s="80"/>
      <c r="Q190" s="80"/>
    </row>
    <row r="191" spans="1:17">
      <c r="A191" s="274" t="str">
        <f>IF(B191="","",DATE(IF(INT(B191)&gt;=4,予算!$L$1,予算!$L$2),INT(B191),ROUND(MOD(B191,1)*100,0)))</f>
        <v/>
      </c>
      <c r="B191" s="68"/>
      <c r="C191" s="43"/>
      <c r="D191" s="11" t="str">
        <f>IF(C191="","",VLOOKUP(C191,予算!$B$7:$C$66,2))</f>
        <v/>
      </c>
      <c r="E191" s="43"/>
      <c r="F191" s="200"/>
      <c r="G191" s="32"/>
      <c r="H191" s="32"/>
      <c r="I191" s="50" t="str">
        <f t="shared" si="2"/>
        <v/>
      </c>
      <c r="M191" s="100"/>
      <c r="N191" s="78"/>
      <c r="O191" s="79"/>
      <c r="P191" s="80"/>
      <c r="Q191" s="80"/>
    </row>
    <row r="192" spans="1:17">
      <c r="A192" s="274" t="str">
        <f>IF(B192="","",DATE(IF(INT(B192)&gt;=4,予算!$L$1,予算!$L$2),INT(B192),ROUND(MOD(B192,1)*100,0)))</f>
        <v/>
      </c>
      <c r="B192" s="68"/>
      <c r="C192" s="43"/>
      <c r="D192" s="11" t="str">
        <f>IF(C192="","",VLOOKUP(C192,予算!$B$7:$C$66,2))</f>
        <v/>
      </c>
      <c r="E192" s="43"/>
      <c r="F192" s="200"/>
      <c r="G192" s="32"/>
      <c r="H192" s="32"/>
      <c r="I192" s="50" t="str">
        <f t="shared" si="2"/>
        <v/>
      </c>
      <c r="M192" s="100"/>
      <c r="N192" s="78"/>
      <c r="O192" s="79"/>
      <c r="P192" s="80"/>
      <c r="Q192" s="80"/>
    </row>
    <row r="193" spans="1:17">
      <c r="A193" s="274" t="str">
        <f>IF(B193="","",DATE(IF(INT(B193)&gt;=4,予算!$L$1,予算!$L$2),INT(B193),ROUND(MOD(B193,1)*100,0)))</f>
        <v/>
      </c>
      <c r="B193" s="68"/>
      <c r="C193" s="43"/>
      <c r="D193" s="11" t="str">
        <f>IF(C193="","",VLOOKUP(C193,予算!$B$7:$C$66,2))</f>
        <v/>
      </c>
      <c r="E193" s="43"/>
      <c r="F193" s="200"/>
      <c r="G193" s="32"/>
      <c r="H193" s="32"/>
      <c r="I193" s="50" t="str">
        <f t="shared" si="2"/>
        <v/>
      </c>
      <c r="M193" s="100"/>
      <c r="N193" s="78"/>
      <c r="O193" s="79"/>
      <c r="P193" s="80"/>
      <c r="Q193" s="80"/>
    </row>
    <row r="194" spans="1:17">
      <c r="A194" s="274" t="str">
        <f>IF(B194="","",DATE(IF(INT(B194)&gt;=4,予算!$L$1,予算!$L$2),INT(B194),ROUND(MOD(B194,1)*100,0)))</f>
        <v/>
      </c>
      <c r="B194" s="68"/>
      <c r="C194" s="43"/>
      <c r="D194" s="11" t="str">
        <f>IF(C194="","",VLOOKUP(C194,予算!$B$7:$C$66,2))</f>
        <v/>
      </c>
      <c r="E194" s="43"/>
      <c r="F194" s="200"/>
      <c r="G194" s="32"/>
      <c r="H194" s="32"/>
      <c r="I194" s="50" t="str">
        <f t="shared" si="2"/>
        <v/>
      </c>
      <c r="M194" s="100"/>
      <c r="N194" s="78"/>
      <c r="O194" s="79"/>
      <c r="P194" s="80"/>
      <c r="Q194" s="80"/>
    </row>
    <row r="195" spans="1:17">
      <c r="A195" s="274" t="str">
        <f>IF(B195="","",DATE(IF(INT(B195)&gt;=4,予算!$L$1,予算!$L$2),INT(B195),ROUND(MOD(B195,1)*100,0)))</f>
        <v/>
      </c>
      <c r="B195" s="68"/>
      <c r="C195" s="43"/>
      <c r="D195" s="11" t="str">
        <f>IF(C195="","",VLOOKUP(C195,予算!$B$7:$C$66,2))</f>
        <v/>
      </c>
      <c r="E195" s="43"/>
      <c r="F195" s="200"/>
      <c r="G195" s="32"/>
      <c r="H195" s="32"/>
      <c r="I195" s="50" t="str">
        <f t="shared" si="2"/>
        <v/>
      </c>
      <c r="M195" s="100"/>
      <c r="N195" s="78"/>
      <c r="O195" s="79"/>
      <c r="P195" s="80"/>
      <c r="Q195" s="80"/>
    </row>
    <row r="196" spans="1:17">
      <c r="A196" s="274" t="str">
        <f>IF(B196="","",DATE(IF(INT(B196)&gt;=4,予算!$L$1,予算!$L$2),INT(B196),ROUND(MOD(B196,1)*100,0)))</f>
        <v/>
      </c>
      <c r="B196" s="68"/>
      <c r="C196" s="43"/>
      <c r="D196" s="11" t="str">
        <f>IF(C196="","",VLOOKUP(C196,予算!$B$7:$C$66,2))</f>
        <v/>
      </c>
      <c r="E196" s="43"/>
      <c r="F196" s="200"/>
      <c r="G196" s="32"/>
      <c r="H196" s="32"/>
      <c r="I196" s="50" t="str">
        <f t="shared" si="2"/>
        <v/>
      </c>
      <c r="M196" s="100"/>
      <c r="N196" s="78"/>
      <c r="O196" s="79"/>
      <c r="P196" s="80"/>
      <c r="Q196" s="80"/>
    </row>
    <row r="197" spans="1:17">
      <c r="A197" s="274" t="str">
        <f>IF(B197="","",DATE(IF(INT(B197)&gt;=4,予算!$L$1,予算!$L$2),INT(B197),ROUND(MOD(B197,1)*100,0)))</f>
        <v/>
      </c>
      <c r="B197" s="68"/>
      <c r="C197" s="43"/>
      <c r="D197" s="11" t="str">
        <f>IF(C197="","",VLOOKUP(C197,予算!$B$7:$C$66,2))</f>
        <v/>
      </c>
      <c r="E197" s="43"/>
      <c r="F197" s="200"/>
      <c r="G197" s="32"/>
      <c r="H197" s="32"/>
      <c r="I197" s="50" t="str">
        <f t="shared" si="2"/>
        <v/>
      </c>
      <c r="M197" s="100"/>
      <c r="N197" s="78"/>
      <c r="O197" s="79"/>
      <c r="P197" s="80"/>
      <c r="Q197" s="80"/>
    </row>
    <row r="198" spans="1:17">
      <c r="A198" s="274" t="str">
        <f>IF(B198="","",DATE(IF(INT(B198)&gt;=4,予算!$L$1,予算!$L$2),INT(B198),ROUND(MOD(B198,1)*100,0)))</f>
        <v/>
      </c>
      <c r="B198" s="68"/>
      <c r="C198" s="43"/>
      <c r="D198" s="11" t="str">
        <f>IF(C198="","",VLOOKUP(C198,予算!$B$7:$C$66,2))</f>
        <v/>
      </c>
      <c r="E198" s="43"/>
      <c r="F198" s="200"/>
      <c r="G198" s="32"/>
      <c r="H198" s="32"/>
      <c r="I198" s="50" t="str">
        <f t="shared" si="2"/>
        <v/>
      </c>
      <c r="M198" s="100"/>
      <c r="N198" s="78"/>
      <c r="O198" s="79"/>
      <c r="P198" s="80"/>
      <c r="Q198" s="80"/>
    </row>
    <row r="199" spans="1:17">
      <c r="A199" s="274" t="str">
        <f>IF(B199="","",DATE(IF(INT(B199)&gt;=4,予算!$L$1,予算!$L$2),INT(B199),ROUND(MOD(B199,1)*100,0)))</f>
        <v/>
      </c>
      <c r="B199" s="68"/>
      <c r="C199" s="43"/>
      <c r="D199" s="11" t="str">
        <f>IF(C199="","",VLOOKUP(C199,予算!$B$7:$C$66,2))</f>
        <v/>
      </c>
      <c r="E199" s="43"/>
      <c r="F199" s="200"/>
      <c r="G199" s="32"/>
      <c r="H199" s="32"/>
      <c r="I199" s="50" t="str">
        <f t="shared" si="2"/>
        <v/>
      </c>
      <c r="M199" s="100"/>
      <c r="N199" s="78"/>
      <c r="O199" s="79"/>
      <c r="P199" s="80"/>
      <c r="Q199" s="80"/>
    </row>
    <row r="200" spans="1:17">
      <c r="A200" s="274" t="str">
        <f>IF(B200="","",DATE(IF(INT(B200)&gt;=4,予算!$L$1,予算!$L$2),INT(B200),ROUND(MOD(B200,1)*100,0)))</f>
        <v/>
      </c>
      <c r="B200" s="68"/>
      <c r="C200" s="43"/>
      <c r="D200" s="11" t="str">
        <f>IF(C200="","",VLOOKUP(C200,予算!$B$7:$C$66,2))</f>
        <v/>
      </c>
      <c r="E200" s="43"/>
      <c r="F200" s="200"/>
      <c r="G200" s="32"/>
      <c r="H200" s="32"/>
      <c r="I200" s="50" t="str">
        <f t="shared" si="2"/>
        <v/>
      </c>
      <c r="M200" s="100"/>
      <c r="N200" s="78"/>
      <c r="O200" s="79"/>
      <c r="P200" s="80"/>
      <c r="Q200" s="80"/>
    </row>
    <row r="201" spans="1:17">
      <c r="A201" s="275" t="str">
        <f>IF(B201="","",DATE(IF(INT(B201)&gt;=4,予算!$L$1,予算!$L$2),INT(B201),ROUND(MOD(B201,1)*100,0)))</f>
        <v/>
      </c>
      <c r="B201" s="68"/>
      <c r="C201" s="43"/>
      <c r="D201" s="11" t="str">
        <f>IF(C201="","",VLOOKUP(C201,予算!$B$7:$C$66,2))</f>
        <v/>
      </c>
      <c r="E201" s="43"/>
      <c r="F201" s="200"/>
      <c r="G201" s="32"/>
      <c r="H201" s="32"/>
      <c r="I201" s="50" t="str">
        <f t="shared" ref="I201:I264" si="3">IF(C201="","",I200+G201-H201)</f>
        <v/>
      </c>
      <c r="M201" s="100"/>
      <c r="N201" s="78"/>
      <c r="O201" s="79"/>
      <c r="P201" s="80"/>
      <c r="Q201" s="80"/>
    </row>
    <row r="202" spans="1:17">
      <c r="A202" s="275" t="str">
        <f>IF(B202="","",DATE(IF(INT(B202)&gt;=4,予算!$L$1,予算!$L$2),INT(B202),ROUND(MOD(B202,1)*100,0)))</f>
        <v/>
      </c>
      <c r="B202" s="68"/>
      <c r="C202" s="43"/>
      <c r="D202" s="11" t="str">
        <f>IF(C202="","",VLOOKUP(C202,予算!$B$7:$C$66,2))</f>
        <v/>
      </c>
      <c r="E202" s="43"/>
      <c r="F202" s="200"/>
      <c r="G202" s="32"/>
      <c r="H202" s="32"/>
      <c r="I202" s="50" t="str">
        <f t="shared" si="3"/>
        <v/>
      </c>
      <c r="M202" s="100"/>
      <c r="N202" s="78"/>
      <c r="O202" s="79"/>
      <c r="P202" s="80"/>
      <c r="Q202" s="80"/>
    </row>
    <row r="203" spans="1:17">
      <c r="A203" s="275" t="str">
        <f>IF(B203="","",DATE(IF(INT(B203)&gt;=4,予算!$L$1,予算!$L$2),INT(B203),ROUND(MOD(B203,1)*100,0)))</f>
        <v/>
      </c>
      <c r="B203" s="68"/>
      <c r="C203" s="43"/>
      <c r="D203" s="11" t="str">
        <f>IF(C203="","",VLOOKUP(C203,予算!$B$7:$C$66,2))</f>
        <v/>
      </c>
      <c r="E203" s="43"/>
      <c r="F203" s="200"/>
      <c r="G203" s="32"/>
      <c r="H203" s="32"/>
      <c r="I203" s="50" t="str">
        <f t="shared" si="3"/>
        <v/>
      </c>
      <c r="M203" s="100"/>
      <c r="N203" s="78"/>
      <c r="O203" s="79"/>
      <c r="P203" s="80"/>
      <c r="Q203" s="80"/>
    </row>
    <row r="204" spans="1:17">
      <c r="A204" s="275" t="str">
        <f>IF(B204="","",DATE(IF(INT(B204)&gt;=4,予算!$L$1,予算!$L$2),INT(B204),ROUND(MOD(B204,1)*100,0)))</f>
        <v/>
      </c>
      <c r="B204" s="68"/>
      <c r="C204" s="43"/>
      <c r="D204" s="11" t="str">
        <f>IF(C204="","",VLOOKUP(C204,予算!$B$7:$C$66,2))</f>
        <v/>
      </c>
      <c r="E204" s="43"/>
      <c r="F204" s="200"/>
      <c r="G204" s="32"/>
      <c r="H204" s="32"/>
      <c r="I204" s="50" t="str">
        <f t="shared" si="3"/>
        <v/>
      </c>
      <c r="M204" s="101"/>
      <c r="N204" s="81"/>
      <c r="O204" s="82"/>
      <c r="P204" s="83"/>
      <c r="Q204" s="83"/>
    </row>
    <row r="205" spans="1:17">
      <c r="A205" s="275" t="str">
        <f>IF(B205="","",DATE(IF(INT(B205)&gt;=4,予算!$L$1,予算!$L$2),INT(B205),ROUND(MOD(B205,1)*100,0)))</f>
        <v/>
      </c>
      <c r="B205" s="68"/>
      <c r="C205" s="43"/>
      <c r="D205" s="11" t="str">
        <f>IF(C205="","",VLOOKUP(C205,予算!$B$7:$C$66,2))</f>
        <v/>
      </c>
      <c r="E205" s="43"/>
      <c r="F205" s="200"/>
      <c r="G205" s="32"/>
      <c r="H205" s="32"/>
      <c r="I205" s="50" t="str">
        <f t="shared" si="3"/>
        <v/>
      </c>
      <c r="M205" s="71">
        <f>COUNT(M6:M204)</f>
        <v>0</v>
      </c>
      <c r="N205" s="72" t="s">
        <v>26</v>
      </c>
      <c r="O205" s="70"/>
      <c r="P205" s="71">
        <f>SUM(P6:P204)</f>
        <v>0</v>
      </c>
      <c r="Q205" s="71">
        <f>SUM(Q6:Q204)</f>
        <v>0</v>
      </c>
    </row>
    <row r="206" spans="1:17">
      <c r="A206" s="275" t="str">
        <f>IF(B206="","",DATE(IF(INT(B206)&gt;=4,予算!$L$1,予算!$L$2),INT(B206),ROUND(MOD(B206,1)*100,0)))</f>
        <v/>
      </c>
      <c r="B206" s="68"/>
      <c r="C206" s="43"/>
      <c r="D206" s="11" t="str">
        <f>IF(C206="","",VLOOKUP(C206,予算!$B$7:$C$66,2))</f>
        <v/>
      </c>
      <c r="E206" s="43"/>
      <c r="F206" s="200"/>
      <c r="G206" s="32"/>
      <c r="H206" s="32"/>
      <c r="I206" s="50" t="str">
        <f t="shared" si="3"/>
        <v/>
      </c>
    </row>
    <row r="207" spans="1:17">
      <c r="A207" s="275" t="str">
        <f>IF(B207="","",DATE(IF(INT(B207)&gt;=4,予算!$L$1,予算!$L$2),INT(B207),ROUND(MOD(B207,1)*100,0)))</f>
        <v/>
      </c>
      <c r="B207" s="68"/>
      <c r="C207" s="43"/>
      <c r="D207" s="11" t="str">
        <f>IF(C207="","",VLOOKUP(C207,予算!$B$7:$C$66,2))</f>
        <v/>
      </c>
      <c r="E207" s="43"/>
      <c r="F207" s="200"/>
      <c r="G207" s="32"/>
      <c r="H207" s="32"/>
      <c r="I207" s="50" t="str">
        <f t="shared" si="3"/>
        <v/>
      </c>
    </row>
    <row r="208" spans="1:17">
      <c r="A208" s="275" t="str">
        <f>IF(B208="","",DATE(IF(INT(B208)&gt;=4,予算!$L$1,予算!$L$2),INT(B208),ROUND(MOD(B208,1)*100,0)))</f>
        <v/>
      </c>
      <c r="B208" s="68"/>
      <c r="C208" s="43"/>
      <c r="D208" s="11" t="str">
        <f>IF(C208="","",VLOOKUP(C208,予算!$B$7:$C$66,2))</f>
        <v/>
      </c>
      <c r="E208" s="43"/>
      <c r="F208" s="200"/>
      <c r="G208" s="32"/>
      <c r="H208" s="32"/>
      <c r="I208" s="50" t="str">
        <f t="shared" si="3"/>
        <v/>
      </c>
    </row>
    <row r="209" spans="1:9">
      <c r="A209" s="275" t="str">
        <f>IF(B209="","",DATE(IF(INT(B209)&gt;=4,予算!$L$1,予算!$L$2),INT(B209),ROUND(MOD(B209,1)*100,0)))</f>
        <v/>
      </c>
      <c r="B209" s="68"/>
      <c r="C209" s="43"/>
      <c r="D209" s="11" t="str">
        <f>IF(C209="","",VLOOKUP(C209,予算!$B$7:$C$66,2))</f>
        <v/>
      </c>
      <c r="E209" s="43"/>
      <c r="F209" s="200"/>
      <c r="G209" s="32"/>
      <c r="H209" s="32"/>
      <c r="I209" s="50" t="str">
        <f t="shared" si="3"/>
        <v/>
      </c>
    </row>
    <row r="210" spans="1:9">
      <c r="A210" s="275" t="str">
        <f>IF(B210="","",DATE(IF(INT(B210)&gt;=4,予算!$L$1,予算!$L$2),INT(B210),ROUND(MOD(B210,1)*100,0)))</f>
        <v/>
      </c>
      <c r="B210" s="68"/>
      <c r="C210" s="43"/>
      <c r="D210" s="11" t="str">
        <f>IF(C210="","",VLOOKUP(C210,予算!$B$7:$C$66,2))</f>
        <v/>
      </c>
      <c r="E210" s="43"/>
      <c r="F210" s="200"/>
      <c r="G210" s="32"/>
      <c r="H210" s="32"/>
      <c r="I210" s="50" t="str">
        <f t="shared" si="3"/>
        <v/>
      </c>
    </row>
    <row r="211" spans="1:9">
      <c r="A211" s="275" t="str">
        <f>IF(B211="","",DATE(IF(INT(B211)&gt;=4,予算!$L$1,予算!$L$2),INT(B211),ROUND(MOD(B211,1)*100,0)))</f>
        <v/>
      </c>
      <c r="B211" s="68"/>
      <c r="C211" s="43"/>
      <c r="D211" s="11" t="str">
        <f>IF(C211="","",VLOOKUP(C211,予算!$B$7:$C$66,2))</f>
        <v/>
      </c>
      <c r="E211" s="43"/>
      <c r="F211" s="200"/>
      <c r="G211" s="32"/>
      <c r="H211" s="32"/>
      <c r="I211" s="50" t="str">
        <f t="shared" si="3"/>
        <v/>
      </c>
    </row>
    <row r="212" spans="1:9">
      <c r="A212" s="275" t="str">
        <f>IF(B212="","",DATE(IF(INT(B212)&gt;=4,予算!$L$1,予算!$L$2),INT(B212),ROUND(MOD(B212,1)*100,0)))</f>
        <v/>
      </c>
      <c r="B212" s="68"/>
      <c r="C212" s="43"/>
      <c r="D212" s="11" t="str">
        <f>IF(C212="","",VLOOKUP(C212,予算!$B$7:$C$66,2))</f>
        <v/>
      </c>
      <c r="E212" s="43"/>
      <c r="F212" s="200"/>
      <c r="G212" s="32"/>
      <c r="H212" s="32"/>
      <c r="I212" s="50" t="str">
        <f t="shared" si="3"/>
        <v/>
      </c>
    </row>
    <row r="213" spans="1:9">
      <c r="A213" s="275" t="str">
        <f>IF(B213="","",DATE(IF(INT(B213)&gt;=4,予算!$L$1,予算!$L$2),INT(B213),ROUND(MOD(B213,1)*100,0)))</f>
        <v/>
      </c>
      <c r="B213" s="68"/>
      <c r="C213" s="43"/>
      <c r="D213" s="11" t="str">
        <f>IF(C213="","",VLOOKUP(C213,予算!$B$7:$C$66,2))</f>
        <v/>
      </c>
      <c r="E213" s="43"/>
      <c r="F213" s="200"/>
      <c r="G213" s="32"/>
      <c r="H213" s="32"/>
      <c r="I213" s="50" t="str">
        <f t="shared" si="3"/>
        <v/>
      </c>
    </row>
    <row r="214" spans="1:9">
      <c r="A214" s="275" t="str">
        <f>IF(B214="","",DATE(IF(INT(B214)&gt;=4,予算!$L$1,予算!$L$2),INT(B214),ROUND(MOD(B214,1)*100,0)))</f>
        <v/>
      </c>
      <c r="B214" s="68"/>
      <c r="C214" s="43"/>
      <c r="D214" s="11" t="str">
        <f>IF(C214="","",VLOOKUP(C214,予算!$B$7:$C$66,2))</f>
        <v/>
      </c>
      <c r="E214" s="43"/>
      <c r="F214" s="200"/>
      <c r="G214" s="32"/>
      <c r="H214" s="32"/>
      <c r="I214" s="50" t="str">
        <f t="shared" si="3"/>
        <v/>
      </c>
    </row>
    <row r="215" spans="1:9">
      <c r="A215" s="275" t="str">
        <f>IF(B215="","",DATE(IF(INT(B215)&gt;=4,予算!$L$1,予算!$L$2),INT(B215),ROUND(MOD(B215,1)*100,0)))</f>
        <v/>
      </c>
      <c r="B215" s="68"/>
      <c r="C215" s="43"/>
      <c r="D215" s="11" t="str">
        <f>IF(C215="","",VLOOKUP(C215,予算!$B$7:$C$66,2))</f>
        <v/>
      </c>
      <c r="E215" s="43"/>
      <c r="F215" s="200"/>
      <c r="G215" s="32"/>
      <c r="H215" s="32"/>
      <c r="I215" s="50" t="str">
        <f t="shared" si="3"/>
        <v/>
      </c>
    </row>
    <row r="216" spans="1:9">
      <c r="A216" s="275" t="str">
        <f>IF(B216="","",DATE(IF(INT(B216)&gt;=4,予算!$L$1,予算!$L$2),INT(B216),ROUND(MOD(B216,1)*100,0)))</f>
        <v/>
      </c>
      <c r="B216" s="68"/>
      <c r="C216" s="43"/>
      <c r="D216" s="11" t="str">
        <f>IF(C216="","",VLOOKUP(C216,予算!$B$7:$C$66,2))</f>
        <v/>
      </c>
      <c r="E216" s="43"/>
      <c r="F216" s="200"/>
      <c r="G216" s="32"/>
      <c r="H216" s="32"/>
      <c r="I216" s="50" t="str">
        <f t="shared" si="3"/>
        <v/>
      </c>
    </row>
    <row r="217" spans="1:9">
      <c r="A217" s="275" t="str">
        <f>IF(B217="","",DATE(IF(INT(B217)&gt;=4,予算!$L$1,予算!$L$2),INT(B217),ROUND(MOD(B217,1)*100,0)))</f>
        <v/>
      </c>
      <c r="B217" s="68"/>
      <c r="C217" s="43"/>
      <c r="D217" s="11" t="str">
        <f>IF(C217="","",VLOOKUP(C217,予算!$B$7:$C$66,2))</f>
        <v/>
      </c>
      <c r="E217" s="43"/>
      <c r="F217" s="200"/>
      <c r="G217" s="32"/>
      <c r="H217" s="32"/>
      <c r="I217" s="50" t="str">
        <f t="shared" si="3"/>
        <v/>
      </c>
    </row>
    <row r="218" spans="1:9">
      <c r="A218" s="275" t="str">
        <f>IF(B218="","",DATE(IF(INT(B218)&gt;=4,予算!$L$1,予算!$L$2),INT(B218),ROUND(MOD(B218,1)*100,0)))</f>
        <v/>
      </c>
      <c r="B218" s="68"/>
      <c r="C218" s="43"/>
      <c r="D218" s="11" t="str">
        <f>IF(C218="","",VLOOKUP(C218,予算!$B$7:$C$66,2))</f>
        <v/>
      </c>
      <c r="E218" s="43"/>
      <c r="F218" s="200"/>
      <c r="G218" s="32"/>
      <c r="H218" s="32"/>
      <c r="I218" s="50" t="str">
        <f t="shared" si="3"/>
        <v/>
      </c>
    </row>
    <row r="219" spans="1:9">
      <c r="A219" s="275" t="str">
        <f>IF(B219="","",DATE(IF(INT(B219)&gt;=4,予算!$L$1,予算!$L$2),INT(B219),ROUND(MOD(B219,1)*100,0)))</f>
        <v/>
      </c>
      <c r="B219" s="68"/>
      <c r="C219" s="43"/>
      <c r="D219" s="11" t="str">
        <f>IF(C219="","",VLOOKUP(C219,予算!$B$7:$C$66,2))</f>
        <v/>
      </c>
      <c r="E219" s="43"/>
      <c r="F219" s="200"/>
      <c r="G219" s="32"/>
      <c r="H219" s="32"/>
      <c r="I219" s="50" t="str">
        <f t="shared" si="3"/>
        <v/>
      </c>
    </row>
    <row r="220" spans="1:9">
      <c r="A220" s="275" t="str">
        <f>IF(B220="","",DATE(IF(INT(B220)&gt;=4,予算!$L$1,予算!$L$2),INT(B220),ROUND(MOD(B220,1)*100,0)))</f>
        <v/>
      </c>
      <c r="B220" s="68"/>
      <c r="C220" s="43"/>
      <c r="D220" s="11" t="str">
        <f>IF(C220="","",VLOOKUP(C220,予算!$B$7:$C$66,2))</f>
        <v/>
      </c>
      <c r="E220" s="43"/>
      <c r="F220" s="200"/>
      <c r="G220" s="32"/>
      <c r="H220" s="32"/>
      <c r="I220" s="50" t="str">
        <f t="shared" si="3"/>
        <v/>
      </c>
    </row>
    <row r="221" spans="1:9">
      <c r="A221" s="275" t="str">
        <f>IF(B221="","",DATE(IF(INT(B221)&gt;=4,予算!$L$1,予算!$L$2),INT(B221),ROUND(MOD(B221,1)*100,0)))</f>
        <v/>
      </c>
      <c r="B221" s="68"/>
      <c r="C221" s="43"/>
      <c r="D221" s="11" t="str">
        <f>IF(C221="","",VLOOKUP(C221,予算!$B$7:$C$66,2))</f>
        <v/>
      </c>
      <c r="E221" s="43"/>
      <c r="F221" s="200"/>
      <c r="G221" s="32"/>
      <c r="H221" s="32"/>
      <c r="I221" s="50" t="str">
        <f t="shared" si="3"/>
        <v/>
      </c>
    </row>
    <row r="222" spans="1:9">
      <c r="A222" s="275" t="str">
        <f>IF(B222="","",DATE(IF(INT(B222)&gt;=4,予算!$L$1,予算!$L$2),INT(B222),ROUND(MOD(B222,1)*100,0)))</f>
        <v/>
      </c>
      <c r="B222" s="68"/>
      <c r="C222" s="43"/>
      <c r="D222" s="11" t="str">
        <f>IF(C222="","",VLOOKUP(C222,予算!$B$7:$C$66,2))</f>
        <v/>
      </c>
      <c r="E222" s="43"/>
      <c r="F222" s="200"/>
      <c r="G222" s="32"/>
      <c r="H222" s="32"/>
      <c r="I222" s="50" t="str">
        <f t="shared" si="3"/>
        <v/>
      </c>
    </row>
    <row r="223" spans="1:9">
      <c r="A223" s="275" t="str">
        <f>IF(B223="","",DATE(IF(INT(B223)&gt;=4,予算!$L$1,予算!$L$2),INT(B223),ROUND(MOD(B223,1)*100,0)))</f>
        <v/>
      </c>
      <c r="B223" s="68"/>
      <c r="C223" s="43"/>
      <c r="D223" s="11" t="str">
        <f>IF(C223="","",VLOOKUP(C223,予算!$B$7:$C$66,2))</f>
        <v/>
      </c>
      <c r="E223" s="43"/>
      <c r="F223" s="200"/>
      <c r="G223" s="32"/>
      <c r="H223" s="32"/>
      <c r="I223" s="50" t="str">
        <f t="shared" si="3"/>
        <v/>
      </c>
    </row>
    <row r="224" spans="1:9">
      <c r="A224" s="275" t="str">
        <f>IF(B224="","",DATE(IF(INT(B224)&gt;=4,予算!$L$1,予算!$L$2),INT(B224),ROUND(MOD(B224,1)*100,0)))</f>
        <v/>
      </c>
      <c r="B224" s="68"/>
      <c r="C224" s="43"/>
      <c r="D224" s="11" t="str">
        <f>IF(C224="","",VLOOKUP(C224,予算!$B$7:$C$66,2))</f>
        <v/>
      </c>
      <c r="E224" s="43"/>
      <c r="F224" s="200"/>
      <c r="G224" s="32"/>
      <c r="H224" s="32"/>
      <c r="I224" s="50" t="str">
        <f t="shared" si="3"/>
        <v/>
      </c>
    </row>
    <row r="225" spans="1:9">
      <c r="A225" s="275" t="str">
        <f>IF(B225="","",DATE(IF(INT(B225)&gt;=4,予算!$L$1,予算!$L$2),INT(B225),ROUND(MOD(B225,1)*100,0)))</f>
        <v/>
      </c>
      <c r="B225" s="68"/>
      <c r="C225" s="43"/>
      <c r="D225" s="11" t="str">
        <f>IF(C225="","",VLOOKUP(C225,予算!$B$7:$C$66,2))</f>
        <v/>
      </c>
      <c r="E225" s="43"/>
      <c r="F225" s="200"/>
      <c r="G225" s="32"/>
      <c r="H225" s="32"/>
      <c r="I225" s="50" t="str">
        <f t="shared" si="3"/>
        <v/>
      </c>
    </row>
    <row r="226" spans="1:9">
      <c r="A226" s="275" t="str">
        <f>IF(B226="","",DATE(IF(INT(B226)&gt;=4,予算!$L$1,予算!$L$2),INT(B226),ROUND(MOD(B226,1)*100,0)))</f>
        <v/>
      </c>
      <c r="B226" s="68"/>
      <c r="C226" s="43"/>
      <c r="D226" s="11" t="str">
        <f>IF(C226="","",VLOOKUP(C226,予算!$B$7:$C$66,2))</f>
        <v/>
      </c>
      <c r="E226" s="43"/>
      <c r="F226" s="200"/>
      <c r="G226" s="32"/>
      <c r="H226" s="32"/>
      <c r="I226" s="50" t="str">
        <f t="shared" si="3"/>
        <v/>
      </c>
    </row>
    <row r="227" spans="1:9">
      <c r="A227" s="275" t="str">
        <f>IF(B227="","",DATE(IF(INT(B227)&gt;=4,予算!$L$1,予算!$L$2),INT(B227),ROUND(MOD(B227,1)*100,0)))</f>
        <v/>
      </c>
      <c r="B227" s="68"/>
      <c r="C227" s="43"/>
      <c r="D227" s="11" t="str">
        <f>IF(C227="","",VLOOKUP(C227,予算!$B$7:$C$66,2))</f>
        <v/>
      </c>
      <c r="E227" s="43"/>
      <c r="F227" s="200"/>
      <c r="G227" s="32"/>
      <c r="H227" s="32"/>
      <c r="I227" s="50" t="str">
        <f t="shared" si="3"/>
        <v/>
      </c>
    </row>
    <row r="228" spans="1:9">
      <c r="A228" s="275" t="str">
        <f>IF(B228="","",DATE(IF(INT(B228)&gt;=4,予算!$L$1,予算!$L$2),INT(B228),ROUND(MOD(B228,1)*100,0)))</f>
        <v/>
      </c>
      <c r="B228" s="68"/>
      <c r="C228" s="43"/>
      <c r="D228" s="11" t="str">
        <f>IF(C228="","",VLOOKUP(C228,予算!$B$7:$C$66,2))</f>
        <v/>
      </c>
      <c r="E228" s="43"/>
      <c r="F228" s="200"/>
      <c r="G228" s="32"/>
      <c r="H228" s="32"/>
      <c r="I228" s="50" t="str">
        <f t="shared" si="3"/>
        <v/>
      </c>
    </row>
    <row r="229" spans="1:9">
      <c r="A229" s="275" t="str">
        <f>IF(B229="","",DATE(IF(INT(B229)&gt;=4,予算!$L$1,予算!$L$2),INT(B229),ROUND(MOD(B229,1)*100,0)))</f>
        <v/>
      </c>
      <c r="B229" s="68"/>
      <c r="C229" s="43"/>
      <c r="D229" s="11" t="str">
        <f>IF(C229="","",VLOOKUP(C229,予算!$B$7:$C$66,2))</f>
        <v/>
      </c>
      <c r="E229" s="43"/>
      <c r="F229" s="200"/>
      <c r="G229" s="32"/>
      <c r="H229" s="32"/>
      <c r="I229" s="50" t="str">
        <f t="shared" si="3"/>
        <v/>
      </c>
    </row>
    <row r="230" spans="1:9">
      <c r="A230" s="275" t="str">
        <f>IF(B230="","",DATE(IF(INT(B230)&gt;=4,予算!$L$1,予算!$L$2),INT(B230),ROUND(MOD(B230,1)*100,0)))</f>
        <v/>
      </c>
      <c r="B230" s="68"/>
      <c r="C230" s="43"/>
      <c r="D230" s="11" t="str">
        <f>IF(C230="","",VLOOKUP(C230,予算!$B$7:$C$66,2))</f>
        <v/>
      </c>
      <c r="E230" s="43"/>
      <c r="F230" s="200"/>
      <c r="G230" s="32"/>
      <c r="H230" s="32"/>
      <c r="I230" s="50" t="str">
        <f t="shared" si="3"/>
        <v/>
      </c>
    </row>
    <row r="231" spans="1:9">
      <c r="A231" s="275" t="str">
        <f>IF(B231="","",DATE(IF(INT(B231)&gt;=4,予算!$L$1,予算!$L$2),INT(B231),ROUND(MOD(B231,1)*100,0)))</f>
        <v/>
      </c>
      <c r="B231" s="68"/>
      <c r="C231" s="43"/>
      <c r="D231" s="11" t="str">
        <f>IF(C231="","",VLOOKUP(C231,予算!$B$7:$C$66,2))</f>
        <v/>
      </c>
      <c r="E231" s="43"/>
      <c r="F231" s="200"/>
      <c r="G231" s="32"/>
      <c r="H231" s="32"/>
      <c r="I231" s="50" t="str">
        <f t="shared" si="3"/>
        <v/>
      </c>
    </row>
    <row r="232" spans="1:9">
      <c r="A232" s="275" t="str">
        <f>IF(B232="","",DATE(IF(INT(B232)&gt;=4,予算!$L$1,予算!$L$2),INT(B232),ROUND(MOD(B232,1)*100,0)))</f>
        <v/>
      </c>
      <c r="B232" s="68"/>
      <c r="C232" s="43"/>
      <c r="D232" s="11" t="str">
        <f>IF(C232="","",VLOOKUP(C232,予算!$B$7:$C$66,2))</f>
        <v/>
      </c>
      <c r="E232" s="43"/>
      <c r="F232" s="200"/>
      <c r="G232" s="32"/>
      <c r="H232" s="32"/>
      <c r="I232" s="50" t="str">
        <f t="shared" si="3"/>
        <v/>
      </c>
    </row>
    <row r="233" spans="1:9">
      <c r="A233" s="275" t="str">
        <f>IF(B233="","",DATE(IF(INT(B233)&gt;=4,予算!$L$1,予算!$L$2),INT(B233),ROUND(MOD(B233,1)*100,0)))</f>
        <v/>
      </c>
      <c r="B233" s="68"/>
      <c r="C233" s="43"/>
      <c r="D233" s="11" t="str">
        <f>IF(C233="","",VLOOKUP(C233,予算!$B$7:$C$66,2))</f>
        <v/>
      </c>
      <c r="E233" s="43"/>
      <c r="F233" s="200"/>
      <c r="G233" s="32"/>
      <c r="H233" s="32"/>
      <c r="I233" s="50" t="str">
        <f t="shared" si="3"/>
        <v/>
      </c>
    </row>
    <row r="234" spans="1:9">
      <c r="A234" s="275" t="str">
        <f>IF(B234="","",DATE(IF(INT(B234)&gt;=4,予算!$L$1,予算!$L$2),INT(B234),ROUND(MOD(B234,1)*100,0)))</f>
        <v/>
      </c>
      <c r="B234" s="68"/>
      <c r="C234" s="43"/>
      <c r="D234" s="11" t="str">
        <f>IF(C234="","",VLOOKUP(C234,予算!$B$7:$C$66,2))</f>
        <v/>
      </c>
      <c r="E234" s="43"/>
      <c r="F234" s="200"/>
      <c r="G234" s="32"/>
      <c r="H234" s="32"/>
      <c r="I234" s="50" t="str">
        <f t="shared" si="3"/>
        <v/>
      </c>
    </row>
    <row r="235" spans="1:9">
      <c r="A235" s="275" t="str">
        <f>IF(B235="","",DATE(IF(INT(B235)&gt;=4,予算!$L$1,予算!$L$2),INT(B235),ROUND(MOD(B235,1)*100,0)))</f>
        <v/>
      </c>
      <c r="B235" s="68"/>
      <c r="C235" s="43"/>
      <c r="D235" s="11" t="str">
        <f>IF(C235="","",VLOOKUP(C235,予算!$B$7:$C$66,2))</f>
        <v/>
      </c>
      <c r="E235" s="43"/>
      <c r="F235" s="200"/>
      <c r="G235" s="32"/>
      <c r="H235" s="32"/>
      <c r="I235" s="50" t="str">
        <f t="shared" si="3"/>
        <v/>
      </c>
    </row>
    <row r="236" spans="1:9">
      <c r="A236" s="275" t="str">
        <f>IF(B236="","",DATE(IF(INT(B236)&gt;=4,予算!$L$1,予算!$L$2),INT(B236),ROUND(MOD(B236,1)*100,0)))</f>
        <v/>
      </c>
      <c r="B236" s="68"/>
      <c r="C236" s="43"/>
      <c r="D236" s="11" t="str">
        <f>IF(C236="","",VLOOKUP(C236,予算!$B$7:$C$66,2))</f>
        <v/>
      </c>
      <c r="E236" s="43"/>
      <c r="F236" s="200"/>
      <c r="G236" s="32"/>
      <c r="H236" s="32"/>
      <c r="I236" s="50" t="str">
        <f t="shared" si="3"/>
        <v/>
      </c>
    </row>
    <row r="237" spans="1:9">
      <c r="A237" s="275" t="str">
        <f>IF(B237="","",DATE(IF(INT(B237)&gt;=4,予算!$L$1,予算!$L$2),INT(B237),ROUND(MOD(B237,1)*100,0)))</f>
        <v/>
      </c>
      <c r="B237" s="68"/>
      <c r="C237" s="43"/>
      <c r="D237" s="11" t="str">
        <f>IF(C237="","",VLOOKUP(C237,予算!$B$7:$C$66,2))</f>
        <v/>
      </c>
      <c r="E237" s="43"/>
      <c r="F237" s="200"/>
      <c r="G237" s="32"/>
      <c r="H237" s="32"/>
      <c r="I237" s="50" t="str">
        <f t="shared" si="3"/>
        <v/>
      </c>
    </row>
    <row r="238" spans="1:9">
      <c r="A238" s="275" t="str">
        <f>IF(B238="","",DATE(IF(INT(B238)&gt;=4,予算!$L$1,予算!$L$2),INT(B238),ROUND(MOD(B238,1)*100,0)))</f>
        <v/>
      </c>
      <c r="B238" s="68"/>
      <c r="C238" s="43"/>
      <c r="D238" s="11" t="str">
        <f>IF(C238="","",VLOOKUP(C238,予算!$B$7:$C$66,2))</f>
        <v/>
      </c>
      <c r="E238" s="43"/>
      <c r="F238" s="200"/>
      <c r="G238" s="32"/>
      <c r="H238" s="32"/>
      <c r="I238" s="50" t="str">
        <f t="shared" si="3"/>
        <v/>
      </c>
    </row>
    <row r="239" spans="1:9">
      <c r="A239" s="275" t="str">
        <f>IF(B239="","",DATE(IF(INT(B239)&gt;=4,予算!$L$1,予算!$L$2),INT(B239),ROUND(MOD(B239,1)*100,0)))</f>
        <v/>
      </c>
      <c r="B239" s="68"/>
      <c r="C239" s="43"/>
      <c r="D239" s="11" t="str">
        <f>IF(C239="","",VLOOKUP(C239,予算!$B$7:$C$66,2))</f>
        <v/>
      </c>
      <c r="E239" s="43"/>
      <c r="F239" s="200"/>
      <c r="G239" s="32"/>
      <c r="H239" s="32"/>
      <c r="I239" s="50" t="str">
        <f t="shared" si="3"/>
        <v/>
      </c>
    </row>
    <row r="240" spans="1:9">
      <c r="A240" s="275" t="str">
        <f>IF(B240="","",DATE(IF(INT(B240)&gt;=4,予算!$L$1,予算!$L$2),INT(B240),ROUND(MOD(B240,1)*100,0)))</f>
        <v/>
      </c>
      <c r="B240" s="68"/>
      <c r="C240" s="43"/>
      <c r="D240" s="11" t="str">
        <f>IF(C240="","",VLOOKUP(C240,予算!$B$7:$C$66,2))</f>
        <v/>
      </c>
      <c r="E240" s="43"/>
      <c r="F240" s="200"/>
      <c r="G240" s="32"/>
      <c r="H240" s="32"/>
      <c r="I240" s="50" t="str">
        <f t="shared" si="3"/>
        <v/>
      </c>
    </row>
    <row r="241" spans="1:9">
      <c r="A241" s="275" t="str">
        <f>IF(B241="","",DATE(IF(INT(B241)&gt;=4,予算!$L$1,予算!$L$2),INT(B241),ROUND(MOD(B241,1)*100,0)))</f>
        <v/>
      </c>
      <c r="B241" s="68"/>
      <c r="C241" s="43"/>
      <c r="D241" s="11" t="str">
        <f>IF(C241="","",VLOOKUP(C241,予算!$B$7:$C$66,2))</f>
        <v/>
      </c>
      <c r="E241" s="43"/>
      <c r="F241" s="200"/>
      <c r="G241" s="32"/>
      <c r="H241" s="32"/>
      <c r="I241" s="50" t="str">
        <f t="shared" si="3"/>
        <v/>
      </c>
    </row>
    <row r="242" spans="1:9">
      <c r="A242" s="275" t="str">
        <f>IF(B242="","",DATE(IF(INT(B242)&gt;=4,予算!$L$1,予算!$L$2),INT(B242),ROUND(MOD(B242,1)*100,0)))</f>
        <v/>
      </c>
      <c r="B242" s="68"/>
      <c r="C242" s="43"/>
      <c r="D242" s="11" t="str">
        <f>IF(C242="","",VLOOKUP(C242,予算!$B$7:$C$66,2))</f>
        <v/>
      </c>
      <c r="E242" s="43"/>
      <c r="F242" s="200"/>
      <c r="G242" s="32"/>
      <c r="H242" s="32"/>
      <c r="I242" s="50" t="str">
        <f t="shared" si="3"/>
        <v/>
      </c>
    </row>
    <row r="243" spans="1:9">
      <c r="A243" s="275" t="str">
        <f>IF(B243="","",DATE(IF(INT(B243)&gt;=4,予算!$L$1,予算!$L$2),INT(B243),ROUND(MOD(B243,1)*100,0)))</f>
        <v/>
      </c>
      <c r="B243" s="68"/>
      <c r="C243" s="43"/>
      <c r="D243" s="11" t="str">
        <f>IF(C243="","",VLOOKUP(C243,予算!$B$7:$C$66,2))</f>
        <v/>
      </c>
      <c r="E243" s="43"/>
      <c r="F243" s="200"/>
      <c r="G243" s="32"/>
      <c r="H243" s="32"/>
      <c r="I243" s="50" t="str">
        <f t="shared" si="3"/>
        <v/>
      </c>
    </row>
    <row r="244" spans="1:9">
      <c r="A244" s="275" t="str">
        <f>IF(B244="","",DATE(IF(INT(B244)&gt;=4,予算!$L$1,予算!$L$2),INT(B244),ROUND(MOD(B244,1)*100,0)))</f>
        <v/>
      </c>
      <c r="B244" s="68"/>
      <c r="C244" s="43"/>
      <c r="D244" s="11" t="str">
        <f>IF(C244="","",VLOOKUP(C244,予算!$B$7:$C$66,2))</f>
        <v/>
      </c>
      <c r="E244" s="43"/>
      <c r="F244" s="200"/>
      <c r="G244" s="32"/>
      <c r="H244" s="32"/>
      <c r="I244" s="50" t="str">
        <f t="shared" si="3"/>
        <v/>
      </c>
    </row>
    <row r="245" spans="1:9">
      <c r="A245" s="275" t="str">
        <f>IF(B245="","",DATE(IF(INT(B245)&gt;=4,予算!$L$1,予算!$L$2),INT(B245),ROUND(MOD(B245,1)*100,0)))</f>
        <v/>
      </c>
      <c r="B245" s="68"/>
      <c r="C245" s="43"/>
      <c r="D245" s="11" t="str">
        <f>IF(C245="","",VLOOKUP(C245,予算!$B$7:$C$66,2))</f>
        <v/>
      </c>
      <c r="E245" s="43"/>
      <c r="F245" s="200"/>
      <c r="G245" s="32"/>
      <c r="H245" s="32"/>
      <c r="I245" s="50" t="str">
        <f t="shared" si="3"/>
        <v/>
      </c>
    </row>
    <row r="246" spans="1:9">
      <c r="A246" s="275" t="str">
        <f>IF(B246="","",DATE(IF(INT(B246)&gt;=4,予算!$L$1,予算!$L$2),INT(B246),ROUND(MOD(B246,1)*100,0)))</f>
        <v/>
      </c>
      <c r="B246" s="68"/>
      <c r="C246" s="43"/>
      <c r="D246" s="11" t="str">
        <f>IF(C246="","",VLOOKUP(C246,予算!$B$7:$C$66,2))</f>
        <v/>
      </c>
      <c r="E246" s="43"/>
      <c r="F246" s="200"/>
      <c r="G246" s="32"/>
      <c r="H246" s="32"/>
      <c r="I246" s="50" t="str">
        <f t="shared" si="3"/>
        <v/>
      </c>
    </row>
    <row r="247" spans="1:9">
      <c r="A247" s="275" t="str">
        <f>IF(B247="","",DATE(IF(INT(B247)&gt;=4,予算!$L$1,予算!$L$2),INT(B247),ROUND(MOD(B247,1)*100,0)))</f>
        <v/>
      </c>
      <c r="B247" s="68"/>
      <c r="C247" s="43"/>
      <c r="D247" s="11" t="str">
        <f>IF(C247="","",VLOOKUP(C247,予算!$B$7:$C$66,2))</f>
        <v/>
      </c>
      <c r="E247" s="43"/>
      <c r="F247" s="200"/>
      <c r="G247" s="32"/>
      <c r="H247" s="32"/>
      <c r="I247" s="50" t="str">
        <f t="shared" si="3"/>
        <v/>
      </c>
    </row>
    <row r="248" spans="1:9">
      <c r="A248" s="275" t="str">
        <f>IF(B248="","",DATE(IF(INT(B248)&gt;=4,予算!$L$1,予算!$L$2),INT(B248),ROUND(MOD(B248,1)*100,0)))</f>
        <v/>
      </c>
      <c r="B248" s="68"/>
      <c r="C248" s="43"/>
      <c r="D248" s="11" t="str">
        <f>IF(C248="","",VLOOKUP(C248,予算!$B$7:$C$66,2))</f>
        <v/>
      </c>
      <c r="E248" s="43"/>
      <c r="F248" s="200"/>
      <c r="G248" s="32"/>
      <c r="H248" s="32"/>
      <c r="I248" s="50" t="str">
        <f t="shared" si="3"/>
        <v/>
      </c>
    </row>
    <row r="249" spans="1:9">
      <c r="A249" s="275" t="str">
        <f>IF(B249="","",DATE(IF(INT(B249)&gt;=4,予算!$L$1,予算!$L$2),INT(B249),ROUND(MOD(B249,1)*100,0)))</f>
        <v/>
      </c>
      <c r="B249" s="68"/>
      <c r="C249" s="43"/>
      <c r="D249" s="11" t="str">
        <f>IF(C249="","",VLOOKUP(C249,予算!$B$7:$C$66,2))</f>
        <v/>
      </c>
      <c r="E249" s="43"/>
      <c r="F249" s="200"/>
      <c r="G249" s="32"/>
      <c r="H249" s="32"/>
      <c r="I249" s="50" t="str">
        <f t="shared" si="3"/>
        <v/>
      </c>
    </row>
    <row r="250" spans="1:9">
      <c r="A250" s="275" t="str">
        <f>IF(B250="","",DATE(IF(INT(B250)&gt;=4,予算!$L$1,予算!$L$2),INT(B250),ROUND(MOD(B250,1)*100,0)))</f>
        <v/>
      </c>
      <c r="B250" s="68"/>
      <c r="C250" s="43"/>
      <c r="D250" s="11" t="str">
        <f>IF(C250="","",VLOOKUP(C250,予算!$B$7:$C$66,2))</f>
        <v/>
      </c>
      <c r="E250" s="43"/>
      <c r="F250" s="200"/>
      <c r="G250" s="32"/>
      <c r="H250" s="32"/>
      <c r="I250" s="50" t="str">
        <f t="shared" si="3"/>
        <v/>
      </c>
    </row>
    <row r="251" spans="1:9">
      <c r="A251" s="275" t="str">
        <f>IF(B251="","",DATE(IF(INT(B251)&gt;=4,予算!$L$1,予算!$L$2),INT(B251),ROUND(MOD(B251,1)*100,0)))</f>
        <v/>
      </c>
      <c r="B251" s="68"/>
      <c r="C251" s="43"/>
      <c r="D251" s="11" t="str">
        <f>IF(C251="","",VLOOKUP(C251,予算!$B$7:$C$66,2))</f>
        <v/>
      </c>
      <c r="E251" s="43"/>
      <c r="F251" s="200"/>
      <c r="G251" s="32"/>
      <c r="H251" s="32"/>
      <c r="I251" s="50" t="str">
        <f t="shared" si="3"/>
        <v/>
      </c>
    </row>
    <row r="252" spans="1:9">
      <c r="A252" s="275" t="str">
        <f>IF(B252="","",DATE(IF(INT(B252)&gt;=4,予算!$L$1,予算!$L$2),INT(B252),ROUND(MOD(B252,1)*100,0)))</f>
        <v/>
      </c>
      <c r="B252" s="68"/>
      <c r="C252" s="43"/>
      <c r="D252" s="11" t="str">
        <f>IF(C252="","",VLOOKUP(C252,予算!$B$7:$C$66,2))</f>
        <v/>
      </c>
      <c r="E252" s="43"/>
      <c r="F252" s="200"/>
      <c r="G252" s="32"/>
      <c r="H252" s="32"/>
      <c r="I252" s="50" t="str">
        <f t="shared" si="3"/>
        <v/>
      </c>
    </row>
    <row r="253" spans="1:9">
      <c r="A253" s="275" t="str">
        <f>IF(B253="","",DATE(IF(INT(B253)&gt;=4,予算!$L$1,予算!$L$2),INT(B253),ROUND(MOD(B253,1)*100,0)))</f>
        <v/>
      </c>
      <c r="B253" s="68"/>
      <c r="C253" s="43"/>
      <c r="D253" s="11" t="str">
        <f>IF(C253="","",VLOOKUP(C253,予算!$B$7:$C$66,2))</f>
        <v/>
      </c>
      <c r="E253" s="43"/>
      <c r="F253" s="200"/>
      <c r="G253" s="32"/>
      <c r="H253" s="32"/>
      <c r="I253" s="50" t="str">
        <f t="shared" si="3"/>
        <v/>
      </c>
    </row>
    <row r="254" spans="1:9">
      <c r="A254" s="275" t="str">
        <f>IF(B254="","",DATE(IF(INT(B254)&gt;=4,予算!$L$1,予算!$L$2),INT(B254),ROUND(MOD(B254,1)*100,0)))</f>
        <v/>
      </c>
      <c r="B254" s="68"/>
      <c r="C254" s="43"/>
      <c r="D254" s="11" t="str">
        <f>IF(C254="","",VLOOKUP(C254,予算!$B$7:$C$66,2))</f>
        <v/>
      </c>
      <c r="E254" s="43"/>
      <c r="F254" s="200"/>
      <c r="G254" s="32"/>
      <c r="H254" s="32"/>
      <c r="I254" s="50" t="str">
        <f t="shared" si="3"/>
        <v/>
      </c>
    </row>
    <row r="255" spans="1:9">
      <c r="A255" s="275" t="str">
        <f>IF(B255="","",DATE(IF(INT(B255)&gt;=4,予算!$L$1,予算!$L$2),INT(B255),ROUND(MOD(B255,1)*100,0)))</f>
        <v/>
      </c>
      <c r="B255" s="68"/>
      <c r="C255" s="43"/>
      <c r="D255" s="11" t="str">
        <f>IF(C255="","",VLOOKUP(C255,予算!$B$7:$C$66,2))</f>
        <v/>
      </c>
      <c r="E255" s="43"/>
      <c r="F255" s="200"/>
      <c r="G255" s="32"/>
      <c r="H255" s="32"/>
      <c r="I255" s="50" t="str">
        <f t="shared" si="3"/>
        <v/>
      </c>
    </row>
    <row r="256" spans="1:9">
      <c r="A256" s="275" t="str">
        <f>IF(B256="","",DATE(IF(INT(B256)&gt;=4,予算!$L$1,予算!$L$2),INT(B256),ROUND(MOD(B256,1)*100,0)))</f>
        <v/>
      </c>
      <c r="B256" s="68"/>
      <c r="C256" s="43"/>
      <c r="D256" s="11" t="str">
        <f>IF(C256="","",VLOOKUP(C256,予算!$B$7:$C$66,2))</f>
        <v/>
      </c>
      <c r="E256" s="43"/>
      <c r="F256" s="200"/>
      <c r="G256" s="32"/>
      <c r="H256" s="32"/>
      <c r="I256" s="50" t="str">
        <f t="shared" si="3"/>
        <v/>
      </c>
    </row>
    <row r="257" spans="1:9">
      <c r="A257" s="275" t="str">
        <f>IF(B257="","",DATE(IF(INT(B257)&gt;=4,予算!$L$1,予算!$L$2),INT(B257),ROUND(MOD(B257,1)*100,0)))</f>
        <v/>
      </c>
      <c r="B257" s="68"/>
      <c r="C257" s="43"/>
      <c r="D257" s="11" t="str">
        <f>IF(C257="","",VLOOKUP(C257,予算!$B$7:$C$66,2))</f>
        <v/>
      </c>
      <c r="E257" s="43"/>
      <c r="F257" s="200"/>
      <c r="G257" s="32"/>
      <c r="H257" s="32"/>
      <c r="I257" s="50" t="str">
        <f t="shared" si="3"/>
        <v/>
      </c>
    </row>
    <row r="258" spans="1:9">
      <c r="A258" s="275" t="str">
        <f>IF(B258="","",DATE(IF(INT(B258)&gt;=4,予算!$L$1,予算!$L$2),INT(B258),ROUND(MOD(B258,1)*100,0)))</f>
        <v/>
      </c>
      <c r="B258" s="68"/>
      <c r="C258" s="43"/>
      <c r="D258" s="11" t="str">
        <f>IF(C258="","",VLOOKUP(C258,予算!$B$7:$C$66,2))</f>
        <v/>
      </c>
      <c r="E258" s="43"/>
      <c r="F258" s="200"/>
      <c r="G258" s="32"/>
      <c r="H258" s="32"/>
      <c r="I258" s="50" t="str">
        <f t="shared" si="3"/>
        <v/>
      </c>
    </row>
    <row r="259" spans="1:9">
      <c r="A259" s="275" t="str">
        <f>IF(B259="","",DATE(IF(INT(B259)&gt;=4,予算!$L$1,予算!$L$2),INT(B259),ROUND(MOD(B259,1)*100,0)))</f>
        <v/>
      </c>
      <c r="B259" s="68"/>
      <c r="C259" s="43"/>
      <c r="D259" s="11" t="str">
        <f>IF(C259="","",VLOOKUP(C259,予算!$B$7:$C$66,2))</f>
        <v/>
      </c>
      <c r="E259" s="43"/>
      <c r="F259" s="200"/>
      <c r="G259" s="32"/>
      <c r="H259" s="32"/>
      <c r="I259" s="50" t="str">
        <f t="shared" si="3"/>
        <v/>
      </c>
    </row>
    <row r="260" spans="1:9">
      <c r="A260" s="275" t="str">
        <f>IF(B260="","",DATE(IF(INT(B260)&gt;=4,予算!$L$1,予算!$L$2),INT(B260),ROUND(MOD(B260,1)*100,0)))</f>
        <v/>
      </c>
      <c r="B260" s="68"/>
      <c r="C260" s="43"/>
      <c r="D260" s="11" t="str">
        <f>IF(C260="","",VLOOKUP(C260,予算!$B$7:$C$66,2))</f>
        <v/>
      </c>
      <c r="E260" s="43"/>
      <c r="F260" s="200"/>
      <c r="G260" s="32"/>
      <c r="H260" s="32"/>
      <c r="I260" s="50" t="str">
        <f t="shared" si="3"/>
        <v/>
      </c>
    </row>
    <row r="261" spans="1:9">
      <c r="A261" s="275" t="str">
        <f>IF(B261="","",DATE(IF(INT(B261)&gt;=4,予算!$L$1,予算!$L$2),INT(B261),ROUND(MOD(B261,1)*100,0)))</f>
        <v/>
      </c>
      <c r="B261" s="68"/>
      <c r="C261" s="43"/>
      <c r="D261" s="11" t="str">
        <f>IF(C261="","",VLOOKUP(C261,予算!$B$7:$C$66,2))</f>
        <v/>
      </c>
      <c r="E261" s="43"/>
      <c r="F261" s="200"/>
      <c r="G261" s="32"/>
      <c r="H261" s="32"/>
      <c r="I261" s="50" t="str">
        <f t="shared" si="3"/>
        <v/>
      </c>
    </row>
    <row r="262" spans="1:9">
      <c r="A262" s="275" t="str">
        <f>IF(B262="","",DATE(IF(INT(B262)&gt;=4,予算!$L$1,予算!$L$2),INT(B262),ROUND(MOD(B262,1)*100,0)))</f>
        <v/>
      </c>
      <c r="B262" s="68"/>
      <c r="C262" s="43"/>
      <c r="D262" s="11" t="str">
        <f>IF(C262="","",VLOOKUP(C262,予算!$B$7:$C$66,2))</f>
        <v/>
      </c>
      <c r="E262" s="43"/>
      <c r="F262" s="200"/>
      <c r="G262" s="32"/>
      <c r="H262" s="32"/>
      <c r="I262" s="50" t="str">
        <f t="shared" si="3"/>
        <v/>
      </c>
    </row>
    <row r="263" spans="1:9">
      <c r="A263" s="275" t="str">
        <f>IF(B263="","",DATE(IF(INT(B263)&gt;=4,予算!$L$1,予算!$L$2),INT(B263),ROUND(MOD(B263,1)*100,0)))</f>
        <v/>
      </c>
      <c r="B263" s="68"/>
      <c r="C263" s="43"/>
      <c r="D263" s="11" t="str">
        <f>IF(C263="","",VLOOKUP(C263,予算!$B$7:$C$66,2))</f>
        <v/>
      </c>
      <c r="E263" s="43"/>
      <c r="F263" s="200"/>
      <c r="G263" s="32"/>
      <c r="H263" s="32"/>
      <c r="I263" s="50" t="str">
        <f t="shared" si="3"/>
        <v/>
      </c>
    </row>
    <row r="264" spans="1:9">
      <c r="A264" s="275" t="str">
        <f>IF(B264="","",DATE(IF(INT(B264)&gt;=4,予算!$L$1,予算!$L$2),INT(B264),ROUND(MOD(B264,1)*100,0)))</f>
        <v/>
      </c>
      <c r="B264" s="68"/>
      <c r="C264" s="43"/>
      <c r="D264" s="11" t="str">
        <f>IF(C264="","",VLOOKUP(C264,予算!$B$7:$C$66,2))</f>
        <v/>
      </c>
      <c r="E264" s="43"/>
      <c r="F264" s="200"/>
      <c r="G264" s="32"/>
      <c r="H264" s="32"/>
      <c r="I264" s="50" t="str">
        <f t="shared" si="3"/>
        <v/>
      </c>
    </row>
    <row r="265" spans="1:9">
      <c r="A265" s="275" t="str">
        <f>IF(B265="","",DATE(IF(INT(B265)&gt;=4,予算!$L$1,予算!$L$2),INT(B265),ROUND(MOD(B265,1)*100,0)))</f>
        <v/>
      </c>
      <c r="B265" s="68"/>
      <c r="C265" s="43"/>
      <c r="D265" s="11" t="str">
        <f>IF(C265="","",VLOOKUP(C265,予算!$B$7:$C$66,2))</f>
        <v/>
      </c>
      <c r="E265" s="43"/>
      <c r="F265" s="200"/>
      <c r="G265" s="32"/>
      <c r="H265" s="32"/>
      <c r="I265" s="50" t="str">
        <f t="shared" ref="I265:I328" si="4">IF(C265="","",I264+G265-H265)</f>
        <v/>
      </c>
    </row>
    <row r="266" spans="1:9">
      <c r="A266" s="275" t="str">
        <f>IF(B266="","",DATE(IF(INT(B266)&gt;=4,予算!$L$1,予算!$L$2),INT(B266),ROUND(MOD(B266,1)*100,0)))</f>
        <v/>
      </c>
      <c r="B266" s="68"/>
      <c r="C266" s="43"/>
      <c r="D266" s="11" t="str">
        <f>IF(C266="","",VLOOKUP(C266,予算!$B$7:$C$66,2))</f>
        <v/>
      </c>
      <c r="E266" s="43"/>
      <c r="F266" s="200"/>
      <c r="G266" s="32"/>
      <c r="H266" s="32"/>
      <c r="I266" s="50" t="str">
        <f t="shared" si="4"/>
        <v/>
      </c>
    </row>
    <row r="267" spans="1:9">
      <c r="A267" s="275" t="str">
        <f>IF(B267="","",DATE(IF(INT(B267)&gt;=4,予算!$L$1,予算!$L$2),INT(B267),ROUND(MOD(B267,1)*100,0)))</f>
        <v/>
      </c>
      <c r="B267" s="68"/>
      <c r="C267" s="43"/>
      <c r="D267" s="11" t="str">
        <f>IF(C267="","",VLOOKUP(C267,予算!$B$7:$C$66,2))</f>
        <v/>
      </c>
      <c r="E267" s="43"/>
      <c r="F267" s="200"/>
      <c r="G267" s="32"/>
      <c r="H267" s="32"/>
      <c r="I267" s="50" t="str">
        <f t="shared" si="4"/>
        <v/>
      </c>
    </row>
    <row r="268" spans="1:9">
      <c r="A268" s="275" t="str">
        <f>IF(B268="","",DATE(IF(INT(B268)&gt;=4,予算!$L$1,予算!$L$2),INT(B268),ROUND(MOD(B268,1)*100,0)))</f>
        <v/>
      </c>
      <c r="B268" s="68"/>
      <c r="C268" s="43"/>
      <c r="D268" s="11" t="str">
        <f>IF(C268="","",VLOOKUP(C268,予算!$B$7:$C$66,2))</f>
        <v/>
      </c>
      <c r="E268" s="43"/>
      <c r="F268" s="200"/>
      <c r="G268" s="32"/>
      <c r="H268" s="32"/>
      <c r="I268" s="50" t="str">
        <f t="shared" si="4"/>
        <v/>
      </c>
    </row>
    <row r="269" spans="1:9">
      <c r="A269" s="275" t="str">
        <f>IF(B269="","",DATE(IF(INT(B269)&gt;=4,予算!$L$1,予算!$L$2),INT(B269),ROUND(MOD(B269,1)*100,0)))</f>
        <v/>
      </c>
      <c r="B269" s="68"/>
      <c r="C269" s="43"/>
      <c r="D269" s="11" t="str">
        <f>IF(C269="","",VLOOKUP(C269,予算!$B$7:$C$66,2))</f>
        <v/>
      </c>
      <c r="E269" s="43"/>
      <c r="F269" s="200"/>
      <c r="G269" s="32"/>
      <c r="H269" s="32"/>
      <c r="I269" s="50" t="str">
        <f t="shared" si="4"/>
        <v/>
      </c>
    </row>
    <row r="270" spans="1:9">
      <c r="A270" s="275" t="str">
        <f>IF(B270="","",DATE(IF(INT(B270)&gt;=4,予算!$L$1,予算!$L$2),INT(B270),ROUND(MOD(B270,1)*100,0)))</f>
        <v/>
      </c>
      <c r="B270" s="68"/>
      <c r="C270" s="43"/>
      <c r="D270" s="11" t="str">
        <f>IF(C270="","",VLOOKUP(C270,予算!$B$7:$C$66,2))</f>
        <v/>
      </c>
      <c r="E270" s="43"/>
      <c r="F270" s="200"/>
      <c r="G270" s="32"/>
      <c r="H270" s="32"/>
      <c r="I270" s="50" t="str">
        <f t="shared" si="4"/>
        <v/>
      </c>
    </row>
    <row r="271" spans="1:9">
      <c r="A271" s="275" t="str">
        <f>IF(B271="","",DATE(IF(INT(B271)&gt;=4,予算!$L$1,予算!$L$2),INT(B271),ROUND(MOD(B271,1)*100,0)))</f>
        <v/>
      </c>
      <c r="B271" s="68"/>
      <c r="C271" s="43"/>
      <c r="D271" s="11" t="str">
        <f>IF(C271="","",VLOOKUP(C271,予算!$B$7:$C$66,2))</f>
        <v/>
      </c>
      <c r="E271" s="43"/>
      <c r="F271" s="200"/>
      <c r="G271" s="32"/>
      <c r="H271" s="32"/>
      <c r="I271" s="50" t="str">
        <f t="shared" si="4"/>
        <v/>
      </c>
    </row>
    <row r="272" spans="1:9">
      <c r="A272" s="275" t="str">
        <f>IF(B272="","",DATE(IF(INT(B272)&gt;=4,予算!$L$1,予算!$L$2),INT(B272),ROUND(MOD(B272,1)*100,0)))</f>
        <v/>
      </c>
      <c r="B272" s="68"/>
      <c r="C272" s="43"/>
      <c r="D272" s="11" t="str">
        <f>IF(C272="","",VLOOKUP(C272,予算!$B$7:$C$66,2))</f>
        <v/>
      </c>
      <c r="E272" s="43"/>
      <c r="F272" s="200"/>
      <c r="G272" s="32"/>
      <c r="H272" s="32"/>
      <c r="I272" s="50" t="str">
        <f t="shared" si="4"/>
        <v/>
      </c>
    </row>
    <row r="273" spans="1:9">
      <c r="A273" s="275" t="str">
        <f>IF(B273="","",DATE(IF(INT(B273)&gt;=4,予算!$L$1,予算!$L$2),INT(B273),ROUND(MOD(B273,1)*100,0)))</f>
        <v/>
      </c>
      <c r="B273" s="68"/>
      <c r="C273" s="43"/>
      <c r="D273" s="11" t="str">
        <f>IF(C273="","",VLOOKUP(C273,予算!$B$7:$C$66,2))</f>
        <v/>
      </c>
      <c r="E273" s="43"/>
      <c r="F273" s="200"/>
      <c r="G273" s="32"/>
      <c r="H273" s="32"/>
      <c r="I273" s="50" t="str">
        <f t="shared" si="4"/>
        <v/>
      </c>
    </row>
    <row r="274" spans="1:9">
      <c r="A274" s="275" t="str">
        <f>IF(B274="","",DATE(IF(INT(B274)&gt;=4,予算!$L$1,予算!$L$2),INT(B274),ROUND(MOD(B274,1)*100,0)))</f>
        <v/>
      </c>
      <c r="B274" s="68"/>
      <c r="C274" s="43"/>
      <c r="D274" s="11" t="str">
        <f>IF(C274="","",VLOOKUP(C274,予算!$B$7:$C$66,2))</f>
        <v/>
      </c>
      <c r="E274" s="43"/>
      <c r="F274" s="200"/>
      <c r="G274" s="32"/>
      <c r="H274" s="32"/>
      <c r="I274" s="50" t="str">
        <f t="shared" si="4"/>
        <v/>
      </c>
    </row>
    <row r="275" spans="1:9">
      <c r="A275" s="275" t="str">
        <f>IF(B275="","",DATE(IF(INT(B275)&gt;=4,予算!$L$1,予算!$L$2),INT(B275),ROUND(MOD(B275,1)*100,0)))</f>
        <v/>
      </c>
      <c r="B275" s="68"/>
      <c r="C275" s="43"/>
      <c r="D275" s="11" t="str">
        <f>IF(C275="","",VLOOKUP(C275,予算!$B$7:$C$66,2))</f>
        <v/>
      </c>
      <c r="E275" s="43"/>
      <c r="F275" s="200"/>
      <c r="G275" s="32"/>
      <c r="H275" s="32"/>
      <c r="I275" s="50" t="str">
        <f t="shared" si="4"/>
        <v/>
      </c>
    </row>
    <row r="276" spans="1:9">
      <c r="A276" s="275" t="str">
        <f>IF(B276="","",DATE(IF(INT(B276)&gt;=4,予算!$L$1,予算!$L$2),INT(B276),ROUND(MOD(B276,1)*100,0)))</f>
        <v/>
      </c>
      <c r="B276" s="68"/>
      <c r="C276" s="43"/>
      <c r="D276" s="11" t="str">
        <f>IF(C276="","",VLOOKUP(C276,予算!$B$7:$C$66,2))</f>
        <v/>
      </c>
      <c r="E276" s="43"/>
      <c r="F276" s="200"/>
      <c r="G276" s="32"/>
      <c r="H276" s="32"/>
      <c r="I276" s="50" t="str">
        <f t="shared" si="4"/>
        <v/>
      </c>
    </row>
    <row r="277" spans="1:9">
      <c r="A277" s="275" t="str">
        <f>IF(B277="","",DATE(IF(INT(B277)&gt;=4,予算!$L$1,予算!$L$2),INT(B277),ROUND(MOD(B277,1)*100,0)))</f>
        <v/>
      </c>
      <c r="B277" s="68"/>
      <c r="C277" s="43"/>
      <c r="D277" s="11" t="str">
        <f>IF(C277="","",VLOOKUP(C277,予算!$B$7:$C$66,2))</f>
        <v/>
      </c>
      <c r="E277" s="43"/>
      <c r="F277" s="200"/>
      <c r="G277" s="32"/>
      <c r="H277" s="32"/>
      <c r="I277" s="50" t="str">
        <f t="shared" si="4"/>
        <v/>
      </c>
    </row>
    <row r="278" spans="1:9">
      <c r="A278" s="275" t="str">
        <f>IF(B278="","",DATE(IF(INT(B278)&gt;=4,予算!$L$1,予算!$L$2),INT(B278),ROUND(MOD(B278,1)*100,0)))</f>
        <v/>
      </c>
      <c r="B278" s="68"/>
      <c r="C278" s="43"/>
      <c r="D278" s="11" t="str">
        <f>IF(C278="","",VLOOKUP(C278,予算!$B$7:$C$66,2))</f>
        <v/>
      </c>
      <c r="E278" s="43"/>
      <c r="F278" s="200"/>
      <c r="G278" s="32"/>
      <c r="H278" s="32"/>
      <c r="I278" s="50" t="str">
        <f t="shared" si="4"/>
        <v/>
      </c>
    </row>
    <row r="279" spans="1:9">
      <c r="A279" s="275" t="str">
        <f>IF(B279="","",DATE(IF(INT(B279)&gt;=4,予算!$L$1,予算!$L$2),INT(B279),ROUND(MOD(B279,1)*100,0)))</f>
        <v/>
      </c>
      <c r="B279" s="68"/>
      <c r="C279" s="43"/>
      <c r="D279" s="11" t="str">
        <f>IF(C279="","",VLOOKUP(C279,予算!$B$7:$C$66,2))</f>
        <v/>
      </c>
      <c r="E279" s="43"/>
      <c r="F279" s="200"/>
      <c r="G279" s="32"/>
      <c r="H279" s="32"/>
      <c r="I279" s="50" t="str">
        <f t="shared" si="4"/>
        <v/>
      </c>
    </row>
    <row r="280" spans="1:9">
      <c r="A280" s="275" t="str">
        <f>IF(B280="","",DATE(IF(INT(B280)&gt;=4,予算!$L$1,予算!$L$2),INT(B280),ROUND(MOD(B280,1)*100,0)))</f>
        <v/>
      </c>
      <c r="B280" s="68"/>
      <c r="C280" s="43"/>
      <c r="D280" s="11" t="str">
        <f>IF(C280="","",VLOOKUP(C280,予算!$B$7:$C$66,2))</f>
        <v/>
      </c>
      <c r="E280" s="43"/>
      <c r="F280" s="200"/>
      <c r="G280" s="32"/>
      <c r="H280" s="32"/>
      <c r="I280" s="50" t="str">
        <f t="shared" si="4"/>
        <v/>
      </c>
    </row>
    <row r="281" spans="1:9">
      <c r="A281" s="275" t="str">
        <f>IF(B281="","",DATE(IF(INT(B281)&gt;=4,予算!$L$1,予算!$L$2),INT(B281),ROUND(MOD(B281,1)*100,0)))</f>
        <v/>
      </c>
      <c r="B281" s="68"/>
      <c r="C281" s="43"/>
      <c r="D281" s="11" t="str">
        <f>IF(C281="","",VLOOKUP(C281,予算!$B$7:$C$66,2))</f>
        <v/>
      </c>
      <c r="E281" s="43"/>
      <c r="F281" s="200"/>
      <c r="G281" s="32"/>
      <c r="H281" s="32"/>
      <c r="I281" s="50" t="str">
        <f t="shared" si="4"/>
        <v/>
      </c>
    </row>
    <row r="282" spans="1:9">
      <c r="A282" s="275" t="str">
        <f>IF(B282="","",DATE(IF(INT(B282)&gt;=4,予算!$L$1,予算!$L$2),INT(B282),ROUND(MOD(B282,1)*100,0)))</f>
        <v/>
      </c>
      <c r="B282" s="68"/>
      <c r="C282" s="43"/>
      <c r="D282" s="11" t="str">
        <f>IF(C282="","",VLOOKUP(C282,予算!$B$7:$C$66,2))</f>
        <v/>
      </c>
      <c r="E282" s="43"/>
      <c r="F282" s="200"/>
      <c r="G282" s="32"/>
      <c r="H282" s="32"/>
      <c r="I282" s="50" t="str">
        <f t="shared" si="4"/>
        <v/>
      </c>
    </row>
    <row r="283" spans="1:9">
      <c r="A283" s="275" t="str">
        <f>IF(B283="","",DATE(IF(INT(B283)&gt;=4,予算!$L$1,予算!$L$2),INT(B283),ROUND(MOD(B283,1)*100,0)))</f>
        <v/>
      </c>
      <c r="B283" s="68"/>
      <c r="C283" s="43"/>
      <c r="D283" s="11" t="str">
        <f>IF(C283="","",VLOOKUP(C283,予算!$B$7:$C$66,2))</f>
        <v/>
      </c>
      <c r="E283" s="43"/>
      <c r="F283" s="200"/>
      <c r="G283" s="32"/>
      <c r="H283" s="32"/>
      <c r="I283" s="50" t="str">
        <f t="shared" si="4"/>
        <v/>
      </c>
    </row>
    <row r="284" spans="1:9">
      <c r="A284" s="275" t="str">
        <f>IF(B284="","",DATE(IF(INT(B284)&gt;=4,予算!$L$1,予算!$L$2),INT(B284),ROUND(MOD(B284,1)*100,0)))</f>
        <v/>
      </c>
      <c r="B284" s="68"/>
      <c r="C284" s="43"/>
      <c r="D284" s="11" t="str">
        <f>IF(C284="","",VLOOKUP(C284,予算!$B$7:$C$66,2))</f>
        <v/>
      </c>
      <c r="E284" s="43"/>
      <c r="F284" s="200"/>
      <c r="G284" s="32"/>
      <c r="H284" s="32"/>
      <c r="I284" s="50" t="str">
        <f t="shared" si="4"/>
        <v/>
      </c>
    </row>
    <row r="285" spans="1:9">
      <c r="A285" s="275" t="str">
        <f>IF(B285="","",DATE(IF(INT(B285)&gt;=4,予算!$L$1,予算!$L$2),INT(B285),ROUND(MOD(B285,1)*100,0)))</f>
        <v/>
      </c>
      <c r="B285" s="68"/>
      <c r="C285" s="43"/>
      <c r="D285" s="11" t="str">
        <f>IF(C285="","",VLOOKUP(C285,予算!$B$7:$C$66,2))</f>
        <v/>
      </c>
      <c r="E285" s="43"/>
      <c r="F285" s="200"/>
      <c r="G285" s="32"/>
      <c r="H285" s="32"/>
      <c r="I285" s="50" t="str">
        <f t="shared" si="4"/>
        <v/>
      </c>
    </row>
    <row r="286" spans="1:9">
      <c r="A286" s="275" t="str">
        <f>IF(B286="","",DATE(IF(INT(B286)&gt;=4,予算!$L$1,予算!$L$2),INT(B286),ROUND(MOD(B286,1)*100,0)))</f>
        <v/>
      </c>
      <c r="B286" s="68"/>
      <c r="C286" s="43"/>
      <c r="D286" s="11" t="str">
        <f>IF(C286="","",VLOOKUP(C286,予算!$B$7:$C$66,2))</f>
        <v/>
      </c>
      <c r="E286" s="43"/>
      <c r="F286" s="200"/>
      <c r="G286" s="32"/>
      <c r="H286" s="32"/>
      <c r="I286" s="50" t="str">
        <f t="shared" si="4"/>
        <v/>
      </c>
    </row>
    <row r="287" spans="1:9">
      <c r="A287" s="275" t="str">
        <f>IF(B287="","",DATE(IF(INT(B287)&gt;=4,予算!$L$1,予算!$L$2),INT(B287),ROUND(MOD(B287,1)*100,0)))</f>
        <v/>
      </c>
      <c r="B287" s="68"/>
      <c r="C287" s="43"/>
      <c r="D287" s="11" t="str">
        <f>IF(C287="","",VLOOKUP(C287,予算!$B$7:$C$66,2))</f>
        <v/>
      </c>
      <c r="E287" s="43"/>
      <c r="F287" s="200"/>
      <c r="G287" s="32"/>
      <c r="H287" s="32"/>
      <c r="I287" s="50" t="str">
        <f t="shared" si="4"/>
        <v/>
      </c>
    </row>
    <row r="288" spans="1:9">
      <c r="A288" s="275" t="str">
        <f>IF(B288="","",DATE(IF(INT(B288)&gt;=4,予算!$L$1,予算!$L$2),INT(B288),ROUND(MOD(B288,1)*100,0)))</f>
        <v/>
      </c>
      <c r="B288" s="68"/>
      <c r="C288" s="43"/>
      <c r="D288" s="11" t="str">
        <f>IF(C288="","",VLOOKUP(C288,予算!$B$7:$C$66,2))</f>
        <v/>
      </c>
      <c r="E288" s="43"/>
      <c r="F288" s="200"/>
      <c r="G288" s="32"/>
      <c r="H288" s="32"/>
      <c r="I288" s="50" t="str">
        <f t="shared" si="4"/>
        <v/>
      </c>
    </row>
    <row r="289" spans="1:9">
      <c r="A289" s="275" t="str">
        <f>IF(B289="","",DATE(IF(INT(B289)&gt;=4,予算!$L$1,予算!$L$2),INT(B289),ROUND(MOD(B289,1)*100,0)))</f>
        <v/>
      </c>
      <c r="B289" s="68"/>
      <c r="C289" s="43"/>
      <c r="D289" s="11" t="str">
        <f>IF(C289="","",VLOOKUP(C289,予算!$B$7:$C$66,2))</f>
        <v/>
      </c>
      <c r="E289" s="43"/>
      <c r="F289" s="200"/>
      <c r="G289" s="32"/>
      <c r="H289" s="32"/>
      <c r="I289" s="50" t="str">
        <f t="shared" si="4"/>
        <v/>
      </c>
    </row>
    <row r="290" spans="1:9">
      <c r="A290" s="275" t="str">
        <f>IF(B290="","",DATE(IF(INT(B290)&gt;=4,予算!$L$1,予算!$L$2),INT(B290),ROUND(MOD(B290,1)*100,0)))</f>
        <v/>
      </c>
      <c r="B290" s="68"/>
      <c r="C290" s="43"/>
      <c r="D290" s="11" t="str">
        <f>IF(C290="","",VLOOKUP(C290,予算!$B$7:$C$66,2))</f>
        <v/>
      </c>
      <c r="E290" s="43"/>
      <c r="F290" s="200"/>
      <c r="G290" s="32"/>
      <c r="H290" s="32"/>
      <c r="I290" s="50" t="str">
        <f t="shared" si="4"/>
        <v/>
      </c>
    </row>
    <row r="291" spans="1:9">
      <c r="A291" s="275" t="str">
        <f>IF(B291="","",DATE(IF(INT(B291)&gt;=4,予算!$L$1,予算!$L$2),INT(B291),ROUND(MOD(B291,1)*100,0)))</f>
        <v/>
      </c>
      <c r="B291" s="68"/>
      <c r="C291" s="43"/>
      <c r="D291" s="11" t="str">
        <f>IF(C291="","",VLOOKUP(C291,予算!$B$7:$C$66,2))</f>
        <v/>
      </c>
      <c r="E291" s="43"/>
      <c r="F291" s="200"/>
      <c r="G291" s="32"/>
      <c r="H291" s="32"/>
      <c r="I291" s="50" t="str">
        <f t="shared" si="4"/>
        <v/>
      </c>
    </row>
    <row r="292" spans="1:9">
      <c r="A292" s="275" t="str">
        <f>IF(B292="","",DATE(IF(INT(B292)&gt;=4,予算!$L$1,予算!$L$2),INT(B292),ROUND(MOD(B292,1)*100,0)))</f>
        <v/>
      </c>
      <c r="B292" s="68"/>
      <c r="C292" s="43"/>
      <c r="D292" s="11" t="str">
        <f>IF(C292="","",VLOOKUP(C292,予算!$B$7:$C$66,2))</f>
        <v/>
      </c>
      <c r="E292" s="43"/>
      <c r="F292" s="200"/>
      <c r="G292" s="32"/>
      <c r="H292" s="32"/>
      <c r="I292" s="50" t="str">
        <f t="shared" si="4"/>
        <v/>
      </c>
    </row>
    <row r="293" spans="1:9">
      <c r="A293" s="275" t="str">
        <f>IF(B293="","",DATE(IF(INT(B293)&gt;=4,予算!$L$1,予算!$L$2),INT(B293),ROUND(MOD(B293,1)*100,0)))</f>
        <v/>
      </c>
      <c r="B293" s="68"/>
      <c r="C293" s="43"/>
      <c r="D293" s="11" t="str">
        <f>IF(C293="","",VLOOKUP(C293,予算!$B$7:$C$66,2))</f>
        <v/>
      </c>
      <c r="E293" s="43"/>
      <c r="F293" s="200"/>
      <c r="G293" s="32"/>
      <c r="H293" s="32"/>
      <c r="I293" s="50" t="str">
        <f t="shared" si="4"/>
        <v/>
      </c>
    </row>
    <row r="294" spans="1:9">
      <c r="A294" s="275" t="str">
        <f>IF(B294="","",DATE(IF(INT(B294)&gt;=4,予算!$L$1,予算!$L$2),INT(B294),ROUND(MOD(B294,1)*100,0)))</f>
        <v/>
      </c>
      <c r="B294" s="68"/>
      <c r="C294" s="43"/>
      <c r="D294" s="11" t="str">
        <f>IF(C294="","",VLOOKUP(C294,予算!$B$7:$C$66,2))</f>
        <v/>
      </c>
      <c r="E294" s="43"/>
      <c r="F294" s="200"/>
      <c r="G294" s="32"/>
      <c r="H294" s="32"/>
      <c r="I294" s="50" t="str">
        <f t="shared" si="4"/>
        <v/>
      </c>
    </row>
    <row r="295" spans="1:9">
      <c r="A295" s="275" t="str">
        <f>IF(B295="","",DATE(IF(INT(B295)&gt;=4,予算!$L$1,予算!$L$2),INT(B295),ROUND(MOD(B295,1)*100,0)))</f>
        <v/>
      </c>
      <c r="B295" s="68"/>
      <c r="C295" s="43"/>
      <c r="D295" s="11" t="str">
        <f>IF(C295="","",VLOOKUP(C295,予算!$B$7:$C$66,2))</f>
        <v/>
      </c>
      <c r="E295" s="43"/>
      <c r="F295" s="200"/>
      <c r="G295" s="32"/>
      <c r="H295" s="32"/>
      <c r="I295" s="50" t="str">
        <f t="shared" si="4"/>
        <v/>
      </c>
    </row>
    <row r="296" spans="1:9">
      <c r="A296" s="275" t="str">
        <f>IF(B296="","",DATE(IF(INT(B296)&gt;=4,予算!$L$1,予算!$L$2),INT(B296),ROUND(MOD(B296,1)*100,0)))</f>
        <v/>
      </c>
      <c r="B296" s="68"/>
      <c r="C296" s="43"/>
      <c r="D296" s="11" t="str">
        <f>IF(C296="","",VLOOKUP(C296,予算!$B$7:$C$66,2))</f>
        <v/>
      </c>
      <c r="E296" s="43"/>
      <c r="F296" s="200"/>
      <c r="G296" s="32"/>
      <c r="H296" s="32"/>
      <c r="I296" s="50" t="str">
        <f t="shared" si="4"/>
        <v/>
      </c>
    </row>
    <row r="297" spans="1:9">
      <c r="A297" s="275" t="str">
        <f>IF(B297="","",DATE(IF(INT(B297)&gt;=4,予算!$L$1,予算!$L$2),INT(B297),ROUND(MOD(B297,1)*100,0)))</f>
        <v/>
      </c>
      <c r="B297" s="68"/>
      <c r="C297" s="43"/>
      <c r="D297" s="11" t="str">
        <f>IF(C297="","",VLOOKUP(C297,予算!$B$7:$C$66,2))</f>
        <v/>
      </c>
      <c r="E297" s="43"/>
      <c r="F297" s="200"/>
      <c r="G297" s="32"/>
      <c r="H297" s="32"/>
      <c r="I297" s="50" t="str">
        <f t="shared" si="4"/>
        <v/>
      </c>
    </row>
    <row r="298" spans="1:9">
      <c r="A298" s="275" t="str">
        <f>IF(B298="","",DATE(IF(INT(B298)&gt;=4,予算!$L$1,予算!$L$2),INT(B298),ROUND(MOD(B298,1)*100,0)))</f>
        <v/>
      </c>
      <c r="B298" s="68"/>
      <c r="C298" s="43"/>
      <c r="D298" s="11" t="str">
        <f>IF(C298="","",VLOOKUP(C298,予算!$B$7:$C$66,2))</f>
        <v/>
      </c>
      <c r="E298" s="43"/>
      <c r="F298" s="200"/>
      <c r="G298" s="32"/>
      <c r="H298" s="32"/>
      <c r="I298" s="50" t="str">
        <f t="shared" si="4"/>
        <v/>
      </c>
    </row>
    <row r="299" spans="1:9">
      <c r="A299" s="275" t="str">
        <f>IF(B299="","",DATE(IF(INT(B299)&gt;=4,予算!$L$1,予算!$L$2),INT(B299),ROUND(MOD(B299,1)*100,0)))</f>
        <v/>
      </c>
      <c r="B299" s="68"/>
      <c r="C299" s="43"/>
      <c r="D299" s="11" t="str">
        <f>IF(C299="","",VLOOKUP(C299,予算!$B$7:$C$66,2))</f>
        <v/>
      </c>
      <c r="E299" s="43"/>
      <c r="F299" s="200"/>
      <c r="G299" s="32"/>
      <c r="H299" s="32"/>
      <c r="I299" s="50" t="str">
        <f t="shared" si="4"/>
        <v/>
      </c>
    </row>
    <row r="300" spans="1:9">
      <c r="A300" s="275" t="str">
        <f>IF(B300="","",DATE(IF(INT(B300)&gt;=4,予算!$L$1,予算!$L$2),INT(B300),ROUND(MOD(B300,1)*100,0)))</f>
        <v/>
      </c>
      <c r="B300" s="68"/>
      <c r="C300" s="43"/>
      <c r="D300" s="11" t="str">
        <f>IF(C300="","",VLOOKUP(C300,予算!$B$7:$C$66,2))</f>
        <v/>
      </c>
      <c r="E300" s="43"/>
      <c r="F300" s="200"/>
      <c r="G300" s="32"/>
      <c r="H300" s="32"/>
      <c r="I300" s="50" t="str">
        <f t="shared" si="4"/>
        <v/>
      </c>
    </row>
    <row r="301" spans="1:9">
      <c r="A301" s="275" t="str">
        <f>IF(B301="","",DATE(IF(INT(B301)&gt;=4,予算!$L$1,予算!$L$2),INT(B301),ROUND(MOD(B301,1)*100,0)))</f>
        <v/>
      </c>
      <c r="B301" s="68"/>
      <c r="C301" s="43"/>
      <c r="D301" s="11" t="str">
        <f>IF(C301="","",VLOOKUP(C301,予算!$B$7:$C$66,2))</f>
        <v/>
      </c>
      <c r="E301" s="43"/>
      <c r="F301" s="200"/>
      <c r="G301" s="32"/>
      <c r="H301" s="32"/>
      <c r="I301" s="50" t="str">
        <f t="shared" si="4"/>
        <v/>
      </c>
    </row>
    <row r="302" spans="1:9">
      <c r="A302" s="275" t="str">
        <f>IF(B302="","",DATE(IF(INT(B302)&gt;=4,予算!$L$1,予算!$L$2),INT(B302),ROUND(MOD(B302,1)*100,0)))</f>
        <v/>
      </c>
      <c r="B302" s="68"/>
      <c r="C302" s="43"/>
      <c r="D302" s="11" t="str">
        <f>IF(C302="","",VLOOKUP(C302,予算!$B$7:$C$66,2))</f>
        <v/>
      </c>
      <c r="E302" s="43"/>
      <c r="F302" s="200"/>
      <c r="G302" s="32"/>
      <c r="H302" s="32"/>
      <c r="I302" s="50" t="str">
        <f t="shared" si="4"/>
        <v/>
      </c>
    </row>
    <row r="303" spans="1:9">
      <c r="A303" s="275" t="str">
        <f>IF(B303="","",DATE(IF(INT(B303)&gt;=4,予算!$L$1,予算!$L$2),INT(B303),ROUND(MOD(B303,1)*100,0)))</f>
        <v/>
      </c>
      <c r="B303" s="68"/>
      <c r="C303" s="43"/>
      <c r="D303" s="11" t="str">
        <f>IF(C303="","",VLOOKUP(C303,予算!$B$7:$C$66,2))</f>
        <v/>
      </c>
      <c r="E303" s="43"/>
      <c r="F303" s="200"/>
      <c r="G303" s="32"/>
      <c r="H303" s="32"/>
      <c r="I303" s="50" t="str">
        <f t="shared" si="4"/>
        <v/>
      </c>
    </row>
    <row r="304" spans="1:9">
      <c r="A304" s="275" t="str">
        <f>IF(B304="","",DATE(IF(INT(B304)&gt;=4,予算!$L$1,予算!$L$2),INT(B304),ROUND(MOD(B304,1)*100,0)))</f>
        <v/>
      </c>
      <c r="B304" s="68"/>
      <c r="C304" s="43"/>
      <c r="D304" s="11" t="str">
        <f>IF(C304="","",VLOOKUP(C304,予算!$B$7:$C$66,2))</f>
        <v/>
      </c>
      <c r="E304" s="43"/>
      <c r="F304" s="200"/>
      <c r="G304" s="32"/>
      <c r="H304" s="32"/>
      <c r="I304" s="50" t="str">
        <f t="shared" si="4"/>
        <v/>
      </c>
    </row>
    <row r="305" spans="1:9">
      <c r="A305" s="275" t="str">
        <f>IF(B305="","",DATE(IF(INT(B305)&gt;=4,予算!$L$1,予算!$L$2),INT(B305),ROUND(MOD(B305,1)*100,0)))</f>
        <v/>
      </c>
      <c r="B305" s="68"/>
      <c r="C305" s="43"/>
      <c r="D305" s="11" t="str">
        <f>IF(C305="","",VLOOKUP(C305,予算!$B$7:$C$66,2))</f>
        <v/>
      </c>
      <c r="E305" s="43"/>
      <c r="F305" s="200"/>
      <c r="G305" s="32"/>
      <c r="H305" s="32"/>
      <c r="I305" s="50" t="str">
        <f t="shared" si="4"/>
        <v/>
      </c>
    </row>
    <row r="306" spans="1:9">
      <c r="A306" s="275" t="str">
        <f>IF(B306="","",DATE(IF(INT(B306)&gt;=4,予算!$L$1,予算!$L$2),INT(B306),ROUND(MOD(B306,1)*100,0)))</f>
        <v/>
      </c>
      <c r="B306" s="68"/>
      <c r="C306" s="43"/>
      <c r="D306" s="11" t="str">
        <f>IF(C306="","",VLOOKUP(C306,予算!$B$7:$C$66,2))</f>
        <v/>
      </c>
      <c r="E306" s="43"/>
      <c r="F306" s="200"/>
      <c r="G306" s="32"/>
      <c r="H306" s="32"/>
      <c r="I306" s="50" t="str">
        <f t="shared" si="4"/>
        <v/>
      </c>
    </row>
    <row r="307" spans="1:9">
      <c r="A307" s="275" t="str">
        <f>IF(B307="","",DATE(IF(INT(B307)&gt;=4,予算!$L$1,予算!$L$2),INT(B307),ROUND(MOD(B307,1)*100,0)))</f>
        <v/>
      </c>
      <c r="B307" s="68"/>
      <c r="C307" s="43"/>
      <c r="D307" s="11" t="str">
        <f>IF(C307="","",VLOOKUP(C307,予算!$B$7:$C$66,2))</f>
        <v/>
      </c>
      <c r="E307" s="43"/>
      <c r="F307" s="200"/>
      <c r="G307" s="32"/>
      <c r="H307" s="32"/>
      <c r="I307" s="50" t="str">
        <f t="shared" si="4"/>
        <v/>
      </c>
    </row>
    <row r="308" spans="1:9">
      <c r="A308" s="275" t="str">
        <f>IF(B308="","",DATE(IF(INT(B308)&gt;=4,予算!$L$1,予算!$L$2),INT(B308),ROUND(MOD(B308,1)*100,0)))</f>
        <v/>
      </c>
      <c r="B308" s="68"/>
      <c r="C308" s="43"/>
      <c r="D308" s="11" t="str">
        <f>IF(C308="","",VLOOKUP(C308,予算!$B$7:$C$66,2))</f>
        <v/>
      </c>
      <c r="E308" s="43"/>
      <c r="F308" s="200"/>
      <c r="G308" s="32"/>
      <c r="H308" s="32"/>
      <c r="I308" s="50" t="str">
        <f t="shared" si="4"/>
        <v/>
      </c>
    </row>
    <row r="309" spans="1:9">
      <c r="A309" s="275" t="str">
        <f>IF(B309="","",DATE(IF(INT(B309)&gt;=4,予算!$L$1,予算!$L$2),INT(B309),ROUND(MOD(B309,1)*100,0)))</f>
        <v/>
      </c>
      <c r="B309" s="68"/>
      <c r="C309" s="43"/>
      <c r="D309" s="11" t="str">
        <f>IF(C309="","",VLOOKUP(C309,予算!$B$7:$C$66,2))</f>
        <v/>
      </c>
      <c r="E309" s="43"/>
      <c r="F309" s="200"/>
      <c r="G309" s="32"/>
      <c r="H309" s="32"/>
      <c r="I309" s="50" t="str">
        <f t="shared" si="4"/>
        <v/>
      </c>
    </row>
    <row r="310" spans="1:9">
      <c r="A310" s="275" t="str">
        <f>IF(B310="","",DATE(IF(INT(B310)&gt;=4,予算!$L$1,予算!$L$2),INT(B310),ROUND(MOD(B310,1)*100,0)))</f>
        <v/>
      </c>
      <c r="B310" s="68"/>
      <c r="C310" s="43"/>
      <c r="D310" s="11" t="str">
        <f>IF(C310="","",VLOOKUP(C310,予算!$B$7:$C$66,2))</f>
        <v/>
      </c>
      <c r="E310" s="43"/>
      <c r="F310" s="200"/>
      <c r="G310" s="32"/>
      <c r="H310" s="32"/>
      <c r="I310" s="50" t="str">
        <f t="shared" si="4"/>
        <v/>
      </c>
    </row>
    <row r="311" spans="1:9">
      <c r="A311" s="275" t="str">
        <f>IF(B311="","",DATE(IF(INT(B311)&gt;=4,予算!$L$1,予算!$L$2),INT(B311),ROUND(MOD(B311,1)*100,0)))</f>
        <v/>
      </c>
      <c r="B311" s="68"/>
      <c r="C311" s="43"/>
      <c r="D311" s="11" t="str">
        <f>IF(C311="","",VLOOKUP(C311,予算!$B$7:$C$66,2))</f>
        <v/>
      </c>
      <c r="E311" s="43"/>
      <c r="F311" s="200"/>
      <c r="G311" s="32"/>
      <c r="H311" s="32"/>
      <c r="I311" s="50" t="str">
        <f t="shared" si="4"/>
        <v/>
      </c>
    </row>
    <row r="312" spans="1:9">
      <c r="A312" s="275" t="str">
        <f>IF(B312="","",DATE(IF(INT(B312)&gt;=4,予算!$L$1,予算!$L$2),INT(B312),ROUND(MOD(B312,1)*100,0)))</f>
        <v/>
      </c>
      <c r="B312" s="68"/>
      <c r="C312" s="43"/>
      <c r="D312" s="11" t="str">
        <f>IF(C312="","",VLOOKUP(C312,予算!$B$7:$C$66,2))</f>
        <v/>
      </c>
      <c r="E312" s="43"/>
      <c r="F312" s="200"/>
      <c r="G312" s="32"/>
      <c r="H312" s="32"/>
      <c r="I312" s="50" t="str">
        <f t="shared" si="4"/>
        <v/>
      </c>
    </row>
    <row r="313" spans="1:9">
      <c r="A313" s="275" t="str">
        <f>IF(B313="","",DATE(IF(INT(B313)&gt;=4,予算!$L$1,予算!$L$2),INT(B313),ROUND(MOD(B313,1)*100,0)))</f>
        <v/>
      </c>
      <c r="B313" s="68"/>
      <c r="C313" s="43"/>
      <c r="D313" s="11" t="str">
        <f>IF(C313="","",VLOOKUP(C313,予算!$B$7:$C$66,2))</f>
        <v/>
      </c>
      <c r="E313" s="43"/>
      <c r="F313" s="200"/>
      <c r="G313" s="32"/>
      <c r="H313" s="32"/>
      <c r="I313" s="50" t="str">
        <f t="shared" si="4"/>
        <v/>
      </c>
    </row>
    <row r="314" spans="1:9">
      <c r="A314" s="275" t="str">
        <f>IF(B314="","",DATE(IF(INT(B314)&gt;=4,予算!$L$1,予算!$L$2),INT(B314),ROUND(MOD(B314,1)*100,0)))</f>
        <v/>
      </c>
      <c r="B314" s="68"/>
      <c r="C314" s="43"/>
      <c r="D314" s="11" t="str">
        <f>IF(C314="","",VLOOKUP(C314,予算!$B$7:$C$66,2))</f>
        <v/>
      </c>
      <c r="E314" s="43"/>
      <c r="F314" s="200"/>
      <c r="G314" s="32"/>
      <c r="H314" s="32"/>
      <c r="I314" s="50" t="str">
        <f t="shared" si="4"/>
        <v/>
      </c>
    </row>
    <row r="315" spans="1:9">
      <c r="A315" s="275" t="str">
        <f>IF(B315="","",DATE(IF(INT(B315)&gt;=4,予算!$L$1,予算!$L$2),INT(B315),ROUND(MOD(B315,1)*100,0)))</f>
        <v/>
      </c>
      <c r="B315" s="68"/>
      <c r="C315" s="43"/>
      <c r="D315" s="11" t="str">
        <f>IF(C315="","",VLOOKUP(C315,予算!$B$7:$C$66,2))</f>
        <v/>
      </c>
      <c r="E315" s="43"/>
      <c r="F315" s="200"/>
      <c r="G315" s="32"/>
      <c r="H315" s="32"/>
      <c r="I315" s="50" t="str">
        <f t="shared" si="4"/>
        <v/>
      </c>
    </row>
    <row r="316" spans="1:9">
      <c r="A316" s="275" t="str">
        <f>IF(B316="","",DATE(IF(INT(B316)&gt;=4,予算!$L$1,予算!$L$2),INT(B316),ROUND(MOD(B316,1)*100,0)))</f>
        <v/>
      </c>
      <c r="B316" s="68"/>
      <c r="C316" s="43"/>
      <c r="D316" s="11" t="str">
        <f>IF(C316="","",VLOOKUP(C316,予算!$B$7:$C$66,2))</f>
        <v/>
      </c>
      <c r="E316" s="43"/>
      <c r="F316" s="200"/>
      <c r="G316" s="32"/>
      <c r="H316" s="32"/>
      <c r="I316" s="50" t="str">
        <f t="shared" si="4"/>
        <v/>
      </c>
    </row>
    <row r="317" spans="1:9">
      <c r="A317" s="275" t="str">
        <f>IF(B317="","",DATE(IF(INT(B317)&gt;=4,予算!$L$1,予算!$L$2),INT(B317),ROUND(MOD(B317,1)*100,0)))</f>
        <v/>
      </c>
      <c r="B317" s="68"/>
      <c r="C317" s="43"/>
      <c r="D317" s="11" t="str">
        <f>IF(C317="","",VLOOKUP(C317,予算!$B$7:$C$66,2))</f>
        <v/>
      </c>
      <c r="E317" s="43"/>
      <c r="F317" s="200"/>
      <c r="G317" s="32"/>
      <c r="H317" s="32"/>
      <c r="I317" s="50" t="str">
        <f t="shared" si="4"/>
        <v/>
      </c>
    </row>
    <row r="318" spans="1:9">
      <c r="A318" s="275" t="str">
        <f>IF(B318="","",DATE(IF(INT(B318)&gt;=4,予算!$L$1,予算!$L$2),INT(B318),ROUND(MOD(B318,1)*100,0)))</f>
        <v/>
      </c>
      <c r="B318" s="68"/>
      <c r="C318" s="43"/>
      <c r="D318" s="11" t="str">
        <f>IF(C318="","",VLOOKUP(C318,予算!$B$7:$C$66,2))</f>
        <v/>
      </c>
      <c r="E318" s="43"/>
      <c r="F318" s="200"/>
      <c r="G318" s="32"/>
      <c r="H318" s="32"/>
      <c r="I318" s="50" t="str">
        <f t="shared" si="4"/>
        <v/>
      </c>
    </row>
    <row r="319" spans="1:9">
      <c r="A319" s="275" t="str">
        <f>IF(B319="","",DATE(IF(INT(B319)&gt;=4,予算!$L$1,予算!$L$2),INT(B319),ROUND(MOD(B319,1)*100,0)))</f>
        <v/>
      </c>
      <c r="B319" s="68"/>
      <c r="C319" s="43"/>
      <c r="D319" s="11" t="str">
        <f>IF(C319="","",VLOOKUP(C319,予算!$B$7:$C$66,2))</f>
        <v/>
      </c>
      <c r="E319" s="43"/>
      <c r="F319" s="200"/>
      <c r="G319" s="32"/>
      <c r="H319" s="32"/>
      <c r="I319" s="50" t="str">
        <f t="shared" si="4"/>
        <v/>
      </c>
    </row>
    <row r="320" spans="1:9">
      <c r="A320" s="275" t="str">
        <f>IF(B320="","",DATE(IF(INT(B320)&gt;=4,予算!$L$1,予算!$L$2),INT(B320),ROUND(MOD(B320,1)*100,0)))</f>
        <v/>
      </c>
      <c r="B320" s="68"/>
      <c r="C320" s="43"/>
      <c r="D320" s="11" t="str">
        <f>IF(C320="","",VLOOKUP(C320,予算!$B$7:$C$66,2))</f>
        <v/>
      </c>
      <c r="E320" s="43"/>
      <c r="F320" s="200"/>
      <c r="G320" s="32"/>
      <c r="H320" s="32"/>
      <c r="I320" s="50" t="str">
        <f t="shared" si="4"/>
        <v/>
      </c>
    </row>
    <row r="321" spans="1:9">
      <c r="A321" s="275" t="str">
        <f>IF(B321="","",DATE(IF(INT(B321)&gt;=4,予算!$L$1,予算!$L$2),INT(B321),ROUND(MOD(B321,1)*100,0)))</f>
        <v/>
      </c>
      <c r="B321" s="68"/>
      <c r="C321" s="43"/>
      <c r="D321" s="11" t="str">
        <f>IF(C321="","",VLOOKUP(C321,予算!$B$7:$C$66,2))</f>
        <v/>
      </c>
      <c r="E321" s="43"/>
      <c r="F321" s="200"/>
      <c r="G321" s="32"/>
      <c r="H321" s="32"/>
      <c r="I321" s="50" t="str">
        <f t="shared" si="4"/>
        <v/>
      </c>
    </row>
    <row r="322" spans="1:9">
      <c r="A322" s="275" t="str">
        <f>IF(B322="","",DATE(IF(INT(B322)&gt;=4,予算!$L$1,予算!$L$2),INT(B322),ROUND(MOD(B322,1)*100,0)))</f>
        <v/>
      </c>
      <c r="B322" s="68"/>
      <c r="C322" s="43"/>
      <c r="D322" s="11" t="str">
        <f>IF(C322="","",VLOOKUP(C322,予算!$B$7:$C$66,2))</f>
        <v/>
      </c>
      <c r="E322" s="43"/>
      <c r="F322" s="200"/>
      <c r="G322" s="32"/>
      <c r="H322" s="32"/>
      <c r="I322" s="50" t="str">
        <f t="shared" si="4"/>
        <v/>
      </c>
    </row>
    <row r="323" spans="1:9">
      <c r="A323" s="275" t="str">
        <f>IF(B323="","",DATE(IF(INT(B323)&gt;=4,予算!$L$1,予算!$L$2),INT(B323),ROUND(MOD(B323,1)*100,0)))</f>
        <v/>
      </c>
      <c r="B323" s="68"/>
      <c r="C323" s="43"/>
      <c r="D323" s="11" t="str">
        <f>IF(C323="","",VLOOKUP(C323,予算!$B$7:$C$66,2))</f>
        <v/>
      </c>
      <c r="E323" s="43"/>
      <c r="F323" s="200"/>
      <c r="G323" s="32"/>
      <c r="H323" s="32"/>
      <c r="I323" s="50" t="str">
        <f t="shared" si="4"/>
        <v/>
      </c>
    </row>
    <row r="324" spans="1:9">
      <c r="A324" s="275" t="str">
        <f>IF(B324="","",DATE(IF(INT(B324)&gt;=4,予算!$L$1,予算!$L$2),INT(B324),ROUND(MOD(B324,1)*100,0)))</f>
        <v/>
      </c>
      <c r="B324" s="68"/>
      <c r="C324" s="43"/>
      <c r="D324" s="11" t="str">
        <f>IF(C324="","",VLOOKUP(C324,予算!$B$7:$C$66,2))</f>
        <v/>
      </c>
      <c r="E324" s="43"/>
      <c r="F324" s="200"/>
      <c r="G324" s="32"/>
      <c r="H324" s="32"/>
      <c r="I324" s="50" t="str">
        <f t="shared" si="4"/>
        <v/>
      </c>
    </row>
    <row r="325" spans="1:9">
      <c r="A325" s="275" t="str">
        <f>IF(B325="","",DATE(IF(INT(B325)&gt;=4,予算!$L$1,予算!$L$2),INT(B325),ROUND(MOD(B325,1)*100,0)))</f>
        <v/>
      </c>
      <c r="B325" s="68"/>
      <c r="C325" s="43"/>
      <c r="D325" s="11" t="str">
        <f>IF(C325="","",VLOOKUP(C325,予算!$B$7:$C$66,2))</f>
        <v/>
      </c>
      <c r="E325" s="43"/>
      <c r="F325" s="200"/>
      <c r="G325" s="32"/>
      <c r="H325" s="32"/>
      <c r="I325" s="50" t="str">
        <f t="shared" si="4"/>
        <v/>
      </c>
    </row>
    <row r="326" spans="1:9">
      <c r="A326" s="275" t="str">
        <f>IF(B326="","",DATE(IF(INT(B326)&gt;=4,予算!$L$1,予算!$L$2),INT(B326),ROUND(MOD(B326,1)*100,0)))</f>
        <v/>
      </c>
      <c r="B326" s="68"/>
      <c r="C326" s="43"/>
      <c r="D326" s="11" t="str">
        <f>IF(C326="","",VLOOKUP(C326,予算!$B$7:$C$66,2))</f>
        <v/>
      </c>
      <c r="E326" s="43"/>
      <c r="F326" s="200"/>
      <c r="G326" s="32"/>
      <c r="H326" s="32"/>
      <c r="I326" s="50" t="str">
        <f t="shared" si="4"/>
        <v/>
      </c>
    </row>
    <row r="327" spans="1:9">
      <c r="A327" s="275" t="str">
        <f>IF(B327="","",DATE(IF(INT(B327)&gt;=4,予算!$L$1,予算!$L$2),INT(B327),ROUND(MOD(B327,1)*100,0)))</f>
        <v/>
      </c>
      <c r="B327" s="68"/>
      <c r="C327" s="43"/>
      <c r="D327" s="11" t="str">
        <f>IF(C327="","",VLOOKUP(C327,予算!$B$7:$C$66,2))</f>
        <v/>
      </c>
      <c r="E327" s="43"/>
      <c r="F327" s="200"/>
      <c r="G327" s="32"/>
      <c r="H327" s="32"/>
      <c r="I327" s="50" t="str">
        <f t="shared" si="4"/>
        <v/>
      </c>
    </row>
    <row r="328" spans="1:9">
      <c r="A328" s="275" t="str">
        <f>IF(B328="","",DATE(IF(INT(B328)&gt;=4,予算!$L$1,予算!$L$2),INT(B328),ROUND(MOD(B328,1)*100,0)))</f>
        <v/>
      </c>
      <c r="B328" s="68"/>
      <c r="C328" s="43"/>
      <c r="D328" s="11" t="str">
        <f>IF(C328="","",VLOOKUP(C328,予算!$B$7:$C$66,2))</f>
        <v/>
      </c>
      <c r="E328" s="43"/>
      <c r="F328" s="200"/>
      <c r="G328" s="32"/>
      <c r="H328" s="32"/>
      <c r="I328" s="50" t="str">
        <f t="shared" si="4"/>
        <v/>
      </c>
    </row>
    <row r="329" spans="1:9">
      <c r="A329" s="275" t="str">
        <f>IF(B329="","",DATE(IF(INT(B329)&gt;=4,予算!$L$1,予算!$L$2),INT(B329),ROUND(MOD(B329,1)*100,0)))</f>
        <v/>
      </c>
      <c r="B329" s="68"/>
      <c r="C329" s="43"/>
      <c r="D329" s="11" t="str">
        <f>IF(C329="","",VLOOKUP(C329,予算!$B$7:$C$66,2))</f>
        <v/>
      </c>
      <c r="E329" s="43"/>
      <c r="F329" s="200"/>
      <c r="G329" s="32"/>
      <c r="H329" s="32"/>
      <c r="I329" s="50" t="str">
        <f t="shared" ref="I329:I392" si="5">IF(C329="","",I328+G329-H329)</f>
        <v/>
      </c>
    </row>
    <row r="330" spans="1:9">
      <c r="A330" s="275" t="str">
        <f>IF(B330="","",DATE(IF(INT(B330)&gt;=4,予算!$L$1,予算!$L$2),INT(B330),ROUND(MOD(B330,1)*100,0)))</f>
        <v/>
      </c>
      <c r="B330" s="68"/>
      <c r="C330" s="43"/>
      <c r="D330" s="11" t="str">
        <f>IF(C330="","",VLOOKUP(C330,予算!$B$7:$C$66,2))</f>
        <v/>
      </c>
      <c r="E330" s="43"/>
      <c r="F330" s="200"/>
      <c r="G330" s="32"/>
      <c r="H330" s="32"/>
      <c r="I330" s="50" t="str">
        <f t="shared" si="5"/>
        <v/>
      </c>
    </row>
    <row r="331" spans="1:9">
      <c r="A331" s="275" t="str">
        <f>IF(B331="","",DATE(IF(INT(B331)&gt;=4,予算!$L$1,予算!$L$2),INT(B331),ROUND(MOD(B331,1)*100,0)))</f>
        <v/>
      </c>
      <c r="B331" s="68"/>
      <c r="C331" s="43"/>
      <c r="D331" s="11" t="str">
        <f>IF(C331="","",VLOOKUP(C331,予算!$B$7:$C$66,2))</f>
        <v/>
      </c>
      <c r="E331" s="43"/>
      <c r="F331" s="200"/>
      <c r="G331" s="32"/>
      <c r="H331" s="32"/>
      <c r="I331" s="50" t="str">
        <f t="shared" si="5"/>
        <v/>
      </c>
    </row>
    <row r="332" spans="1:9">
      <c r="A332" s="275" t="str">
        <f>IF(B332="","",DATE(IF(INT(B332)&gt;=4,予算!$L$1,予算!$L$2),INT(B332),ROUND(MOD(B332,1)*100,0)))</f>
        <v/>
      </c>
      <c r="B332" s="68"/>
      <c r="C332" s="43"/>
      <c r="D332" s="11" t="str">
        <f>IF(C332="","",VLOOKUP(C332,予算!$B$7:$C$66,2))</f>
        <v/>
      </c>
      <c r="E332" s="43"/>
      <c r="F332" s="200"/>
      <c r="G332" s="32"/>
      <c r="H332" s="32"/>
      <c r="I332" s="50" t="str">
        <f t="shared" si="5"/>
        <v/>
      </c>
    </row>
    <row r="333" spans="1:9">
      <c r="A333" s="275" t="str">
        <f>IF(B333="","",DATE(IF(INT(B333)&gt;=4,予算!$L$1,予算!$L$2),INT(B333),ROUND(MOD(B333,1)*100,0)))</f>
        <v/>
      </c>
      <c r="B333" s="68"/>
      <c r="C333" s="43"/>
      <c r="D333" s="11" t="str">
        <f>IF(C333="","",VLOOKUP(C333,予算!$B$7:$C$66,2))</f>
        <v/>
      </c>
      <c r="E333" s="43"/>
      <c r="F333" s="200"/>
      <c r="G333" s="32"/>
      <c r="H333" s="32"/>
      <c r="I333" s="50" t="str">
        <f t="shared" si="5"/>
        <v/>
      </c>
    </row>
    <row r="334" spans="1:9">
      <c r="A334" s="275" t="str">
        <f>IF(B334="","",DATE(IF(INT(B334)&gt;=4,予算!$L$1,予算!$L$2),INT(B334),ROUND(MOD(B334,1)*100,0)))</f>
        <v/>
      </c>
      <c r="B334" s="68"/>
      <c r="C334" s="43"/>
      <c r="D334" s="11" t="str">
        <f>IF(C334="","",VLOOKUP(C334,予算!$B$7:$C$66,2))</f>
        <v/>
      </c>
      <c r="E334" s="43"/>
      <c r="F334" s="200"/>
      <c r="G334" s="32"/>
      <c r="H334" s="32"/>
      <c r="I334" s="50" t="str">
        <f t="shared" si="5"/>
        <v/>
      </c>
    </row>
    <row r="335" spans="1:9">
      <c r="A335" s="275" t="str">
        <f>IF(B335="","",DATE(IF(INT(B335)&gt;=4,予算!$L$1,予算!$L$2),INT(B335),ROUND(MOD(B335,1)*100,0)))</f>
        <v/>
      </c>
      <c r="B335" s="68"/>
      <c r="C335" s="43"/>
      <c r="D335" s="11" t="str">
        <f>IF(C335="","",VLOOKUP(C335,予算!$B$7:$C$66,2))</f>
        <v/>
      </c>
      <c r="E335" s="43"/>
      <c r="F335" s="200"/>
      <c r="G335" s="32"/>
      <c r="H335" s="32"/>
      <c r="I335" s="50" t="str">
        <f t="shared" si="5"/>
        <v/>
      </c>
    </row>
    <row r="336" spans="1:9">
      <c r="A336" s="275" t="str">
        <f>IF(B336="","",DATE(IF(INT(B336)&gt;=4,予算!$L$1,予算!$L$2),INT(B336),ROUND(MOD(B336,1)*100,0)))</f>
        <v/>
      </c>
      <c r="B336" s="68"/>
      <c r="C336" s="43"/>
      <c r="D336" s="11" t="str">
        <f>IF(C336="","",VLOOKUP(C336,予算!$B$7:$C$66,2))</f>
        <v/>
      </c>
      <c r="E336" s="43"/>
      <c r="F336" s="200"/>
      <c r="G336" s="32"/>
      <c r="H336" s="32"/>
      <c r="I336" s="50" t="str">
        <f t="shared" si="5"/>
        <v/>
      </c>
    </row>
    <row r="337" spans="1:9">
      <c r="A337" s="275" t="str">
        <f>IF(B337="","",DATE(IF(INT(B337)&gt;=4,予算!$L$1,予算!$L$2),INT(B337),ROUND(MOD(B337,1)*100,0)))</f>
        <v/>
      </c>
      <c r="B337" s="68"/>
      <c r="C337" s="43"/>
      <c r="D337" s="11" t="str">
        <f>IF(C337="","",VLOOKUP(C337,予算!$B$7:$C$66,2))</f>
        <v/>
      </c>
      <c r="E337" s="43"/>
      <c r="F337" s="200"/>
      <c r="G337" s="32"/>
      <c r="H337" s="32"/>
      <c r="I337" s="50" t="str">
        <f t="shared" si="5"/>
        <v/>
      </c>
    </row>
    <row r="338" spans="1:9">
      <c r="A338" s="275" t="str">
        <f>IF(B338="","",DATE(IF(INT(B338)&gt;=4,予算!$L$1,予算!$L$2),INT(B338),ROUND(MOD(B338,1)*100,0)))</f>
        <v/>
      </c>
      <c r="B338" s="68"/>
      <c r="C338" s="43"/>
      <c r="D338" s="11" t="str">
        <f>IF(C338="","",VLOOKUP(C338,予算!$B$7:$C$66,2))</f>
        <v/>
      </c>
      <c r="E338" s="43"/>
      <c r="F338" s="200"/>
      <c r="G338" s="32"/>
      <c r="H338" s="32"/>
      <c r="I338" s="50" t="str">
        <f t="shared" si="5"/>
        <v/>
      </c>
    </row>
    <row r="339" spans="1:9">
      <c r="A339" s="275" t="str">
        <f>IF(B339="","",DATE(IF(INT(B339)&gt;=4,予算!$L$1,予算!$L$2),INT(B339),ROUND(MOD(B339,1)*100,0)))</f>
        <v/>
      </c>
      <c r="B339" s="68"/>
      <c r="C339" s="43"/>
      <c r="D339" s="11" t="str">
        <f>IF(C339="","",VLOOKUP(C339,予算!$B$7:$C$66,2))</f>
        <v/>
      </c>
      <c r="E339" s="43"/>
      <c r="F339" s="200"/>
      <c r="G339" s="32"/>
      <c r="H339" s="32"/>
      <c r="I339" s="50" t="str">
        <f t="shared" si="5"/>
        <v/>
      </c>
    </row>
    <row r="340" spans="1:9">
      <c r="A340" s="275" t="str">
        <f>IF(B340="","",DATE(IF(INT(B340)&gt;=4,予算!$L$1,予算!$L$2),INT(B340),ROUND(MOD(B340,1)*100,0)))</f>
        <v/>
      </c>
      <c r="B340" s="68"/>
      <c r="C340" s="43"/>
      <c r="D340" s="11" t="str">
        <f>IF(C340="","",VLOOKUP(C340,予算!$B$7:$C$66,2))</f>
        <v/>
      </c>
      <c r="E340" s="43"/>
      <c r="F340" s="200"/>
      <c r="G340" s="32"/>
      <c r="H340" s="32"/>
      <c r="I340" s="50" t="str">
        <f t="shared" si="5"/>
        <v/>
      </c>
    </row>
    <row r="341" spans="1:9">
      <c r="A341" s="275" t="str">
        <f>IF(B341="","",DATE(IF(INT(B341)&gt;=4,予算!$L$1,予算!$L$2),INT(B341),ROUND(MOD(B341,1)*100,0)))</f>
        <v/>
      </c>
      <c r="B341" s="68"/>
      <c r="C341" s="43"/>
      <c r="D341" s="11" t="str">
        <f>IF(C341="","",VLOOKUP(C341,予算!$B$7:$C$66,2))</f>
        <v/>
      </c>
      <c r="E341" s="43"/>
      <c r="F341" s="200"/>
      <c r="G341" s="32"/>
      <c r="H341" s="32"/>
      <c r="I341" s="50" t="str">
        <f t="shared" si="5"/>
        <v/>
      </c>
    </row>
    <row r="342" spans="1:9">
      <c r="A342" s="275" t="str">
        <f>IF(B342="","",DATE(IF(INT(B342)&gt;=4,予算!$L$1,予算!$L$2),INT(B342),ROUND(MOD(B342,1)*100,0)))</f>
        <v/>
      </c>
      <c r="B342" s="68"/>
      <c r="C342" s="43"/>
      <c r="D342" s="11" t="str">
        <f>IF(C342="","",VLOOKUP(C342,予算!$B$7:$C$66,2))</f>
        <v/>
      </c>
      <c r="E342" s="43"/>
      <c r="F342" s="200"/>
      <c r="G342" s="32"/>
      <c r="H342" s="32"/>
      <c r="I342" s="50" t="str">
        <f t="shared" si="5"/>
        <v/>
      </c>
    </row>
    <row r="343" spans="1:9">
      <c r="A343" s="275" t="str">
        <f>IF(B343="","",DATE(IF(INT(B343)&gt;=4,予算!$L$1,予算!$L$2),INT(B343),ROUND(MOD(B343,1)*100,0)))</f>
        <v/>
      </c>
      <c r="B343" s="68"/>
      <c r="C343" s="43"/>
      <c r="D343" s="11" t="str">
        <f>IF(C343="","",VLOOKUP(C343,予算!$B$7:$C$66,2))</f>
        <v/>
      </c>
      <c r="E343" s="43"/>
      <c r="F343" s="200"/>
      <c r="G343" s="32"/>
      <c r="H343" s="32"/>
      <c r="I343" s="50" t="str">
        <f t="shared" si="5"/>
        <v/>
      </c>
    </row>
    <row r="344" spans="1:9">
      <c r="A344" s="275" t="str">
        <f>IF(B344="","",DATE(IF(INT(B344)&gt;=4,予算!$L$1,予算!$L$2),INT(B344),ROUND(MOD(B344,1)*100,0)))</f>
        <v/>
      </c>
      <c r="B344" s="68"/>
      <c r="C344" s="43"/>
      <c r="D344" s="11" t="str">
        <f>IF(C344="","",VLOOKUP(C344,予算!$B$7:$C$66,2))</f>
        <v/>
      </c>
      <c r="E344" s="43"/>
      <c r="F344" s="200"/>
      <c r="G344" s="32"/>
      <c r="H344" s="32"/>
      <c r="I344" s="50" t="str">
        <f t="shared" si="5"/>
        <v/>
      </c>
    </row>
    <row r="345" spans="1:9">
      <c r="A345" s="275" t="str">
        <f>IF(B345="","",DATE(IF(INT(B345)&gt;=4,予算!$L$1,予算!$L$2),INT(B345),ROUND(MOD(B345,1)*100,0)))</f>
        <v/>
      </c>
      <c r="B345" s="68"/>
      <c r="C345" s="43"/>
      <c r="D345" s="11" t="str">
        <f>IF(C345="","",VLOOKUP(C345,予算!$B$7:$C$66,2))</f>
        <v/>
      </c>
      <c r="E345" s="43"/>
      <c r="F345" s="200"/>
      <c r="G345" s="32"/>
      <c r="H345" s="32"/>
      <c r="I345" s="50" t="str">
        <f t="shared" si="5"/>
        <v/>
      </c>
    </row>
    <row r="346" spans="1:9">
      <c r="A346" s="275" t="str">
        <f>IF(B346="","",DATE(IF(INT(B346)&gt;=4,予算!$L$1,予算!$L$2),INT(B346),ROUND(MOD(B346,1)*100,0)))</f>
        <v/>
      </c>
      <c r="B346" s="68"/>
      <c r="C346" s="43"/>
      <c r="D346" s="11" t="str">
        <f>IF(C346="","",VLOOKUP(C346,予算!$B$7:$C$66,2))</f>
        <v/>
      </c>
      <c r="E346" s="43"/>
      <c r="F346" s="200"/>
      <c r="G346" s="32"/>
      <c r="H346" s="32"/>
      <c r="I346" s="50" t="str">
        <f t="shared" si="5"/>
        <v/>
      </c>
    </row>
    <row r="347" spans="1:9">
      <c r="A347" s="275" t="str">
        <f>IF(B347="","",DATE(IF(INT(B347)&gt;=4,予算!$L$1,予算!$L$2),INT(B347),ROUND(MOD(B347,1)*100,0)))</f>
        <v/>
      </c>
      <c r="B347" s="68"/>
      <c r="C347" s="43"/>
      <c r="D347" s="11" t="str">
        <f>IF(C347="","",VLOOKUP(C347,予算!$B$7:$C$66,2))</f>
        <v/>
      </c>
      <c r="E347" s="43"/>
      <c r="F347" s="200"/>
      <c r="G347" s="32"/>
      <c r="H347" s="32"/>
      <c r="I347" s="50" t="str">
        <f t="shared" si="5"/>
        <v/>
      </c>
    </row>
    <row r="348" spans="1:9">
      <c r="A348" s="275" t="str">
        <f>IF(B348="","",DATE(IF(INT(B348)&gt;=4,予算!$L$1,予算!$L$2),INT(B348),ROUND(MOD(B348,1)*100,0)))</f>
        <v/>
      </c>
      <c r="B348" s="68"/>
      <c r="C348" s="43"/>
      <c r="D348" s="11" t="str">
        <f>IF(C348="","",VLOOKUP(C348,予算!$B$7:$C$66,2))</f>
        <v/>
      </c>
      <c r="E348" s="43"/>
      <c r="F348" s="200"/>
      <c r="G348" s="32"/>
      <c r="H348" s="32"/>
      <c r="I348" s="50" t="str">
        <f t="shared" si="5"/>
        <v/>
      </c>
    </row>
    <row r="349" spans="1:9">
      <c r="A349" s="275" t="str">
        <f>IF(B349="","",DATE(IF(INT(B349)&gt;=4,予算!$L$1,予算!$L$2),INT(B349),ROUND(MOD(B349,1)*100,0)))</f>
        <v/>
      </c>
      <c r="B349" s="68"/>
      <c r="C349" s="43"/>
      <c r="D349" s="11" t="str">
        <f>IF(C349="","",VLOOKUP(C349,予算!$B$7:$C$66,2))</f>
        <v/>
      </c>
      <c r="E349" s="43"/>
      <c r="F349" s="200"/>
      <c r="G349" s="32"/>
      <c r="H349" s="32"/>
      <c r="I349" s="50" t="str">
        <f t="shared" si="5"/>
        <v/>
      </c>
    </row>
    <row r="350" spans="1:9">
      <c r="A350" s="275" t="str">
        <f>IF(B350="","",DATE(IF(INT(B350)&gt;=4,予算!$L$1,予算!$L$2),INT(B350),ROUND(MOD(B350,1)*100,0)))</f>
        <v/>
      </c>
      <c r="B350" s="68"/>
      <c r="C350" s="43"/>
      <c r="D350" s="11" t="str">
        <f>IF(C350="","",VLOOKUP(C350,予算!$B$7:$C$66,2))</f>
        <v/>
      </c>
      <c r="E350" s="43"/>
      <c r="F350" s="200"/>
      <c r="G350" s="32"/>
      <c r="H350" s="32"/>
      <c r="I350" s="50" t="str">
        <f t="shared" si="5"/>
        <v/>
      </c>
    </row>
    <row r="351" spans="1:9">
      <c r="A351" s="275" t="str">
        <f>IF(B351="","",DATE(IF(INT(B351)&gt;=4,予算!$L$1,予算!$L$2),INT(B351),ROUND(MOD(B351,1)*100,0)))</f>
        <v/>
      </c>
      <c r="B351" s="68"/>
      <c r="C351" s="43"/>
      <c r="D351" s="11" t="str">
        <f>IF(C351="","",VLOOKUP(C351,予算!$B$7:$C$66,2))</f>
        <v/>
      </c>
      <c r="E351" s="43"/>
      <c r="F351" s="200"/>
      <c r="G351" s="32"/>
      <c r="H351" s="32"/>
      <c r="I351" s="50" t="str">
        <f t="shared" si="5"/>
        <v/>
      </c>
    </row>
    <row r="352" spans="1:9">
      <c r="A352" s="275" t="str">
        <f>IF(B352="","",DATE(IF(INT(B352)&gt;=4,予算!$L$1,予算!$L$2),INT(B352),ROUND(MOD(B352,1)*100,0)))</f>
        <v/>
      </c>
      <c r="B352" s="68"/>
      <c r="C352" s="43"/>
      <c r="D352" s="11" t="str">
        <f>IF(C352="","",VLOOKUP(C352,予算!$B$7:$C$66,2))</f>
        <v/>
      </c>
      <c r="E352" s="43"/>
      <c r="F352" s="200"/>
      <c r="G352" s="32"/>
      <c r="H352" s="32"/>
      <c r="I352" s="50" t="str">
        <f t="shared" si="5"/>
        <v/>
      </c>
    </row>
    <row r="353" spans="1:9">
      <c r="A353" s="275" t="str">
        <f>IF(B353="","",DATE(IF(INT(B353)&gt;=4,予算!$L$1,予算!$L$2),INT(B353),ROUND(MOD(B353,1)*100,0)))</f>
        <v/>
      </c>
      <c r="B353" s="68"/>
      <c r="C353" s="43"/>
      <c r="D353" s="11" t="str">
        <f>IF(C353="","",VLOOKUP(C353,予算!$B$7:$C$66,2))</f>
        <v/>
      </c>
      <c r="E353" s="43"/>
      <c r="F353" s="200"/>
      <c r="G353" s="32"/>
      <c r="H353" s="32"/>
      <c r="I353" s="50" t="str">
        <f t="shared" si="5"/>
        <v/>
      </c>
    </row>
    <row r="354" spans="1:9">
      <c r="A354" s="275" t="str">
        <f>IF(B354="","",DATE(IF(INT(B354)&gt;=4,予算!$L$1,予算!$L$2),INT(B354),ROUND(MOD(B354,1)*100,0)))</f>
        <v/>
      </c>
      <c r="B354" s="68"/>
      <c r="C354" s="43"/>
      <c r="D354" s="11" t="str">
        <f>IF(C354="","",VLOOKUP(C354,予算!$B$7:$C$66,2))</f>
        <v/>
      </c>
      <c r="E354" s="43"/>
      <c r="F354" s="200"/>
      <c r="G354" s="32"/>
      <c r="H354" s="32"/>
      <c r="I354" s="50" t="str">
        <f t="shared" si="5"/>
        <v/>
      </c>
    </row>
    <row r="355" spans="1:9">
      <c r="A355" s="275" t="str">
        <f>IF(B355="","",DATE(IF(INT(B355)&gt;=4,予算!$L$1,予算!$L$2),INT(B355),ROUND(MOD(B355,1)*100,0)))</f>
        <v/>
      </c>
      <c r="B355" s="68"/>
      <c r="C355" s="43"/>
      <c r="D355" s="11" t="str">
        <f>IF(C355="","",VLOOKUP(C355,予算!$B$7:$C$66,2))</f>
        <v/>
      </c>
      <c r="E355" s="43"/>
      <c r="F355" s="200"/>
      <c r="G355" s="32"/>
      <c r="H355" s="32"/>
      <c r="I355" s="50" t="str">
        <f t="shared" si="5"/>
        <v/>
      </c>
    </row>
    <row r="356" spans="1:9">
      <c r="A356" s="275" t="str">
        <f>IF(B356="","",DATE(IF(INT(B356)&gt;=4,予算!$L$1,予算!$L$2),INT(B356),ROUND(MOD(B356,1)*100,0)))</f>
        <v/>
      </c>
      <c r="B356" s="68"/>
      <c r="C356" s="43"/>
      <c r="D356" s="11" t="str">
        <f>IF(C356="","",VLOOKUP(C356,予算!$B$7:$C$66,2))</f>
        <v/>
      </c>
      <c r="E356" s="43"/>
      <c r="F356" s="200"/>
      <c r="G356" s="32"/>
      <c r="H356" s="32"/>
      <c r="I356" s="50" t="str">
        <f t="shared" si="5"/>
        <v/>
      </c>
    </row>
    <row r="357" spans="1:9">
      <c r="A357" s="275" t="str">
        <f>IF(B357="","",DATE(IF(INT(B357)&gt;=4,予算!$L$1,予算!$L$2),INT(B357),ROUND(MOD(B357,1)*100,0)))</f>
        <v/>
      </c>
      <c r="B357" s="68"/>
      <c r="C357" s="43"/>
      <c r="D357" s="11" t="str">
        <f>IF(C357="","",VLOOKUP(C357,予算!$B$7:$C$66,2))</f>
        <v/>
      </c>
      <c r="E357" s="43"/>
      <c r="F357" s="200"/>
      <c r="G357" s="32"/>
      <c r="H357" s="32"/>
      <c r="I357" s="50" t="str">
        <f t="shared" si="5"/>
        <v/>
      </c>
    </row>
    <row r="358" spans="1:9">
      <c r="A358" s="275" t="str">
        <f>IF(B358="","",DATE(IF(INT(B358)&gt;=4,予算!$L$1,予算!$L$2),INT(B358),ROUND(MOD(B358,1)*100,0)))</f>
        <v/>
      </c>
      <c r="B358" s="68"/>
      <c r="C358" s="43"/>
      <c r="D358" s="11" t="str">
        <f>IF(C358="","",VLOOKUP(C358,予算!$B$7:$C$66,2))</f>
        <v/>
      </c>
      <c r="E358" s="43"/>
      <c r="F358" s="200"/>
      <c r="G358" s="32"/>
      <c r="H358" s="32"/>
      <c r="I358" s="50" t="str">
        <f t="shared" si="5"/>
        <v/>
      </c>
    </row>
    <row r="359" spans="1:9">
      <c r="A359" s="275" t="str">
        <f>IF(B359="","",DATE(IF(INT(B359)&gt;=4,予算!$L$1,予算!$L$2),INT(B359),ROUND(MOD(B359,1)*100,0)))</f>
        <v/>
      </c>
      <c r="B359" s="68"/>
      <c r="C359" s="43"/>
      <c r="D359" s="11" t="str">
        <f>IF(C359="","",VLOOKUP(C359,予算!$B$7:$C$66,2))</f>
        <v/>
      </c>
      <c r="E359" s="43"/>
      <c r="F359" s="200"/>
      <c r="G359" s="32"/>
      <c r="H359" s="32"/>
      <c r="I359" s="50" t="str">
        <f t="shared" si="5"/>
        <v/>
      </c>
    </row>
    <row r="360" spans="1:9">
      <c r="A360" s="275" t="str">
        <f>IF(B360="","",DATE(IF(INT(B360)&gt;=4,予算!$L$1,予算!$L$2),INT(B360),ROUND(MOD(B360,1)*100,0)))</f>
        <v/>
      </c>
      <c r="B360" s="68"/>
      <c r="C360" s="43"/>
      <c r="D360" s="11" t="str">
        <f>IF(C360="","",VLOOKUP(C360,予算!$B$7:$C$66,2))</f>
        <v/>
      </c>
      <c r="E360" s="43"/>
      <c r="F360" s="200"/>
      <c r="G360" s="32"/>
      <c r="H360" s="32"/>
      <c r="I360" s="50" t="str">
        <f t="shared" si="5"/>
        <v/>
      </c>
    </row>
    <row r="361" spans="1:9">
      <c r="A361" s="275" t="str">
        <f>IF(B361="","",DATE(IF(INT(B361)&gt;=4,予算!$L$1,予算!$L$2),INT(B361),ROUND(MOD(B361,1)*100,0)))</f>
        <v/>
      </c>
      <c r="B361" s="68"/>
      <c r="C361" s="43"/>
      <c r="D361" s="11" t="str">
        <f>IF(C361="","",VLOOKUP(C361,予算!$B$7:$C$66,2))</f>
        <v/>
      </c>
      <c r="E361" s="43"/>
      <c r="F361" s="200"/>
      <c r="G361" s="32"/>
      <c r="H361" s="32"/>
      <c r="I361" s="50" t="str">
        <f t="shared" si="5"/>
        <v/>
      </c>
    </row>
    <row r="362" spans="1:9">
      <c r="A362" s="275" t="str">
        <f>IF(B362="","",DATE(IF(INT(B362)&gt;=4,予算!$L$1,予算!$L$2),INT(B362),ROUND(MOD(B362,1)*100,0)))</f>
        <v/>
      </c>
      <c r="B362" s="68"/>
      <c r="C362" s="43"/>
      <c r="D362" s="11" t="str">
        <f>IF(C362="","",VLOOKUP(C362,予算!$B$7:$C$66,2))</f>
        <v/>
      </c>
      <c r="E362" s="43"/>
      <c r="F362" s="200"/>
      <c r="G362" s="32"/>
      <c r="H362" s="32"/>
      <c r="I362" s="50" t="str">
        <f t="shared" si="5"/>
        <v/>
      </c>
    </row>
    <row r="363" spans="1:9">
      <c r="A363" s="275" t="str">
        <f>IF(B363="","",DATE(IF(INT(B363)&gt;=4,予算!$L$1,予算!$L$2),INT(B363),ROUND(MOD(B363,1)*100,0)))</f>
        <v/>
      </c>
      <c r="B363" s="68"/>
      <c r="C363" s="43"/>
      <c r="D363" s="11" t="str">
        <f>IF(C363="","",VLOOKUP(C363,予算!$B$7:$C$66,2))</f>
        <v/>
      </c>
      <c r="E363" s="43"/>
      <c r="F363" s="200"/>
      <c r="G363" s="32"/>
      <c r="H363" s="32"/>
      <c r="I363" s="50" t="str">
        <f t="shared" si="5"/>
        <v/>
      </c>
    </row>
    <row r="364" spans="1:9">
      <c r="A364" s="275" t="str">
        <f>IF(B364="","",DATE(IF(INT(B364)&gt;=4,予算!$L$1,予算!$L$2),INT(B364),ROUND(MOD(B364,1)*100,0)))</f>
        <v/>
      </c>
      <c r="B364" s="68"/>
      <c r="C364" s="43"/>
      <c r="D364" s="11" t="str">
        <f>IF(C364="","",VLOOKUP(C364,予算!$B$7:$C$66,2))</f>
        <v/>
      </c>
      <c r="E364" s="43"/>
      <c r="F364" s="200"/>
      <c r="G364" s="32"/>
      <c r="H364" s="32"/>
      <c r="I364" s="50" t="str">
        <f t="shared" si="5"/>
        <v/>
      </c>
    </row>
    <row r="365" spans="1:9">
      <c r="A365" s="275" t="str">
        <f>IF(B365="","",DATE(IF(INT(B365)&gt;=4,予算!$L$1,予算!$L$2),INT(B365),ROUND(MOD(B365,1)*100,0)))</f>
        <v/>
      </c>
      <c r="B365" s="68"/>
      <c r="C365" s="43"/>
      <c r="D365" s="11" t="str">
        <f>IF(C365="","",VLOOKUP(C365,予算!$B$7:$C$66,2))</f>
        <v/>
      </c>
      <c r="E365" s="43"/>
      <c r="F365" s="200"/>
      <c r="G365" s="32"/>
      <c r="H365" s="32"/>
      <c r="I365" s="50" t="str">
        <f t="shared" si="5"/>
        <v/>
      </c>
    </row>
    <row r="366" spans="1:9">
      <c r="A366" s="275" t="str">
        <f>IF(B366="","",DATE(IF(INT(B366)&gt;=4,予算!$L$1,予算!$L$2),INT(B366),ROUND(MOD(B366,1)*100,0)))</f>
        <v/>
      </c>
      <c r="B366" s="68"/>
      <c r="C366" s="43"/>
      <c r="D366" s="11" t="str">
        <f>IF(C366="","",VLOOKUP(C366,予算!$B$7:$C$66,2))</f>
        <v/>
      </c>
      <c r="E366" s="43"/>
      <c r="F366" s="200"/>
      <c r="G366" s="32"/>
      <c r="H366" s="32"/>
      <c r="I366" s="50" t="str">
        <f t="shared" si="5"/>
        <v/>
      </c>
    </row>
    <row r="367" spans="1:9">
      <c r="A367" s="275" t="str">
        <f>IF(B367="","",DATE(IF(INT(B367)&gt;=4,予算!$L$1,予算!$L$2),INT(B367),ROUND(MOD(B367,1)*100,0)))</f>
        <v/>
      </c>
      <c r="B367" s="68"/>
      <c r="C367" s="43"/>
      <c r="D367" s="11" t="str">
        <f>IF(C367="","",VLOOKUP(C367,予算!$B$7:$C$66,2))</f>
        <v/>
      </c>
      <c r="E367" s="43"/>
      <c r="F367" s="200"/>
      <c r="G367" s="32"/>
      <c r="H367" s="32"/>
      <c r="I367" s="50" t="str">
        <f t="shared" si="5"/>
        <v/>
      </c>
    </row>
    <row r="368" spans="1:9">
      <c r="A368" s="275" t="str">
        <f>IF(B368="","",DATE(IF(INT(B368)&gt;=4,予算!$L$1,予算!$L$2),INT(B368),ROUND(MOD(B368,1)*100,0)))</f>
        <v/>
      </c>
      <c r="B368" s="68"/>
      <c r="C368" s="43"/>
      <c r="D368" s="11" t="str">
        <f>IF(C368="","",VLOOKUP(C368,予算!$B$7:$C$66,2))</f>
        <v/>
      </c>
      <c r="E368" s="43"/>
      <c r="F368" s="200"/>
      <c r="G368" s="32"/>
      <c r="H368" s="32"/>
      <c r="I368" s="50" t="str">
        <f t="shared" si="5"/>
        <v/>
      </c>
    </row>
    <row r="369" spans="1:9">
      <c r="A369" s="275" t="str">
        <f>IF(B369="","",DATE(IF(INT(B369)&gt;=4,予算!$L$1,予算!$L$2),INT(B369),ROUND(MOD(B369,1)*100,0)))</f>
        <v/>
      </c>
      <c r="B369" s="68"/>
      <c r="C369" s="43"/>
      <c r="D369" s="11" t="str">
        <f>IF(C369="","",VLOOKUP(C369,予算!$B$7:$C$66,2))</f>
        <v/>
      </c>
      <c r="E369" s="43"/>
      <c r="F369" s="200"/>
      <c r="G369" s="32"/>
      <c r="H369" s="32"/>
      <c r="I369" s="50" t="str">
        <f t="shared" si="5"/>
        <v/>
      </c>
    </row>
    <row r="370" spans="1:9">
      <c r="A370" s="275" t="str">
        <f>IF(B370="","",DATE(IF(INT(B370)&gt;=4,予算!$L$1,予算!$L$2),INT(B370),ROUND(MOD(B370,1)*100,0)))</f>
        <v/>
      </c>
      <c r="B370" s="68"/>
      <c r="C370" s="43"/>
      <c r="D370" s="11" t="str">
        <f>IF(C370="","",VLOOKUP(C370,予算!$B$7:$C$66,2))</f>
        <v/>
      </c>
      <c r="E370" s="43"/>
      <c r="F370" s="200"/>
      <c r="G370" s="32"/>
      <c r="H370" s="32"/>
      <c r="I370" s="50" t="str">
        <f t="shared" si="5"/>
        <v/>
      </c>
    </row>
    <row r="371" spans="1:9">
      <c r="A371" s="275" t="str">
        <f>IF(B371="","",DATE(IF(INT(B371)&gt;=4,予算!$L$1,予算!$L$2),INT(B371),ROUND(MOD(B371,1)*100,0)))</f>
        <v/>
      </c>
      <c r="B371" s="68"/>
      <c r="C371" s="43"/>
      <c r="D371" s="11" t="str">
        <f>IF(C371="","",VLOOKUP(C371,予算!$B$7:$C$66,2))</f>
        <v/>
      </c>
      <c r="E371" s="43"/>
      <c r="F371" s="200"/>
      <c r="G371" s="32"/>
      <c r="H371" s="32"/>
      <c r="I371" s="50" t="str">
        <f t="shared" si="5"/>
        <v/>
      </c>
    </row>
    <row r="372" spans="1:9">
      <c r="A372" s="275" t="str">
        <f>IF(B372="","",DATE(IF(INT(B372)&gt;=4,予算!$L$1,予算!$L$2),INT(B372),ROUND(MOD(B372,1)*100,0)))</f>
        <v/>
      </c>
      <c r="B372" s="68"/>
      <c r="C372" s="43"/>
      <c r="D372" s="11" t="str">
        <f>IF(C372="","",VLOOKUP(C372,予算!$B$7:$C$66,2))</f>
        <v/>
      </c>
      <c r="E372" s="43"/>
      <c r="F372" s="200"/>
      <c r="G372" s="32"/>
      <c r="H372" s="32"/>
      <c r="I372" s="50" t="str">
        <f t="shared" si="5"/>
        <v/>
      </c>
    </row>
    <row r="373" spans="1:9">
      <c r="A373" s="275" t="str">
        <f>IF(B373="","",DATE(IF(INT(B373)&gt;=4,予算!$L$1,予算!$L$2),INT(B373),ROUND(MOD(B373,1)*100,0)))</f>
        <v/>
      </c>
      <c r="B373" s="68"/>
      <c r="C373" s="43"/>
      <c r="D373" s="11" t="str">
        <f>IF(C373="","",VLOOKUP(C373,予算!$B$7:$C$66,2))</f>
        <v/>
      </c>
      <c r="E373" s="43"/>
      <c r="F373" s="200"/>
      <c r="G373" s="32"/>
      <c r="H373" s="32"/>
      <c r="I373" s="50" t="str">
        <f t="shared" si="5"/>
        <v/>
      </c>
    </row>
    <row r="374" spans="1:9">
      <c r="A374" s="275" t="str">
        <f>IF(B374="","",DATE(IF(INT(B374)&gt;=4,予算!$L$1,予算!$L$2),INT(B374),ROUND(MOD(B374,1)*100,0)))</f>
        <v/>
      </c>
      <c r="B374" s="68"/>
      <c r="C374" s="43"/>
      <c r="D374" s="11" t="str">
        <f>IF(C374="","",VLOOKUP(C374,予算!$B$7:$C$66,2))</f>
        <v/>
      </c>
      <c r="E374" s="43"/>
      <c r="F374" s="200"/>
      <c r="G374" s="32"/>
      <c r="H374" s="32"/>
      <c r="I374" s="50" t="str">
        <f t="shared" si="5"/>
        <v/>
      </c>
    </row>
    <row r="375" spans="1:9">
      <c r="A375" s="275" t="str">
        <f>IF(B375="","",DATE(IF(INT(B375)&gt;=4,予算!$L$1,予算!$L$2),INT(B375),ROUND(MOD(B375,1)*100,0)))</f>
        <v/>
      </c>
      <c r="B375" s="68"/>
      <c r="C375" s="43"/>
      <c r="D375" s="11" t="str">
        <f>IF(C375="","",VLOOKUP(C375,予算!$B$7:$C$66,2))</f>
        <v/>
      </c>
      <c r="E375" s="43"/>
      <c r="F375" s="200"/>
      <c r="G375" s="32"/>
      <c r="H375" s="32"/>
      <c r="I375" s="50" t="str">
        <f t="shared" si="5"/>
        <v/>
      </c>
    </row>
    <row r="376" spans="1:9">
      <c r="A376" s="275" t="str">
        <f>IF(B376="","",DATE(IF(INT(B376)&gt;=4,予算!$L$1,予算!$L$2),INT(B376),ROUND(MOD(B376,1)*100,0)))</f>
        <v/>
      </c>
      <c r="B376" s="68"/>
      <c r="C376" s="43"/>
      <c r="D376" s="11" t="str">
        <f>IF(C376="","",VLOOKUP(C376,予算!$B$7:$C$66,2))</f>
        <v/>
      </c>
      <c r="E376" s="43"/>
      <c r="F376" s="200"/>
      <c r="G376" s="32"/>
      <c r="H376" s="32"/>
      <c r="I376" s="50" t="str">
        <f t="shared" si="5"/>
        <v/>
      </c>
    </row>
    <row r="377" spans="1:9">
      <c r="A377" s="275" t="str">
        <f>IF(B377="","",DATE(IF(INT(B377)&gt;=4,予算!$L$1,予算!$L$2),INT(B377),ROUND(MOD(B377,1)*100,0)))</f>
        <v/>
      </c>
      <c r="B377" s="68"/>
      <c r="C377" s="43"/>
      <c r="D377" s="11" t="str">
        <f>IF(C377="","",VLOOKUP(C377,予算!$B$7:$C$66,2))</f>
        <v/>
      </c>
      <c r="E377" s="43"/>
      <c r="F377" s="200"/>
      <c r="G377" s="32"/>
      <c r="H377" s="32"/>
      <c r="I377" s="50" t="str">
        <f t="shared" si="5"/>
        <v/>
      </c>
    </row>
    <row r="378" spans="1:9">
      <c r="A378" s="275" t="str">
        <f>IF(B378="","",DATE(IF(INT(B378)&gt;=4,予算!$L$1,予算!$L$2),INT(B378),ROUND(MOD(B378,1)*100,0)))</f>
        <v/>
      </c>
      <c r="B378" s="68"/>
      <c r="C378" s="43"/>
      <c r="D378" s="11" t="str">
        <f>IF(C378="","",VLOOKUP(C378,予算!$B$7:$C$66,2))</f>
        <v/>
      </c>
      <c r="E378" s="43"/>
      <c r="F378" s="200"/>
      <c r="G378" s="32"/>
      <c r="H378" s="32"/>
      <c r="I378" s="50" t="str">
        <f t="shared" si="5"/>
        <v/>
      </c>
    </row>
    <row r="379" spans="1:9">
      <c r="A379" s="275" t="str">
        <f>IF(B379="","",DATE(IF(INT(B379)&gt;=4,予算!$L$1,予算!$L$2),INT(B379),ROUND(MOD(B379,1)*100,0)))</f>
        <v/>
      </c>
      <c r="B379" s="68"/>
      <c r="C379" s="43"/>
      <c r="D379" s="11" t="str">
        <f>IF(C379="","",VLOOKUP(C379,予算!$B$7:$C$66,2))</f>
        <v/>
      </c>
      <c r="E379" s="43"/>
      <c r="F379" s="200"/>
      <c r="G379" s="32"/>
      <c r="H379" s="32"/>
      <c r="I379" s="50" t="str">
        <f t="shared" si="5"/>
        <v/>
      </c>
    </row>
    <row r="380" spans="1:9">
      <c r="A380" s="275" t="str">
        <f>IF(B380="","",DATE(IF(INT(B380)&gt;=4,予算!$L$1,予算!$L$2),INT(B380),ROUND(MOD(B380,1)*100,0)))</f>
        <v/>
      </c>
      <c r="B380" s="68"/>
      <c r="C380" s="43"/>
      <c r="D380" s="11" t="str">
        <f>IF(C380="","",VLOOKUP(C380,予算!$B$7:$C$66,2))</f>
        <v/>
      </c>
      <c r="E380" s="43"/>
      <c r="F380" s="200"/>
      <c r="G380" s="32"/>
      <c r="H380" s="32"/>
      <c r="I380" s="50" t="str">
        <f t="shared" si="5"/>
        <v/>
      </c>
    </row>
    <row r="381" spans="1:9">
      <c r="A381" s="275" t="str">
        <f>IF(B381="","",DATE(IF(INT(B381)&gt;=4,予算!$L$1,予算!$L$2),INT(B381),ROUND(MOD(B381,1)*100,0)))</f>
        <v/>
      </c>
      <c r="B381" s="68"/>
      <c r="C381" s="43"/>
      <c r="D381" s="11" t="str">
        <f>IF(C381="","",VLOOKUP(C381,予算!$B$7:$C$66,2))</f>
        <v/>
      </c>
      <c r="E381" s="43"/>
      <c r="F381" s="200"/>
      <c r="G381" s="32"/>
      <c r="H381" s="32"/>
      <c r="I381" s="50" t="str">
        <f t="shared" si="5"/>
        <v/>
      </c>
    </row>
    <row r="382" spans="1:9">
      <c r="A382" s="275" t="str">
        <f>IF(B382="","",DATE(IF(INT(B382)&gt;=4,予算!$L$1,予算!$L$2),INT(B382),ROUND(MOD(B382,1)*100,0)))</f>
        <v/>
      </c>
      <c r="B382" s="68"/>
      <c r="C382" s="43"/>
      <c r="D382" s="11" t="str">
        <f>IF(C382="","",VLOOKUP(C382,予算!$B$7:$C$66,2))</f>
        <v/>
      </c>
      <c r="E382" s="43"/>
      <c r="F382" s="200"/>
      <c r="G382" s="32"/>
      <c r="H382" s="32"/>
      <c r="I382" s="50" t="str">
        <f t="shared" si="5"/>
        <v/>
      </c>
    </row>
    <row r="383" spans="1:9">
      <c r="A383" s="275" t="str">
        <f>IF(B383="","",DATE(IF(INT(B383)&gt;=4,予算!$L$1,予算!$L$2),INT(B383),ROUND(MOD(B383,1)*100,0)))</f>
        <v/>
      </c>
      <c r="B383" s="68"/>
      <c r="C383" s="43"/>
      <c r="D383" s="11" t="str">
        <f>IF(C383="","",VLOOKUP(C383,予算!$B$7:$C$66,2))</f>
        <v/>
      </c>
      <c r="E383" s="43"/>
      <c r="F383" s="200"/>
      <c r="G383" s="32"/>
      <c r="H383" s="32"/>
      <c r="I383" s="50" t="str">
        <f t="shared" si="5"/>
        <v/>
      </c>
    </row>
    <row r="384" spans="1:9">
      <c r="A384" s="275" t="str">
        <f>IF(B384="","",DATE(IF(INT(B384)&gt;=4,予算!$L$1,予算!$L$2),INT(B384),ROUND(MOD(B384,1)*100,0)))</f>
        <v/>
      </c>
      <c r="B384" s="68"/>
      <c r="C384" s="43"/>
      <c r="D384" s="11" t="str">
        <f>IF(C384="","",VLOOKUP(C384,予算!$B$7:$C$66,2))</f>
        <v/>
      </c>
      <c r="E384" s="43"/>
      <c r="F384" s="200"/>
      <c r="G384" s="32"/>
      <c r="H384" s="32"/>
      <c r="I384" s="50" t="str">
        <f t="shared" si="5"/>
        <v/>
      </c>
    </row>
    <row r="385" spans="1:9">
      <c r="A385" s="275" t="str">
        <f>IF(B385="","",DATE(IF(INT(B385)&gt;=4,予算!$L$1,予算!$L$2),INT(B385),ROUND(MOD(B385,1)*100,0)))</f>
        <v/>
      </c>
      <c r="B385" s="68"/>
      <c r="C385" s="43"/>
      <c r="D385" s="11" t="str">
        <f>IF(C385="","",VLOOKUP(C385,予算!$B$7:$C$66,2))</f>
        <v/>
      </c>
      <c r="E385" s="43"/>
      <c r="F385" s="200"/>
      <c r="G385" s="32"/>
      <c r="H385" s="32"/>
      <c r="I385" s="50" t="str">
        <f t="shared" si="5"/>
        <v/>
      </c>
    </row>
    <row r="386" spans="1:9">
      <c r="A386" s="275" t="str">
        <f>IF(B386="","",DATE(IF(INT(B386)&gt;=4,予算!$L$1,予算!$L$2),INT(B386),ROUND(MOD(B386,1)*100,0)))</f>
        <v/>
      </c>
      <c r="B386" s="68"/>
      <c r="C386" s="43"/>
      <c r="D386" s="11" t="str">
        <f>IF(C386="","",VLOOKUP(C386,予算!$B$7:$C$66,2))</f>
        <v/>
      </c>
      <c r="E386" s="43"/>
      <c r="F386" s="200"/>
      <c r="G386" s="32"/>
      <c r="H386" s="32"/>
      <c r="I386" s="50" t="str">
        <f t="shared" si="5"/>
        <v/>
      </c>
    </row>
    <row r="387" spans="1:9">
      <c r="A387" s="275" t="str">
        <f>IF(B387="","",DATE(IF(INT(B387)&gt;=4,予算!$L$1,予算!$L$2),INT(B387),ROUND(MOD(B387,1)*100,0)))</f>
        <v/>
      </c>
      <c r="B387" s="68"/>
      <c r="C387" s="43"/>
      <c r="D387" s="11" t="str">
        <f>IF(C387="","",VLOOKUP(C387,予算!$B$7:$C$66,2))</f>
        <v/>
      </c>
      <c r="E387" s="43"/>
      <c r="F387" s="200"/>
      <c r="G387" s="32"/>
      <c r="H387" s="32"/>
      <c r="I387" s="50" t="str">
        <f t="shared" si="5"/>
        <v/>
      </c>
    </row>
    <row r="388" spans="1:9">
      <c r="A388" s="275" t="str">
        <f>IF(B388="","",DATE(IF(INT(B388)&gt;=4,予算!$L$1,予算!$L$2),INT(B388),ROUND(MOD(B388,1)*100,0)))</f>
        <v/>
      </c>
      <c r="B388" s="68"/>
      <c r="C388" s="43"/>
      <c r="D388" s="11" t="str">
        <f>IF(C388="","",VLOOKUP(C388,予算!$B$7:$C$66,2))</f>
        <v/>
      </c>
      <c r="E388" s="43"/>
      <c r="F388" s="200"/>
      <c r="G388" s="32"/>
      <c r="H388" s="32"/>
      <c r="I388" s="50" t="str">
        <f t="shared" si="5"/>
        <v/>
      </c>
    </row>
    <row r="389" spans="1:9">
      <c r="A389" s="275" t="str">
        <f>IF(B389="","",DATE(IF(INT(B389)&gt;=4,予算!$L$1,予算!$L$2),INT(B389),ROUND(MOD(B389,1)*100,0)))</f>
        <v/>
      </c>
      <c r="B389" s="68"/>
      <c r="C389" s="43"/>
      <c r="D389" s="11" t="str">
        <f>IF(C389="","",VLOOKUP(C389,予算!$B$7:$C$66,2))</f>
        <v/>
      </c>
      <c r="E389" s="43"/>
      <c r="F389" s="200"/>
      <c r="G389" s="32"/>
      <c r="H389" s="32"/>
      <c r="I389" s="50" t="str">
        <f t="shared" si="5"/>
        <v/>
      </c>
    </row>
    <row r="390" spans="1:9">
      <c r="A390" s="275" t="str">
        <f>IF(B390="","",DATE(IF(INT(B390)&gt;=4,予算!$L$1,予算!$L$2),INT(B390),ROUND(MOD(B390,1)*100,0)))</f>
        <v/>
      </c>
      <c r="B390" s="68"/>
      <c r="C390" s="43"/>
      <c r="D390" s="11" t="str">
        <f>IF(C390="","",VLOOKUP(C390,予算!$B$7:$C$66,2))</f>
        <v/>
      </c>
      <c r="E390" s="43"/>
      <c r="F390" s="200"/>
      <c r="G390" s="32"/>
      <c r="H390" s="32"/>
      <c r="I390" s="50" t="str">
        <f t="shared" si="5"/>
        <v/>
      </c>
    </row>
    <row r="391" spans="1:9">
      <c r="A391" s="275" t="str">
        <f>IF(B391="","",DATE(IF(INT(B391)&gt;=4,予算!$L$1,予算!$L$2),INT(B391),ROUND(MOD(B391,1)*100,0)))</f>
        <v/>
      </c>
      <c r="B391" s="68"/>
      <c r="C391" s="43"/>
      <c r="D391" s="11" t="str">
        <f>IF(C391="","",VLOOKUP(C391,予算!$B$7:$C$66,2))</f>
        <v/>
      </c>
      <c r="E391" s="43"/>
      <c r="F391" s="200"/>
      <c r="G391" s="32"/>
      <c r="H391" s="32"/>
      <c r="I391" s="50" t="str">
        <f t="shared" si="5"/>
        <v/>
      </c>
    </row>
    <row r="392" spans="1:9">
      <c r="A392" s="275" t="str">
        <f>IF(B392="","",DATE(IF(INT(B392)&gt;=4,予算!$L$1,予算!$L$2),INT(B392),ROUND(MOD(B392,1)*100,0)))</f>
        <v/>
      </c>
      <c r="B392" s="68"/>
      <c r="C392" s="43"/>
      <c r="D392" s="11" t="str">
        <f>IF(C392="","",VLOOKUP(C392,予算!$B$7:$C$66,2))</f>
        <v/>
      </c>
      <c r="E392" s="43"/>
      <c r="F392" s="200"/>
      <c r="G392" s="32"/>
      <c r="H392" s="32"/>
      <c r="I392" s="50" t="str">
        <f t="shared" si="5"/>
        <v/>
      </c>
    </row>
    <row r="393" spans="1:9">
      <c r="A393" s="275" t="str">
        <f>IF(B393="","",DATE(IF(INT(B393)&gt;=4,予算!$L$1,予算!$L$2),INT(B393),ROUND(MOD(B393,1)*100,0)))</f>
        <v/>
      </c>
      <c r="B393" s="68"/>
      <c r="C393" s="43"/>
      <c r="D393" s="11" t="str">
        <f>IF(C393="","",VLOOKUP(C393,予算!$B$7:$C$66,2))</f>
        <v/>
      </c>
      <c r="E393" s="43"/>
      <c r="F393" s="200"/>
      <c r="G393" s="32"/>
      <c r="H393" s="32"/>
      <c r="I393" s="50" t="str">
        <f t="shared" ref="I393:I456" si="6">IF(C393="","",I392+G393-H393)</f>
        <v/>
      </c>
    </row>
    <row r="394" spans="1:9">
      <c r="A394" s="275" t="str">
        <f>IF(B394="","",DATE(IF(INT(B394)&gt;=4,予算!$L$1,予算!$L$2),INT(B394),ROUND(MOD(B394,1)*100,0)))</f>
        <v/>
      </c>
      <c r="B394" s="68"/>
      <c r="C394" s="43"/>
      <c r="D394" s="11" t="str">
        <f>IF(C394="","",VLOOKUP(C394,予算!$B$7:$C$66,2))</f>
        <v/>
      </c>
      <c r="E394" s="43"/>
      <c r="F394" s="200"/>
      <c r="G394" s="32"/>
      <c r="H394" s="32"/>
      <c r="I394" s="50" t="str">
        <f t="shared" si="6"/>
        <v/>
      </c>
    </row>
    <row r="395" spans="1:9">
      <c r="A395" s="275" t="str">
        <f>IF(B395="","",DATE(IF(INT(B395)&gt;=4,予算!$L$1,予算!$L$2),INT(B395),ROUND(MOD(B395,1)*100,0)))</f>
        <v/>
      </c>
      <c r="B395" s="68"/>
      <c r="C395" s="43"/>
      <c r="D395" s="11" t="str">
        <f>IF(C395="","",VLOOKUP(C395,予算!$B$7:$C$66,2))</f>
        <v/>
      </c>
      <c r="E395" s="43"/>
      <c r="F395" s="200"/>
      <c r="G395" s="32"/>
      <c r="H395" s="32"/>
      <c r="I395" s="50" t="str">
        <f t="shared" si="6"/>
        <v/>
      </c>
    </row>
    <row r="396" spans="1:9">
      <c r="A396" s="275" t="str">
        <f>IF(B396="","",DATE(IF(INT(B396)&gt;=4,予算!$L$1,予算!$L$2),INT(B396),ROUND(MOD(B396,1)*100,0)))</f>
        <v/>
      </c>
      <c r="B396" s="68"/>
      <c r="C396" s="43"/>
      <c r="D396" s="11" t="str">
        <f>IF(C396="","",VLOOKUP(C396,予算!$B$7:$C$66,2))</f>
        <v/>
      </c>
      <c r="E396" s="43"/>
      <c r="F396" s="200"/>
      <c r="G396" s="32"/>
      <c r="H396" s="32"/>
      <c r="I396" s="50" t="str">
        <f t="shared" si="6"/>
        <v/>
      </c>
    </row>
    <row r="397" spans="1:9">
      <c r="A397" s="275" t="str">
        <f>IF(B397="","",DATE(IF(INT(B397)&gt;=4,予算!$L$1,予算!$L$2),INT(B397),ROUND(MOD(B397,1)*100,0)))</f>
        <v/>
      </c>
      <c r="B397" s="68"/>
      <c r="C397" s="43"/>
      <c r="D397" s="11" t="str">
        <f>IF(C397="","",VLOOKUP(C397,予算!$B$7:$C$66,2))</f>
        <v/>
      </c>
      <c r="E397" s="43"/>
      <c r="F397" s="200"/>
      <c r="G397" s="32"/>
      <c r="H397" s="32"/>
      <c r="I397" s="50" t="str">
        <f t="shared" si="6"/>
        <v/>
      </c>
    </row>
    <row r="398" spans="1:9">
      <c r="A398" s="275" t="str">
        <f>IF(B398="","",DATE(IF(INT(B398)&gt;=4,予算!$L$1,予算!$L$2),INT(B398),ROUND(MOD(B398,1)*100,0)))</f>
        <v/>
      </c>
      <c r="B398" s="68"/>
      <c r="C398" s="43"/>
      <c r="D398" s="11" t="str">
        <f>IF(C398="","",VLOOKUP(C398,予算!$B$7:$C$66,2))</f>
        <v/>
      </c>
      <c r="E398" s="43"/>
      <c r="F398" s="200"/>
      <c r="G398" s="32"/>
      <c r="H398" s="32"/>
      <c r="I398" s="50" t="str">
        <f t="shared" si="6"/>
        <v/>
      </c>
    </row>
    <row r="399" spans="1:9">
      <c r="A399" s="275" t="str">
        <f>IF(B399="","",DATE(IF(INT(B399)&gt;=4,予算!$L$1,予算!$L$2),INT(B399),ROUND(MOD(B399,1)*100,0)))</f>
        <v/>
      </c>
      <c r="B399" s="68"/>
      <c r="C399" s="43"/>
      <c r="D399" s="11" t="str">
        <f>IF(C399="","",VLOOKUP(C399,予算!$B$7:$C$66,2))</f>
        <v/>
      </c>
      <c r="E399" s="43"/>
      <c r="F399" s="200"/>
      <c r="G399" s="32"/>
      <c r="H399" s="32"/>
      <c r="I399" s="50" t="str">
        <f t="shared" si="6"/>
        <v/>
      </c>
    </row>
    <row r="400" spans="1:9">
      <c r="A400" s="275" t="str">
        <f>IF(B400="","",DATE(IF(INT(B400)&gt;=4,予算!$L$1,予算!$L$2),INT(B400),ROUND(MOD(B400,1)*100,0)))</f>
        <v/>
      </c>
      <c r="B400" s="68"/>
      <c r="C400" s="43"/>
      <c r="D400" s="11" t="str">
        <f>IF(C400="","",VLOOKUP(C400,予算!$B$7:$C$66,2))</f>
        <v/>
      </c>
      <c r="E400" s="43"/>
      <c r="F400" s="200"/>
      <c r="G400" s="32"/>
      <c r="H400" s="32"/>
      <c r="I400" s="50" t="str">
        <f t="shared" si="6"/>
        <v/>
      </c>
    </row>
    <row r="401" spans="1:9">
      <c r="A401" s="275" t="str">
        <f>IF(B401="","",DATE(IF(INT(B401)&gt;=4,予算!$L$1,予算!$L$2),INT(B401),ROUND(MOD(B401,1)*100,0)))</f>
        <v/>
      </c>
      <c r="B401" s="68"/>
      <c r="C401" s="43"/>
      <c r="D401" s="11" t="str">
        <f>IF(C401="","",VLOOKUP(C401,予算!$B$7:$C$66,2))</f>
        <v/>
      </c>
      <c r="E401" s="43"/>
      <c r="F401" s="200"/>
      <c r="G401" s="32"/>
      <c r="H401" s="32"/>
      <c r="I401" s="50" t="str">
        <f t="shared" si="6"/>
        <v/>
      </c>
    </row>
    <row r="402" spans="1:9">
      <c r="A402" s="275" t="str">
        <f>IF(B402="","",DATE(IF(INT(B402)&gt;=4,予算!$L$1,予算!$L$2),INT(B402),ROUND(MOD(B402,1)*100,0)))</f>
        <v/>
      </c>
      <c r="B402" s="68"/>
      <c r="C402" s="43"/>
      <c r="D402" s="11" t="str">
        <f>IF(C402="","",VLOOKUP(C402,予算!$B$7:$C$66,2))</f>
        <v/>
      </c>
      <c r="E402" s="43"/>
      <c r="F402" s="200"/>
      <c r="G402" s="32"/>
      <c r="H402" s="32"/>
      <c r="I402" s="50" t="str">
        <f t="shared" si="6"/>
        <v/>
      </c>
    </row>
    <row r="403" spans="1:9">
      <c r="A403" s="275" t="str">
        <f>IF(B403="","",DATE(IF(INT(B403)&gt;=4,予算!$L$1,予算!$L$2),INT(B403),ROUND(MOD(B403,1)*100,0)))</f>
        <v/>
      </c>
      <c r="B403" s="68"/>
      <c r="C403" s="43"/>
      <c r="D403" s="11" t="str">
        <f>IF(C403="","",VLOOKUP(C403,予算!$B$7:$C$66,2))</f>
        <v/>
      </c>
      <c r="E403" s="43"/>
      <c r="F403" s="200"/>
      <c r="G403" s="32"/>
      <c r="H403" s="32"/>
      <c r="I403" s="50" t="str">
        <f t="shared" si="6"/>
        <v/>
      </c>
    </row>
    <row r="404" spans="1:9">
      <c r="A404" s="275" t="str">
        <f>IF(B404="","",DATE(IF(INT(B404)&gt;=4,予算!$L$1,予算!$L$2),INT(B404),ROUND(MOD(B404,1)*100,0)))</f>
        <v/>
      </c>
      <c r="B404" s="68"/>
      <c r="C404" s="43"/>
      <c r="D404" s="11" t="str">
        <f>IF(C404="","",VLOOKUP(C404,予算!$B$7:$C$66,2))</f>
        <v/>
      </c>
      <c r="E404" s="43"/>
      <c r="F404" s="200"/>
      <c r="G404" s="32"/>
      <c r="H404" s="32"/>
      <c r="I404" s="50" t="str">
        <f t="shared" si="6"/>
        <v/>
      </c>
    </row>
    <row r="405" spans="1:9">
      <c r="A405" s="275" t="str">
        <f>IF(B405="","",DATE(IF(INT(B405)&gt;=4,予算!$L$1,予算!$L$2),INT(B405),ROUND(MOD(B405,1)*100,0)))</f>
        <v/>
      </c>
      <c r="B405" s="68"/>
      <c r="C405" s="43"/>
      <c r="D405" s="11" t="str">
        <f>IF(C405="","",VLOOKUP(C405,予算!$B$7:$C$66,2))</f>
        <v/>
      </c>
      <c r="E405" s="43"/>
      <c r="F405" s="200"/>
      <c r="G405" s="32"/>
      <c r="H405" s="32"/>
      <c r="I405" s="50" t="str">
        <f t="shared" si="6"/>
        <v/>
      </c>
    </row>
    <row r="406" spans="1:9">
      <c r="A406" s="275" t="str">
        <f>IF(B406="","",DATE(IF(INT(B406)&gt;=4,予算!$L$1,予算!$L$2),INT(B406),ROUND(MOD(B406,1)*100,0)))</f>
        <v/>
      </c>
      <c r="B406" s="68"/>
      <c r="C406" s="43"/>
      <c r="D406" s="11" t="str">
        <f>IF(C406="","",VLOOKUP(C406,予算!$B$7:$C$66,2))</f>
        <v/>
      </c>
      <c r="E406" s="43"/>
      <c r="F406" s="200"/>
      <c r="G406" s="32"/>
      <c r="H406" s="32"/>
      <c r="I406" s="50" t="str">
        <f t="shared" si="6"/>
        <v/>
      </c>
    </row>
    <row r="407" spans="1:9">
      <c r="A407" s="275" t="str">
        <f>IF(B407="","",DATE(IF(INT(B407)&gt;=4,予算!$L$1,予算!$L$2),INT(B407),ROUND(MOD(B407,1)*100,0)))</f>
        <v/>
      </c>
      <c r="B407" s="68"/>
      <c r="C407" s="43"/>
      <c r="D407" s="11" t="str">
        <f>IF(C407="","",VLOOKUP(C407,予算!$B$7:$C$66,2))</f>
        <v/>
      </c>
      <c r="E407" s="43"/>
      <c r="F407" s="200"/>
      <c r="G407" s="32"/>
      <c r="H407" s="32"/>
      <c r="I407" s="50" t="str">
        <f t="shared" si="6"/>
        <v/>
      </c>
    </row>
    <row r="408" spans="1:9">
      <c r="A408" s="275" t="str">
        <f>IF(B408="","",DATE(IF(INT(B408)&gt;=4,予算!$L$1,予算!$L$2),INT(B408),ROUND(MOD(B408,1)*100,0)))</f>
        <v/>
      </c>
      <c r="B408" s="68"/>
      <c r="C408" s="43"/>
      <c r="D408" s="11" t="str">
        <f>IF(C408="","",VLOOKUP(C408,予算!$B$7:$C$66,2))</f>
        <v/>
      </c>
      <c r="E408" s="43"/>
      <c r="F408" s="200"/>
      <c r="G408" s="32"/>
      <c r="H408" s="32"/>
      <c r="I408" s="50" t="str">
        <f t="shared" si="6"/>
        <v/>
      </c>
    </row>
    <row r="409" spans="1:9">
      <c r="A409" s="275" t="str">
        <f>IF(B409="","",DATE(IF(INT(B409)&gt;=4,予算!$L$1,予算!$L$2),INT(B409),ROUND(MOD(B409,1)*100,0)))</f>
        <v/>
      </c>
      <c r="B409" s="68"/>
      <c r="C409" s="43"/>
      <c r="D409" s="11" t="str">
        <f>IF(C409="","",VLOOKUP(C409,予算!$B$7:$C$66,2))</f>
        <v/>
      </c>
      <c r="E409" s="43"/>
      <c r="F409" s="200"/>
      <c r="G409" s="32"/>
      <c r="H409" s="32"/>
      <c r="I409" s="50" t="str">
        <f t="shared" si="6"/>
        <v/>
      </c>
    </row>
    <row r="410" spans="1:9">
      <c r="A410" s="275" t="str">
        <f>IF(B410="","",DATE(IF(INT(B410)&gt;=4,予算!$L$1,予算!$L$2),INT(B410),ROUND(MOD(B410,1)*100,0)))</f>
        <v/>
      </c>
      <c r="B410" s="68"/>
      <c r="C410" s="43"/>
      <c r="D410" s="11" t="str">
        <f>IF(C410="","",VLOOKUP(C410,予算!$B$7:$C$66,2))</f>
        <v/>
      </c>
      <c r="E410" s="43"/>
      <c r="F410" s="200"/>
      <c r="G410" s="32"/>
      <c r="H410" s="32"/>
      <c r="I410" s="50" t="str">
        <f t="shared" si="6"/>
        <v/>
      </c>
    </row>
    <row r="411" spans="1:9">
      <c r="A411" s="275" t="str">
        <f>IF(B411="","",DATE(IF(INT(B411)&gt;=4,予算!$L$1,予算!$L$2),INT(B411),ROUND(MOD(B411,1)*100,0)))</f>
        <v/>
      </c>
      <c r="B411" s="68"/>
      <c r="C411" s="43"/>
      <c r="D411" s="11" t="str">
        <f>IF(C411="","",VLOOKUP(C411,予算!$B$7:$C$66,2))</f>
        <v/>
      </c>
      <c r="E411" s="43"/>
      <c r="F411" s="200"/>
      <c r="G411" s="32"/>
      <c r="H411" s="32"/>
      <c r="I411" s="50" t="str">
        <f t="shared" si="6"/>
        <v/>
      </c>
    </row>
    <row r="412" spans="1:9">
      <c r="A412" s="275" t="str">
        <f>IF(B412="","",DATE(IF(INT(B412)&gt;=4,予算!$L$1,予算!$L$2),INT(B412),ROUND(MOD(B412,1)*100,0)))</f>
        <v/>
      </c>
      <c r="B412" s="68"/>
      <c r="C412" s="43"/>
      <c r="D412" s="11" t="str">
        <f>IF(C412="","",VLOOKUP(C412,予算!$B$7:$C$66,2))</f>
        <v/>
      </c>
      <c r="E412" s="43"/>
      <c r="F412" s="200"/>
      <c r="G412" s="32"/>
      <c r="H412" s="32"/>
      <c r="I412" s="50" t="str">
        <f t="shared" si="6"/>
        <v/>
      </c>
    </row>
    <row r="413" spans="1:9">
      <c r="A413" s="275" t="str">
        <f>IF(B413="","",DATE(IF(INT(B413)&gt;=4,予算!$L$1,予算!$L$2),INT(B413),ROUND(MOD(B413,1)*100,0)))</f>
        <v/>
      </c>
      <c r="B413" s="68"/>
      <c r="C413" s="43"/>
      <c r="D413" s="11" t="str">
        <f>IF(C413="","",VLOOKUP(C413,予算!$B$7:$C$66,2))</f>
        <v/>
      </c>
      <c r="E413" s="43"/>
      <c r="F413" s="200"/>
      <c r="G413" s="32"/>
      <c r="H413" s="32"/>
      <c r="I413" s="50" t="str">
        <f t="shared" si="6"/>
        <v/>
      </c>
    </row>
    <row r="414" spans="1:9">
      <c r="A414" s="275" t="str">
        <f>IF(B414="","",DATE(IF(INT(B414)&gt;=4,予算!$L$1,予算!$L$2),INT(B414),ROUND(MOD(B414,1)*100,0)))</f>
        <v/>
      </c>
      <c r="B414" s="68"/>
      <c r="C414" s="43"/>
      <c r="D414" s="11" t="str">
        <f>IF(C414="","",VLOOKUP(C414,予算!$B$7:$C$66,2))</f>
        <v/>
      </c>
      <c r="E414" s="43"/>
      <c r="F414" s="200"/>
      <c r="G414" s="32"/>
      <c r="H414" s="32"/>
      <c r="I414" s="50" t="str">
        <f t="shared" si="6"/>
        <v/>
      </c>
    </row>
    <row r="415" spans="1:9">
      <c r="A415" s="275" t="str">
        <f>IF(B415="","",DATE(IF(INT(B415)&gt;=4,予算!$L$1,予算!$L$2),INT(B415),ROUND(MOD(B415,1)*100,0)))</f>
        <v/>
      </c>
      <c r="B415" s="68"/>
      <c r="C415" s="43"/>
      <c r="D415" s="11" t="str">
        <f>IF(C415="","",VLOOKUP(C415,予算!$B$7:$C$66,2))</f>
        <v/>
      </c>
      <c r="E415" s="43"/>
      <c r="F415" s="200"/>
      <c r="G415" s="32"/>
      <c r="H415" s="32"/>
      <c r="I415" s="50" t="str">
        <f t="shared" si="6"/>
        <v/>
      </c>
    </row>
    <row r="416" spans="1:9">
      <c r="A416" s="275" t="str">
        <f>IF(B416="","",DATE(IF(INT(B416)&gt;=4,予算!$L$1,予算!$L$2),INT(B416),ROUND(MOD(B416,1)*100,0)))</f>
        <v/>
      </c>
      <c r="B416" s="68"/>
      <c r="C416" s="43"/>
      <c r="D416" s="11" t="str">
        <f>IF(C416="","",VLOOKUP(C416,予算!$B$7:$C$66,2))</f>
        <v/>
      </c>
      <c r="E416" s="43"/>
      <c r="F416" s="200"/>
      <c r="G416" s="32"/>
      <c r="H416" s="32"/>
      <c r="I416" s="50" t="str">
        <f t="shared" si="6"/>
        <v/>
      </c>
    </row>
    <row r="417" spans="1:9">
      <c r="A417" s="275" t="str">
        <f>IF(B417="","",DATE(IF(INT(B417)&gt;=4,予算!$L$1,予算!$L$2),INT(B417),ROUND(MOD(B417,1)*100,0)))</f>
        <v/>
      </c>
      <c r="B417" s="68"/>
      <c r="C417" s="43"/>
      <c r="D417" s="11" t="str">
        <f>IF(C417="","",VLOOKUP(C417,予算!$B$7:$C$66,2))</f>
        <v/>
      </c>
      <c r="E417" s="43"/>
      <c r="F417" s="200"/>
      <c r="G417" s="32"/>
      <c r="H417" s="32"/>
      <c r="I417" s="50" t="str">
        <f t="shared" si="6"/>
        <v/>
      </c>
    </row>
    <row r="418" spans="1:9">
      <c r="A418" s="275" t="str">
        <f>IF(B418="","",DATE(IF(INT(B418)&gt;=4,予算!$L$1,予算!$L$2),INT(B418),ROUND(MOD(B418,1)*100,0)))</f>
        <v/>
      </c>
      <c r="B418" s="68"/>
      <c r="C418" s="43"/>
      <c r="D418" s="11" t="str">
        <f>IF(C418="","",VLOOKUP(C418,予算!$B$7:$C$66,2))</f>
        <v/>
      </c>
      <c r="E418" s="43"/>
      <c r="F418" s="200"/>
      <c r="G418" s="32"/>
      <c r="H418" s="32"/>
      <c r="I418" s="50" t="str">
        <f t="shared" si="6"/>
        <v/>
      </c>
    </row>
    <row r="419" spans="1:9">
      <c r="A419" s="275" t="str">
        <f>IF(B419="","",DATE(IF(INT(B419)&gt;=4,予算!$L$1,予算!$L$2),INT(B419),ROUND(MOD(B419,1)*100,0)))</f>
        <v/>
      </c>
      <c r="B419" s="68"/>
      <c r="C419" s="43"/>
      <c r="D419" s="11" t="str">
        <f>IF(C419="","",VLOOKUP(C419,予算!$B$7:$C$66,2))</f>
        <v/>
      </c>
      <c r="E419" s="43"/>
      <c r="F419" s="200"/>
      <c r="G419" s="32"/>
      <c r="H419" s="32"/>
      <c r="I419" s="50" t="str">
        <f t="shared" si="6"/>
        <v/>
      </c>
    </row>
    <row r="420" spans="1:9">
      <c r="A420" s="275" t="str">
        <f>IF(B420="","",DATE(IF(INT(B420)&gt;=4,予算!$L$1,予算!$L$2),INT(B420),ROUND(MOD(B420,1)*100,0)))</f>
        <v/>
      </c>
      <c r="B420" s="68"/>
      <c r="C420" s="43"/>
      <c r="D420" s="11" t="str">
        <f>IF(C420="","",VLOOKUP(C420,予算!$B$7:$C$66,2))</f>
        <v/>
      </c>
      <c r="E420" s="43"/>
      <c r="F420" s="200"/>
      <c r="G420" s="32"/>
      <c r="H420" s="32"/>
      <c r="I420" s="50" t="str">
        <f t="shared" si="6"/>
        <v/>
      </c>
    </row>
    <row r="421" spans="1:9">
      <c r="A421" s="275" t="str">
        <f>IF(B421="","",DATE(IF(INT(B421)&gt;=4,予算!$L$1,予算!$L$2),INT(B421),ROUND(MOD(B421,1)*100,0)))</f>
        <v/>
      </c>
      <c r="B421" s="68"/>
      <c r="C421" s="43"/>
      <c r="D421" s="11" t="str">
        <f>IF(C421="","",VLOOKUP(C421,予算!$B$7:$C$66,2))</f>
        <v/>
      </c>
      <c r="E421" s="43"/>
      <c r="F421" s="200"/>
      <c r="G421" s="32"/>
      <c r="H421" s="32"/>
      <c r="I421" s="50" t="str">
        <f t="shared" si="6"/>
        <v/>
      </c>
    </row>
    <row r="422" spans="1:9">
      <c r="A422" s="275" t="str">
        <f>IF(B422="","",DATE(IF(INT(B422)&gt;=4,予算!$L$1,予算!$L$2),INT(B422),ROUND(MOD(B422,1)*100,0)))</f>
        <v/>
      </c>
      <c r="B422" s="68"/>
      <c r="C422" s="43"/>
      <c r="D422" s="11" t="str">
        <f>IF(C422="","",VLOOKUP(C422,予算!$B$7:$C$66,2))</f>
        <v/>
      </c>
      <c r="E422" s="43"/>
      <c r="F422" s="200"/>
      <c r="G422" s="32"/>
      <c r="H422" s="32"/>
      <c r="I422" s="50" t="str">
        <f t="shared" si="6"/>
        <v/>
      </c>
    </row>
    <row r="423" spans="1:9">
      <c r="A423" s="275" t="str">
        <f>IF(B423="","",DATE(IF(INT(B423)&gt;=4,予算!$L$1,予算!$L$2),INT(B423),ROUND(MOD(B423,1)*100,0)))</f>
        <v/>
      </c>
      <c r="B423" s="68"/>
      <c r="C423" s="43"/>
      <c r="D423" s="11" t="str">
        <f>IF(C423="","",VLOOKUP(C423,予算!$B$7:$C$66,2))</f>
        <v/>
      </c>
      <c r="E423" s="43"/>
      <c r="F423" s="200"/>
      <c r="G423" s="32"/>
      <c r="H423" s="32"/>
      <c r="I423" s="50" t="str">
        <f t="shared" si="6"/>
        <v/>
      </c>
    </row>
    <row r="424" spans="1:9">
      <c r="A424" s="275" t="str">
        <f>IF(B424="","",DATE(IF(INT(B424)&gt;=4,予算!$L$1,予算!$L$2),INT(B424),ROUND(MOD(B424,1)*100,0)))</f>
        <v/>
      </c>
      <c r="B424" s="68"/>
      <c r="C424" s="43"/>
      <c r="D424" s="11" t="str">
        <f>IF(C424="","",VLOOKUP(C424,予算!$B$7:$C$66,2))</f>
        <v/>
      </c>
      <c r="E424" s="43"/>
      <c r="F424" s="200"/>
      <c r="G424" s="32"/>
      <c r="H424" s="32"/>
      <c r="I424" s="50" t="str">
        <f t="shared" si="6"/>
        <v/>
      </c>
    </row>
    <row r="425" spans="1:9">
      <c r="A425" s="275" t="str">
        <f>IF(B425="","",DATE(IF(INT(B425)&gt;=4,予算!$L$1,予算!$L$2),INT(B425),ROUND(MOD(B425,1)*100,0)))</f>
        <v/>
      </c>
      <c r="B425" s="68"/>
      <c r="C425" s="43"/>
      <c r="D425" s="11" t="str">
        <f>IF(C425="","",VLOOKUP(C425,予算!$B$7:$C$66,2))</f>
        <v/>
      </c>
      <c r="E425" s="43"/>
      <c r="F425" s="200"/>
      <c r="G425" s="32"/>
      <c r="H425" s="32"/>
      <c r="I425" s="50" t="str">
        <f t="shared" si="6"/>
        <v/>
      </c>
    </row>
    <row r="426" spans="1:9">
      <c r="A426" s="275" t="str">
        <f>IF(B426="","",DATE(IF(INT(B426)&gt;=4,予算!$L$1,予算!$L$2),INT(B426),ROUND(MOD(B426,1)*100,0)))</f>
        <v/>
      </c>
      <c r="B426" s="68"/>
      <c r="C426" s="43"/>
      <c r="D426" s="11" t="str">
        <f>IF(C426="","",VLOOKUP(C426,予算!$B$7:$C$66,2))</f>
        <v/>
      </c>
      <c r="E426" s="43"/>
      <c r="F426" s="200"/>
      <c r="G426" s="32"/>
      <c r="H426" s="32"/>
      <c r="I426" s="50" t="str">
        <f t="shared" si="6"/>
        <v/>
      </c>
    </row>
    <row r="427" spans="1:9">
      <c r="A427" s="275" t="str">
        <f>IF(B427="","",DATE(IF(INT(B427)&gt;=4,予算!$L$1,予算!$L$2),INT(B427),ROUND(MOD(B427,1)*100,0)))</f>
        <v/>
      </c>
      <c r="B427" s="68"/>
      <c r="C427" s="43"/>
      <c r="D427" s="11" t="str">
        <f>IF(C427="","",VLOOKUP(C427,予算!$B$7:$C$66,2))</f>
        <v/>
      </c>
      <c r="E427" s="43"/>
      <c r="F427" s="200"/>
      <c r="G427" s="32"/>
      <c r="H427" s="32"/>
      <c r="I427" s="50" t="str">
        <f t="shared" si="6"/>
        <v/>
      </c>
    </row>
    <row r="428" spans="1:9">
      <c r="A428" s="275" t="str">
        <f>IF(B428="","",DATE(IF(INT(B428)&gt;=4,予算!$L$1,予算!$L$2),INT(B428),ROUND(MOD(B428,1)*100,0)))</f>
        <v/>
      </c>
      <c r="B428" s="68"/>
      <c r="C428" s="43"/>
      <c r="D428" s="11" t="str">
        <f>IF(C428="","",VLOOKUP(C428,予算!$B$7:$C$66,2))</f>
        <v/>
      </c>
      <c r="E428" s="43"/>
      <c r="F428" s="200"/>
      <c r="G428" s="32"/>
      <c r="H428" s="32"/>
      <c r="I428" s="50" t="str">
        <f t="shared" si="6"/>
        <v/>
      </c>
    </row>
    <row r="429" spans="1:9">
      <c r="A429" s="275" t="str">
        <f>IF(B429="","",DATE(IF(INT(B429)&gt;=4,予算!$L$1,予算!$L$2),INT(B429),ROUND(MOD(B429,1)*100,0)))</f>
        <v/>
      </c>
      <c r="B429" s="68"/>
      <c r="C429" s="43"/>
      <c r="D429" s="11" t="str">
        <f>IF(C429="","",VLOOKUP(C429,予算!$B$7:$C$66,2))</f>
        <v/>
      </c>
      <c r="E429" s="43"/>
      <c r="F429" s="200"/>
      <c r="G429" s="32"/>
      <c r="H429" s="32"/>
      <c r="I429" s="50" t="str">
        <f t="shared" si="6"/>
        <v/>
      </c>
    </row>
    <row r="430" spans="1:9">
      <c r="A430" s="275" t="str">
        <f>IF(B430="","",DATE(IF(INT(B430)&gt;=4,予算!$L$1,予算!$L$2),INT(B430),ROUND(MOD(B430,1)*100,0)))</f>
        <v/>
      </c>
      <c r="B430" s="68"/>
      <c r="C430" s="43"/>
      <c r="D430" s="11" t="str">
        <f>IF(C430="","",VLOOKUP(C430,予算!$B$7:$C$66,2))</f>
        <v/>
      </c>
      <c r="E430" s="43"/>
      <c r="F430" s="200"/>
      <c r="G430" s="32"/>
      <c r="H430" s="32"/>
      <c r="I430" s="50" t="str">
        <f t="shared" si="6"/>
        <v/>
      </c>
    </row>
    <row r="431" spans="1:9">
      <c r="A431" s="275" t="str">
        <f>IF(B431="","",DATE(IF(INT(B431)&gt;=4,予算!$L$1,予算!$L$2),INT(B431),ROUND(MOD(B431,1)*100,0)))</f>
        <v/>
      </c>
      <c r="B431" s="68"/>
      <c r="C431" s="43"/>
      <c r="D431" s="11" t="str">
        <f>IF(C431="","",VLOOKUP(C431,予算!$B$7:$C$66,2))</f>
        <v/>
      </c>
      <c r="E431" s="43"/>
      <c r="F431" s="200"/>
      <c r="G431" s="32"/>
      <c r="H431" s="32"/>
      <c r="I431" s="50" t="str">
        <f t="shared" si="6"/>
        <v/>
      </c>
    </row>
    <row r="432" spans="1:9">
      <c r="A432" s="275" t="str">
        <f>IF(B432="","",DATE(IF(INT(B432)&gt;=4,予算!$L$1,予算!$L$2),INT(B432),ROUND(MOD(B432,1)*100,0)))</f>
        <v/>
      </c>
      <c r="B432" s="68"/>
      <c r="C432" s="43"/>
      <c r="D432" s="11" t="str">
        <f>IF(C432="","",VLOOKUP(C432,予算!$B$7:$C$66,2))</f>
        <v/>
      </c>
      <c r="E432" s="43"/>
      <c r="F432" s="200"/>
      <c r="G432" s="32"/>
      <c r="H432" s="32"/>
      <c r="I432" s="50" t="str">
        <f t="shared" si="6"/>
        <v/>
      </c>
    </row>
    <row r="433" spans="1:9">
      <c r="A433" s="275" t="str">
        <f>IF(B433="","",DATE(IF(INT(B433)&gt;=4,予算!$L$1,予算!$L$2),INT(B433),ROUND(MOD(B433,1)*100,0)))</f>
        <v/>
      </c>
      <c r="B433" s="68"/>
      <c r="C433" s="43"/>
      <c r="D433" s="11" t="str">
        <f>IF(C433="","",VLOOKUP(C433,予算!$B$7:$C$66,2))</f>
        <v/>
      </c>
      <c r="E433" s="43"/>
      <c r="F433" s="200"/>
      <c r="G433" s="32"/>
      <c r="H433" s="32"/>
      <c r="I433" s="50" t="str">
        <f t="shared" si="6"/>
        <v/>
      </c>
    </row>
    <row r="434" spans="1:9">
      <c r="A434" s="275" t="str">
        <f>IF(B434="","",DATE(IF(INT(B434)&gt;=4,予算!$L$1,予算!$L$2),INT(B434),ROUND(MOD(B434,1)*100,0)))</f>
        <v/>
      </c>
      <c r="B434" s="68"/>
      <c r="C434" s="43"/>
      <c r="D434" s="11" t="str">
        <f>IF(C434="","",VLOOKUP(C434,予算!$B$7:$C$66,2))</f>
        <v/>
      </c>
      <c r="E434" s="43"/>
      <c r="F434" s="200"/>
      <c r="G434" s="32"/>
      <c r="H434" s="32"/>
      <c r="I434" s="50" t="str">
        <f t="shared" si="6"/>
        <v/>
      </c>
    </row>
    <row r="435" spans="1:9">
      <c r="A435" s="275" t="str">
        <f>IF(B435="","",DATE(IF(INT(B435)&gt;=4,予算!$L$1,予算!$L$2),INT(B435),ROUND(MOD(B435,1)*100,0)))</f>
        <v/>
      </c>
      <c r="B435" s="68"/>
      <c r="C435" s="43"/>
      <c r="D435" s="11" t="str">
        <f>IF(C435="","",VLOOKUP(C435,予算!$B$7:$C$66,2))</f>
        <v/>
      </c>
      <c r="E435" s="43"/>
      <c r="F435" s="200"/>
      <c r="G435" s="32"/>
      <c r="H435" s="32"/>
      <c r="I435" s="50" t="str">
        <f t="shared" si="6"/>
        <v/>
      </c>
    </row>
    <row r="436" spans="1:9">
      <c r="A436" s="275" t="str">
        <f>IF(B436="","",DATE(IF(INT(B436)&gt;=4,予算!$L$1,予算!$L$2),INT(B436),ROUND(MOD(B436,1)*100,0)))</f>
        <v/>
      </c>
      <c r="B436" s="68"/>
      <c r="C436" s="43"/>
      <c r="D436" s="11" t="str">
        <f>IF(C436="","",VLOOKUP(C436,予算!$B$7:$C$66,2))</f>
        <v/>
      </c>
      <c r="E436" s="43"/>
      <c r="F436" s="200"/>
      <c r="G436" s="32"/>
      <c r="H436" s="32"/>
      <c r="I436" s="50" t="str">
        <f t="shared" si="6"/>
        <v/>
      </c>
    </row>
    <row r="437" spans="1:9">
      <c r="A437" s="275" t="str">
        <f>IF(B437="","",DATE(IF(INT(B437)&gt;=4,予算!$L$1,予算!$L$2),INT(B437),ROUND(MOD(B437,1)*100,0)))</f>
        <v/>
      </c>
      <c r="B437" s="68"/>
      <c r="C437" s="43"/>
      <c r="D437" s="11" t="str">
        <f>IF(C437="","",VLOOKUP(C437,予算!$B$7:$C$66,2))</f>
        <v/>
      </c>
      <c r="E437" s="43"/>
      <c r="F437" s="200"/>
      <c r="G437" s="32"/>
      <c r="H437" s="32"/>
      <c r="I437" s="50" t="str">
        <f t="shared" si="6"/>
        <v/>
      </c>
    </row>
    <row r="438" spans="1:9">
      <c r="A438" s="275" t="str">
        <f>IF(B438="","",DATE(IF(INT(B438)&gt;=4,予算!$L$1,予算!$L$2),INT(B438),ROUND(MOD(B438,1)*100,0)))</f>
        <v/>
      </c>
      <c r="B438" s="68"/>
      <c r="C438" s="43"/>
      <c r="D438" s="11" t="str">
        <f>IF(C438="","",VLOOKUP(C438,予算!$B$7:$C$66,2))</f>
        <v/>
      </c>
      <c r="E438" s="43"/>
      <c r="F438" s="200"/>
      <c r="G438" s="32"/>
      <c r="H438" s="32"/>
      <c r="I438" s="50" t="str">
        <f t="shared" si="6"/>
        <v/>
      </c>
    </row>
    <row r="439" spans="1:9">
      <c r="A439" s="275" t="str">
        <f>IF(B439="","",DATE(IF(INT(B439)&gt;=4,予算!$L$1,予算!$L$2),INT(B439),ROUND(MOD(B439,1)*100,0)))</f>
        <v/>
      </c>
      <c r="B439" s="68"/>
      <c r="C439" s="43"/>
      <c r="D439" s="11" t="str">
        <f>IF(C439="","",VLOOKUP(C439,予算!$B$7:$C$66,2))</f>
        <v/>
      </c>
      <c r="E439" s="43"/>
      <c r="F439" s="200"/>
      <c r="G439" s="32"/>
      <c r="H439" s="32"/>
      <c r="I439" s="50" t="str">
        <f t="shared" si="6"/>
        <v/>
      </c>
    </row>
    <row r="440" spans="1:9">
      <c r="A440" s="275" t="str">
        <f>IF(B440="","",DATE(IF(INT(B440)&gt;=4,予算!$L$1,予算!$L$2),INT(B440),ROUND(MOD(B440,1)*100,0)))</f>
        <v/>
      </c>
      <c r="B440" s="68"/>
      <c r="C440" s="43"/>
      <c r="D440" s="11" t="str">
        <f>IF(C440="","",VLOOKUP(C440,予算!$B$7:$C$66,2))</f>
        <v/>
      </c>
      <c r="E440" s="43"/>
      <c r="F440" s="200"/>
      <c r="G440" s="32"/>
      <c r="H440" s="32"/>
      <c r="I440" s="50" t="str">
        <f t="shared" si="6"/>
        <v/>
      </c>
    </row>
    <row r="441" spans="1:9">
      <c r="A441" s="275" t="str">
        <f>IF(B441="","",DATE(IF(INT(B441)&gt;=4,予算!$L$1,予算!$L$2),INT(B441),ROUND(MOD(B441,1)*100,0)))</f>
        <v/>
      </c>
      <c r="B441" s="68"/>
      <c r="C441" s="43"/>
      <c r="D441" s="11" t="str">
        <f>IF(C441="","",VLOOKUP(C441,予算!$B$7:$C$66,2))</f>
        <v/>
      </c>
      <c r="E441" s="43"/>
      <c r="F441" s="200"/>
      <c r="G441" s="32"/>
      <c r="H441" s="32"/>
      <c r="I441" s="50" t="str">
        <f t="shared" si="6"/>
        <v/>
      </c>
    </row>
    <row r="442" spans="1:9">
      <c r="A442" s="275" t="str">
        <f>IF(B442="","",DATE(IF(INT(B442)&gt;=4,予算!$L$1,予算!$L$2),INT(B442),ROUND(MOD(B442,1)*100,0)))</f>
        <v/>
      </c>
      <c r="B442" s="68"/>
      <c r="C442" s="43"/>
      <c r="D442" s="11" t="str">
        <f>IF(C442="","",VLOOKUP(C442,予算!$B$7:$C$66,2))</f>
        <v/>
      </c>
      <c r="E442" s="43"/>
      <c r="F442" s="200"/>
      <c r="G442" s="32"/>
      <c r="H442" s="32"/>
      <c r="I442" s="50" t="str">
        <f t="shared" si="6"/>
        <v/>
      </c>
    </row>
    <row r="443" spans="1:9">
      <c r="A443" s="275" t="str">
        <f>IF(B443="","",DATE(IF(INT(B443)&gt;=4,予算!$L$1,予算!$L$2),INT(B443),ROUND(MOD(B443,1)*100,0)))</f>
        <v/>
      </c>
      <c r="B443" s="68"/>
      <c r="C443" s="43"/>
      <c r="D443" s="11" t="str">
        <f>IF(C443="","",VLOOKUP(C443,予算!$B$7:$C$66,2))</f>
        <v/>
      </c>
      <c r="E443" s="43"/>
      <c r="F443" s="200"/>
      <c r="G443" s="32"/>
      <c r="H443" s="32"/>
      <c r="I443" s="50" t="str">
        <f t="shared" si="6"/>
        <v/>
      </c>
    </row>
    <row r="444" spans="1:9">
      <c r="A444" s="275" t="str">
        <f>IF(B444="","",DATE(IF(INT(B444)&gt;=4,予算!$L$1,予算!$L$2),INT(B444),ROUND(MOD(B444,1)*100,0)))</f>
        <v/>
      </c>
      <c r="B444" s="68"/>
      <c r="C444" s="43"/>
      <c r="D444" s="11" t="str">
        <f>IF(C444="","",VLOOKUP(C444,予算!$B$7:$C$66,2))</f>
        <v/>
      </c>
      <c r="E444" s="43"/>
      <c r="F444" s="200"/>
      <c r="G444" s="32"/>
      <c r="H444" s="32"/>
      <c r="I444" s="50" t="str">
        <f t="shared" si="6"/>
        <v/>
      </c>
    </row>
    <row r="445" spans="1:9">
      <c r="A445" s="275" t="str">
        <f>IF(B445="","",DATE(IF(INT(B445)&gt;=4,予算!$L$1,予算!$L$2),INT(B445),ROUND(MOD(B445,1)*100,0)))</f>
        <v/>
      </c>
      <c r="B445" s="68"/>
      <c r="C445" s="43"/>
      <c r="D445" s="11" t="str">
        <f>IF(C445="","",VLOOKUP(C445,予算!$B$7:$C$66,2))</f>
        <v/>
      </c>
      <c r="E445" s="43"/>
      <c r="F445" s="200"/>
      <c r="G445" s="32"/>
      <c r="H445" s="32"/>
      <c r="I445" s="50" t="str">
        <f t="shared" si="6"/>
        <v/>
      </c>
    </row>
    <row r="446" spans="1:9">
      <c r="A446" s="275" t="str">
        <f>IF(B446="","",DATE(IF(INT(B446)&gt;=4,予算!$L$1,予算!$L$2),INT(B446),ROUND(MOD(B446,1)*100,0)))</f>
        <v/>
      </c>
      <c r="B446" s="68"/>
      <c r="C446" s="43"/>
      <c r="D446" s="11" t="str">
        <f>IF(C446="","",VLOOKUP(C446,予算!$B$7:$C$66,2))</f>
        <v/>
      </c>
      <c r="E446" s="43"/>
      <c r="F446" s="200"/>
      <c r="G446" s="32"/>
      <c r="H446" s="32"/>
      <c r="I446" s="50" t="str">
        <f t="shared" si="6"/>
        <v/>
      </c>
    </row>
    <row r="447" spans="1:9">
      <c r="A447" s="275" t="str">
        <f>IF(B447="","",DATE(IF(INT(B447)&gt;=4,予算!$L$1,予算!$L$2),INT(B447),ROUND(MOD(B447,1)*100,0)))</f>
        <v/>
      </c>
      <c r="B447" s="68"/>
      <c r="C447" s="43"/>
      <c r="D447" s="11" t="str">
        <f>IF(C447="","",VLOOKUP(C447,予算!$B$7:$C$66,2))</f>
        <v/>
      </c>
      <c r="E447" s="43"/>
      <c r="F447" s="200"/>
      <c r="G447" s="32"/>
      <c r="H447" s="32"/>
      <c r="I447" s="50" t="str">
        <f t="shared" si="6"/>
        <v/>
      </c>
    </row>
    <row r="448" spans="1:9">
      <c r="A448" s="275" t="str">
        <f>IF(B448="","",DATE(IF(INT(B448)&gt;=4,予算!$L$1,予算!$L$2),INT(B448),ROUND(MOD(B448,1)*100,0)))</f>
        <v/>
      </c>
      <c r="B448" s="68"/>
      <c r="C448" s="43"/>
      <c r="D448" s="11" t="str">
        <f>IF(C448="","",VLOOKUP(C448,予算!$B$7:$C$66,2))</f>
        <v/>
      </c>
      <c r="E448" s="43"/>
      <c r="F448" s="200"/>
      <c r="G448" s="32"/>
      <c r="H448" s="32"/>
      <c r="I448" s="50" t="str">
        <f t="shared" si="6"/>
        <v/>
      </c>
    </row>
    <row r="449" spans="1:9">
      <c r="A449" s="275" t="str">
        <f>IF(B449="","",DATE(IF(INT(B449)&gt;=4,予算!$L$1,予算!$L$2),INT(B449),ROUND(MOD(B449,1)*100,0)))</f>
        <v/>
      </c>
      <c r="B449" s="68"/>
      <c r="C449" s="43"/>
      <c r="D449" s="11" t="str">
        <f>IF(C449="","",VLOOKUP(C449,予算!$B$7:$C$66,2))</f>
        <v/>
      </c>
      <c r="E449" s="43"/>
      <c r="F449" s="200"/>
      <c r="G449" s="32"/>
      <c r="H449" s="32"/>
      <c r="I449" s="50" t="str">
        <f t="shared" si="6"/>
        <v/>
      </c>
    </row>
    <row r="450" spans="1:9">
      <c r="A450" s="275" t="str">
        <f>IF(B450="","",DATE(IF(INT(B450)&gt;=4,予算!$L$1,予算!$L$2),INT(B450),ROUND(MOD(B450,1)*100,0)))</f>
        <v/>
      </c>
      <c r="B450" s="68"/>
      <c r="C450" s="43"/>
      <c r="D450" s="11" t="str">
        <f>IF(C450="","",VLOOKUP(C450,予算!$B$7:$C$66,2))</f>
        <v/>
      </c>
      <c r="E450" s="43"/>
      <c r="F450" s="200"/>
      <c r="G450" s="32"/>
      <c r="H450" s="32"/>
      <c r="I450" s="50" t="str">
        <f t="shared" si="6"/>
        <v/>
      </c>
    </row>
    <row r="451" spans="1:9">
      <c r="A451" s="275" t="str">
        <f>IF(B451="","",DATE(IF(INT(B451)&gt;=4,予算!$L$1,予算!$L$2),INT(B451),ROUND(MOD(B451,1)*100,0)))</f>
        <v/>
      </c>
      <c r="B451" s="68"/>
      <c r="C451" s="43"/>
      <c r="D451" s="11" t="str">
        <f>IF(C451="","",VLOOKUP(C451,予算!$B$7:$C$66,2))</f>
        <v/>
      </c>
      <c r="E451" s="43"/>
      <c r="F451" s="200"/>
      <c r="G451" s="32"/>
      <c r="H451" s="32"/>
      <c r="I451" s="50" t="str">
        <f t="shared" si="6"/>
        <v/>
      </c>
    </row>
    <row r="452" spans="1:9">
      <c r="A452" s="275" t="str">
        <f>IF(B452="","",DATE(IF(INT(B452)&gt;=4,予算!$L$1,予算!$L$2),INT(B452),ROUND(MOD(B452,1)*100,0)))</f>
        <v/>
      </c>
      <c r="B452" s="68"/>
      <c r="C452" s="43"/>
      <c r="D452" s="11" t="str">
        <f>IF(C452="","",VLOOKUP(C452,予算!$B$7:$C$66,2))</f>
        <v/>
      </c>
      <c r="E452" s="43"/>
      <c r="F452" s="200"/>
      <c r="G452" s="32"/>
      <c r="H452" s="32"/>
      <c r="I452" s="50" t="str">
        <f t="shared" si="6"/>
        <v/>
      </c>
    </row>
    <row r="453" spans="1:9">
      <c r="A453" s="275" t="str">
        <f>IF(B453="","",DATE(IF(INT(B453)&gt;=4,予算!$L$1,予算!$L$2),INT(B453),ROUND(MOD(B453,1)*100,0)))</f>
        <v/>
      </c>
      <c r="B453" s="68"/>
      <c r="C453" s="43"/>
      <c r="D453" s="11" t="str">
        <f>IF(C453="","",VLOOKUP(C453,予算!$B$7:$C$66,2))</f>
        <v/>
      </c>
      <c r="E453" s="43"/>
      <c r="F453" s="200"/>
      <c r="G453" s="32"/>
      <c r="H453" s="32"/>
      <c r="I453" s="50" t="str">
        <f t="shared" si="6"/>
        <v/>
      </c>
    </row>
    <row r="454" spans="1:9">
      <c r="A454" s="275" t="str">
        <f>IF(B454="","",DATE(IF(INT(B454)&gt;=4,予算!$L$1,予算!$L$2),INT(B454),ROUND(MOD(B454,1)*100,0)))</f>
        <v/>
      </c>
      <c r="B454" s="68"/>
      <c r="C454" s="43"/>
      <c r="D454" s="11" t="str">
        <f>IF(C454="","",VLOOKUP(C454,予算!$B$7:$C$66,2))</f>
        <v/>
      </c>
      <c r="E454" s="43"/>
      <c r="F454" s="200"/>
      <c r="G454" s="32"/>
      <c r="H454" s="32"/>
      <c r="I454" s="50" t="str">
        <f t="shared" si="6"/>
        <v/>
      </c>
    </row>
    <row r="455" spans="1:9">
      <c r="A455" s="275" t="str">
        <f>IF(B455="","",DATE(IF(INT(B455)&gt;=4,予算!$L$1,予算!$L$2),INT(B455),ROUND(MOD(B455,1)*100,0)))</f>
        <v/>
      </c>
      <c r="B455" s="68"/>
      <c r="C455" s="43"/>
      <c r="D455" s="11" t="str">
        <f>IF(C455="","",VLOOKUP(C455,予算!$B$7:$C$66,2))</f>
        <v/>
      </c>
      <c r="E455" s="43"/>
      <c r="F455" s="200"/>
      <c r="G455" s="32"/>
      <c r="H455" s="32"/>
      <c r="I455" s="50" t="str">
        <f t="shared" si="6"/>
        <v/>
      </c>
    </row>
    <row r="456" spans="1:9">
      <c r="A456" s="275" t="str">
        <f>IF(B456="","",DATE(IF(INT(B456)&gt;=4,予算!$L$1,予算!$L$2),INT(B456),ROUND(MOD(B456,1)*100,0)))</f>
        <v/>
      </c>
      <c r="B456" s="68"/>
      <c r="C456" s="43"/>
      <c r="D456" s="11" t="str">
        <f>IF(C456="","",VLOOKUP(C456,予算!$B$7:$C$66,2))</f>
        <v/>
      </c>
      <c r="E456" s="43"/>
      <c r="F456" s="200"/>
      <c r="G456" s="32"/>
      <c r="H456" s="32"/>
      <c r="I456" s="50" t="str">
        <f t="shared" si="6"/>
        <v/>
      </c>
    </row>
    <row r="457" spans="1:9">
      <c r="A457" s="275" t="str">
        <f>IF(B457="","",DATE(IF(INT(B457)&gt;=4,予算!$L$1,予算!$L$2),INT(B457),ROUND(MOD(B457,1)*100,0)))</f>
        <v/>
      </c>
      <c r="B457" s="68"/>
      <c r="C457" s="43"/>
      <c r="D457" s="11" t="str">
        <f>IF(C457="","",VLOOKUP(C457,予算!$B$7:$C$66,2))</f>
        <v/>
      </c>
      <c r="E457" s="43"/>
      <c r="F457" s="200"/>
      <c r="G457" s="32"/>
      <c r="H457" s="32"/>
      <c r="I457" s="50" t="str">
        <f t="shared" ref="I457:I520" si="7">IF(C457="","",I456+G457-H457)</f>
        <v/>
      </c>
    </row>
    <row r="458" spans="1:9">
      <c r="A458" s="275" t="str">
        <f>IF(B458="","",DATE(IF(INT(B458)&gt;=4,予算!$L$1,予算!$L$2),INT(B458),ROUND(MOD(B458,1)*100,0)))</f>
        <v/>
      </c>
      <c r="B458" s="68"/>
      <c r="C458" s="43"/>
      <c r="D458" s="11" t="str">
        <f>IF(C458="","",VLOOKUP(C458,予算!$B$7:$C$66,2))</f>
        <v/>
      </c>
      <c r="E458" s="43"/>
      <c r="F458" s="200"/>
      <c r="G458" s="32"/>
      <c r="H458" s="32"/>
      <c r="I458" s="50" t="str">
        <f t="shared" si="7"/>
        <v/>
      </c>
    </row>
    <row r="459" spans="1:9">
      <c r="A459" s="275" t="str">
        <f>IF(B459="","",DATE(IF(INT(B459)&gt;=4,予算!$L$1,予算!$L$2),INT(B459),ROUND(MOD(B459,1)*100,0)))</f>
        <v/>
      </c>
      <c r="B459" s="68"/>
      <c r="C459" s="43"/>
      <c r="D459" s="11" t="str">
        <f>IF(C459="","",VLOOKUP(C459,予算!$B$7:$C$66,2))</f>
        <v/>
      </c>
      <c r="E459" s="43"/>
      <c r="F459" s="200"/>
      <c r="G459" s="32"/>
      <c r="H459" s="32"/>
      <c r="I459" s="50" t="str">
        <f t="shared" si="7"/>
        <v/>
      </c>
    </row>
    <row r="460" spans="1:9">
      <c r="A460" s="275" t="str">
        <f>IF(B460="","",DATE(IF(INT(B460)&gt;=4,予算!$L$1,予算!$L$2),INT(B460),ROUND(MOD(B460,1)*100,0)))</f>
        <v/>
      </c>
      <c r="B460" s="68"/>
      <c r="C460" s="43"/>
      <c r="D460" s="11" t="str">
        <f>IF(C460="","",VLOOKUP(C460,予算!$B$7:$C$66,2))</f>
        <v/>
      </c>
      <c r="E460" s="43"/>
      <c r="F460" s="200"/>
      <c r="G460" s="32"/>
      <c r="H460" s="32"/>
      <c r="I460" s="50" t="str">
        <f t="shared" si="7"/>
        <v/>
      </c>
    </row>
    <row r="461" spans="1:9">
      <c r="A461" s="275" t="str">
        <f>IF(B461="","",DATE(IF(INT(B461)&gt;=4,予算!$L$1,予算!$L$2),INT(B461),ROUND(MOD(B461,1)*100,0)))</f>
        <v/>
      </c>
      <c r="B461" s="68"/>
      <c r="C461" s="43"/>
      <c r="D461" s="11" t="str">
        <f>IF(C461="","",VLOOKUP(C461,予算!$B$7:$C$66,2))</f>
        <v/>
      </c>
      <c r="E461" s="43"/>
      <c r="F461" s="200"/>
      <c r="G461" s="32"/>
      <c r="H461" s="32"/>
      <c r="I461" s="50" t="str">
        <f t="shared" si="7"/>
        <v/>
      </c>
    </row>
    <row r="462" spans="1:9">
      <c r="A462" s="275" t="str">
        <f>IF(B462="","",DATE(IF(INT(B462)&gt;=4,予算!$L$1,予算!$L$2),INT(B462),ROUND(MOD(B462,1)*100,0)))</f>
        <v/>
      </c>
      <c r="B462" s="68"/>
      <c r="C462" s="43"/>
      <c r="D462" s="11" t="str">
        <f>IF(C462="","",VLOOKUP(C462,予算!$B$7:$C$66,2))</f>
        <v/>
      </c>
      <c r="E462" s="43"/>
      <c r="F462" s="200"/>
      <c r="G462" s="32"/>
      <c r="H462" s="32"/>
      <c r="I462" s="50" t="str">
        <f t="shared" si="7"/>
        <v/>
      </c>
    </row>
    <row r="463" spans="1:9">
      <c r="A463" s="275" t="str">
        <f>IF(B463="","",DATE(IF(INT(B463)&gt;=4,予算!$L$1,予算!$L$2),INT(B463),ROUND(MOD(B463,1)*100,0)))</f>
        <v/>
      </c>
      <c r="B463" s="68"/>
      <c r="C463" s="43"/>
      <c r="D463" s="11" t="str">
        <f>IF(C463="","",VLOOKUP(C463,予算!$B$7:$C$66,2))</f>
        <v/>
      </c>
      <c r="E463" s="43"/>
      <c r="F463" s="200"/>
      <c r="G463" s="32"/>
      <c r="H463" s="32"/>
      <c r="I463" s="50" t="str">
        <f t="shared" si="7"/>
        <v/>
      </c>
    </row>
    <row r="464" spans="1:9">
      <c r="A464" s="275" t="str">
        <f>IF(B464="","",DATE(IF(INT(B464)&gt;=4,予算!$L$1,予算!$L$2),INT(B464),ROUND(MOD(B464,1)*100,0)))</f>
        <v/>
      </c>
      <c r="B464" s="68"/>
      <c r="C464" s="43"/>
      <c r="D464" s="11" t="str">
        <f>IF(C464="","",VLOOKUP(C464,予算!$B$7:$C$66,2))</f>
        <v/>
      </c>
      <c r="E464" s="43"/>
      <c r="F464" s="200"/>
      <c r="G464" s="32"/>
      <c r="H464" s="32"/>
      <c r="I464" s="50" t="str">
        <f t="shared" si="7"/>
        <v/>
      </c>
    </row>
    <row r="465" spans="1:9">
      <c r="A465" s="275" t="str">
        <f>IF(B465="","",DATE(IF(INT(B465)&gt;=4,予算!$L$1,予算!$L$2),INT(B465),ROUND(MOD(B465,1)*100,0)))</f>
        <v/>
      </c>
      <c r="B465" s="68"/>
      <c r="C465" s="43"/>
      <c r="D465" s="11" t="str">
        <f>IF(C465="","",VLOOKUP(C465,予算!$B$7:$C$66,2))</f>
        <v/>
      </c>
      <c r="E465" s="43"/>
      <c r="F465" s="200"/>
      <c r="G465" s="32"/>
      <c r="H465" s="32"/>
      <c r="I465" s="50" t="str">
        <f t="shared" si="7"/>
        <v/>
      </c>
    </row>
    <row r="466" spans="1:9">
      <c r="A466" s="275" t="str">
        <f>IF(B466="","",DATE(IF(INT(B466)&gt;=4,予算!$L$1,予算!$L$2),INT(B466),ROUND(MOD(B466,1)*100,0)))</f>
        <v/>
      </c>
      <c r="B466" s="68"/>
      <c r="C466" s="43"/>
      <c r="D466" s="11" t="str">
        <f>IF(C466="","",VLOOKUP(C466,予算!$B$7:$C$66,2))</f>
        <v/>
      </c>
      <c r="E466" s="43"/>
      <c r="F466" s="200"/>
      <c r="G466" s="32"/>
      <c r="H466" s="32"/>
      <c r="I466" s="50" t="str">
        <f t="shared" si="7"/>
        <v/>
      </c>
    </row>
    <row r="467" spans="1:9">
      <c r="A467" s="275" t="str">
        <f>IF(B467="","",DATE(IF(INT(B467)&gt;=4,予算!$L$1,予算!$L$2),INT(B467),ROUND(MOD(B467,1)*100,0)))</f>
        <v/>
      </c>
      <c r="B467" s="68"/>
      <c r="C467" s="43"/>
      <c r="D467" s="11" t="str">
        <f>IF(C467="","",VLOOKUP(C467,予算!$B$7:$C$66,2))</f>
        <v/>
      </c>
      <c r="E467" s="43"/>
      <c r="F467" s="200"/>
      <c r="G467" s="32"/>
      <c r="H467" s="32"/>
      <c r="I467" s="50" t="str">
        <f t="shared" si="7"/>
        <v/>
      </c>
    </row>
    <row r="468" spans="1:9">
      <c r="A468" s="275" t="str">
        <f>IF(B468="","",DATE(IF(INT(B468)&gt;=4,予算!$L$1,予算!$L$2),INT(B468),ROUND(MOD(B468,1)*100,0)))</f>
        <v/>
      </c>
      <c r="B468" s="68"/>
      <c r="C468" s="43"/>
      <c r="D468" s="11" t="str">
        <f>IF(C468="","",VLOOKUP(C468,予算!$B$7:$C$66,2))</f>
        <v/>
      </c>
      <c r="E468" s="43"/>
      <c r="F468" s="200"/>
      <c r="G468" s="32"/>
      <c r="H468" s="32"/>
      <c r="I468" s="50" t="str">
        <f t="shared" si="7"/>
        <v/>
      </c>
    </row>
    <row r="469" spans="1:9">
      <c r="A469" s="275" t="str">
        <f>IF(B469="","",DATE(IF(INT(B469)&gt;=4,予算!$L$1,予算!$L$2),INT(B469),ROUND(MOD(B469,1)*100,0)))</f>
        <v/>
      </c>
      <c r="B469" s="68"/>
      <c r="C469" s="43"/>
      <c r="D469" s="11" t="str">
        <f>IF(C469="","",VLOOKUP(C469,予算!$B$7:$C$66,2))</f>
        <v/>
      </c>
      <c r="E469" s="43"/>
      <c r="F469" s="200"/>
      <c r="G469" s="32"/>
      <c r="H469" s="32"/>
      <c r="I469" s="50" t="str">
        <f t="shared" si="7"/>
        <v/>
      </c>
    </row>
    <row r="470" spans="1:9">
      <c r="A470" s="275" t="str">
        <f>IF(B470="","",DATE(IF(INT(B470)&gt;=4,予算!$L$1,予算!$L$2),INT(B470),ROUND(MOD(B470,1)*100,0)))</f>
        <v/>
      </c>
      <c r="B470" s="68"/>
      <c r="C470" s="43"/>
      <c r="D470" s="11" t="str">
        <f>IF(C470="","",VLOOKUP(C470,予算!$B$7:$C$66,2))</f>
        <v/>
      </c>
      <c r="E470" s="43"/>
      <c r="F470" s="200"/>
      <c r="G470" s="32"/>
      <c r="H470" s="32"/>
      <c r="I470" s="50" t="str">
        <f t="shared" si="7"/>
        <v/>
      </c>
    </row>
    <row r="471" spans="1:9">
      <c r="A471" s="275" t="str">
        <f>IF(B471="","",DATE(IF(INT(B471)&gt;=4,予算!$L$1,予算!$L$2),INT(B471),ROUND(MOD(B471,1)*100,0)))</f>
        <v/>
      </c>
      <c r="B471" s="68"/>
      <c r="C471" s="43"/>
      <c r="D471" s="11" t="str">
        <f>IF(C471="","",VLOOKUP(C471,予算!$B$7:$C$66,2))</f>
        <v/>
      </c>
      <c r="E471" s="43"/>
      <c r="F471" s="200"/>
      <c r="G471" s="32"/>
      <c r="H471" s="32"/>
      <c r="I471" s="50" t="str">
        <f t="shared" si="7"/>
        <v/>
      </c>
    </row>
    <row r="472" spans="1:9">
      <c r="A472" s="275" t="str">
        <f>IF(B472="","",DATE(IF(INT(B472)&gt;=4,予算!$L$1,予算!$L$2),INT(B472),ROUND(MOD(B472,1)*100,0)))</f>
        <v/>
      </c>
      <c r="B472" s="68"/>
      <c r="C472" s="43"/>
      <c r="D472" s="11" t="str">
        <f>IF(C472="","",VLOOKUP(C472,予算!$B$7:$C$66,2))</f>
        <v/>
      </c>
      <c r="E472" s="43"/>
      <c r="F472" s="200"/>
      <c r="G472" s="32"/>
      <c r="H472" s="32"/>
      <c r="I472" s="50" t="str">
        <f t="shared" si="7"/>
        <v/>
      </c>
    </row>
    <row r="473" spans="1:9">
      <c r="A473" s="275" t="str">
        <f>IF(B473="","",DATE(IF(INT(B473)&gt;=4,予算!$L$1,予算!$L$2),INT(B473),ROUND(MOD(B473,1)*100,0)))</f>
        <v/>
      </c>
      <c r="B473" s="68"/>
      <c r="C473" s="43"/>
      <c r="D473" s="11" t="str">
        <f>IF(C473="","",VLOOKUP(C473,予算!$B$7:$C$66,2))</f>
        <v/>
      </c>
      <c r="E473" s="43"/>
      <c r="F473" s="200"/>
      <c r="G473" s="32"/>
      <c r="H473" s="32"/>
      <c r="I473" s="50" t="str">
        <f t="shared" si="7"/>
        <v/>
      </c>
    </row>
    <row r="474" spans="1:9">
      <c r="A474" s="275" t="str">
        <f>IF(B474="","",DATE(IF(INT(B474)&gt;=4,予算!$L$1,予算!$L$2),INT(B474),ROUND(MOD(B474,1)*100,0)))</f>
        <v/>
      </c>
      <c r="B474" s="68"/>
      <c r="C474" s="43"/>
      <c r="D474" s="11" t="str">
        <f>IF(C474="","",VLOOKUP(C474,予算!$B$7:$C$66,2))</f>
        <v/>
      </c>
      <c r="E474" s="43"/>
      <c r="F474" s="200"/>
      <c r="G474" s="32"/>
      <c r="H474" s="32"/>
      <c r="I474" s="50" t="str">
        <f t="shared" si="7"/>
        <v/>
      </c>
    </row>
    <row r="475" spans="1:9">
      <c r="A475" s="275" t="str">
        <f>IF(B475="","",DATE(IF(INT(B475)&gt;=4,予算!$L$1,予算!$L$2),INT(B475),ROUND(MOD(B475,1)*100,0)))</f>
        <v/>
      </c>
      <c r="B475" s="68"/>
      <c r="C475" s="43"/>
      <c r="D475" s="11" t="str">
        <f>IF(C475="","",VLOOKUP(C475,予算!$B$7:$C$66,2))</f>
        <v/>
      </c>
      <c r="E475" s="43"/>
      <c r="F475" s="200"/>
      <c r="G475" s="32"/>
      <c r="H475" s="32"/>
      <c r="I475" s="50" t="str">
        <f t="shared" si="7"/>
        <v/>
      </c>
    </row>
    <row r="476" spans="1:9">
      <c r="A476" s="275" t="str">
        <f>IF(B476="","",DATE(IF(INT(B476)&gt;=4,予算!$L$1,予算!$L$2),INT(B476),ROUND(MOD(B476,1)*100,0)))</f>
        <v/>
      </c>
      <c r="B476" s="68"/>
      <c r="C476" s="43"/>
      <c r="D476" s="11" t="str">
        <f>IF(C476="","",VLOOKUP(C476,予算!$B$7:$C$66,2))</f>
        <v/>
      </c>
      <c r="E476" s="43"/>
      <c r="F476" s="200"/>
      <c r="G476" s="32"/>
      <c r="H476" s="32"/>
      <c r="I476" s="50" t="str">
        <f t="shared" si="7"/>
        <v/>
      </c>
    </row>
    <row r="477" spans="1:9">
      <c r="A477" s="275" t="str">
        <f>IF(B477="","",DATE(IF(INT(B477)&gt;=4,予算!$L$1,予算!$L$2),INT(B477),ROUND(MOD(B477,1)*100,0)))</f>
        <v/>
      </c>
      <c r="B477" s="68"/>
      <c r="C477" s="43"/>
      <c r="D477" s="11" t="str">
        <f>IF(C477="","",VLOOKUP(C477,予算!$B$7:$C$66,2))</f>
        <v/>
      </c>
      <c r="E477" s="43"/>
      <c r="F477" s="200"/>
      <c r="G477" s="32"/>
      <c r="H477" s="32"/>
      <c r="I477" s="50" t="str">
        <f t="shared" si="7"/>
        <v/>
      </c>
    </row>
    <row r="478" spans="1:9">
      <c r="A478" s="275" t="str">
        <f>IF(B478="","",DATE(IF(INT(B478)&gt;=4,予算!$L$1,予算!$L$2),INT(B478),ROUND(MOD(B478,1)*100,0)))</f>
        <v/>
      </c>
      <c r="B478" s="68"/>
      <c r="C478" s="43"/>
      <c r="D478" s="11" t="str">
        <f>IF(C478="","",VLOOKUP(C478,予算!$B$7:$C$66,2))</f>
        <v/>
      </c>
      <c r="E478" s="43"/>
      <c r="F478" s="200"/>
      <c r="G478" s="32"/>
      <c r="H478" s="32"/>
      <c r="I478" s="50" t="str">
        <f t="shared" si="7"/>
        <v/>
      </c>
    </row>
    <row r="479" spans="1:9">
      <c r="A479" s="275" t="str">
        <f>IF(B479="","",DATE(IF(INT(B479)&gt;=4,予算!$L$1,予算!$L$2),INT(B479),ROUND(MOD(B479,1)*100,0)))</f>
        <v/>
      </c>
      <c r="B479" s="68"/>
      <c r="C479" s="43"/>
      <c r="D479" s="11" t="str">
        <f>IF(C479="","",VLOOKUP(C479,予算!$B$7:$C$66,2))</f>
        <v/>
      </c>
      <c r="E479" s="43"/>
      <c r="F479" s="200"/>
      <c r="G479" s="32"/>
      <c r="H479" s="32"/>
      <c r="I479" s="50" t="str">
        <f t="shared" si="7"/>
        <v/>
      </c>
    </row>
    <row r="480" spans="1:9">
      <c r="A480" s="275" t="str">
        <f>IF(B480="","",DATE(IF(INT(B480)&gt;=4,予算!$L$1,予算!$L$2),INT(B480),ROUND(MOD(B480,1)*100,0)))</f>
        <v/>
      </c>
      <c r="B480" s="68"/>
      <c r="C480" s="43"/>
      <c r="D480" s="11" t="str">
        <f>IF(C480="","",VLOOKUP(C480,予算!$B$7:$C$66,2))</f>
        <v/>
      </c>
      <c r="E480" s="43"/>
      <c r="F480" s="200"/>
      <c r="G480" s="32"/>
      <c r="H480" s="32"/>
      <c r="I480" s="50" t="str">
        <f t="shared" si="7"/>
        <v/>
      </c>
    </row>
    <row r="481" spans="1:9">
      <c r="A481" s="275" t="str">
        <f>IF(B481="","",DATE(IF(INT(B481)&gt;=4,予算!$L$1,予算!$L$2),INT(B481),ROUND(MOD(B481,1)*100,0)))</f>
        <v/>
      </c>
      <c r="B481" s="68"/>
      <c r="C481" s="43"/>
      <c r="D481" s="11" t="str">
        <f>IF(C481="","",VLOOKUP(C481,予算!$B$7:$C$66,2))</f>
        <v/>
      </c>
      <c r="E481" s="43"/>
      <c r="F481" s="200"/>
      <c r="G481" s="32"/>
      <c r="H481" s="32"/>
      <c r="I481" s="50" t="str">
        <f t="shared" si="7"/>
        <v/>
      </c>
    </row>
    <row r="482" spans="1:9">
      <c r="A482" s="275" t="str">
        <f>IF(B482="","",DATE(IF(INT(B482)&gt;=4,予算!$L$1,予算!$L$2),INT(B482),ROUND(MOD(B482,1)*100,0)))</f>
        <v/>
      </c>
      <c r="B482" s="68"/>
      <c r="C482" s="43"/>
      <c r="D482" s="11" t="str">
        <f>IF(C482="","",VLOOKUP(C482,予算!$B$7:$C$66,2))</f>
        <v/>
      </c>
      <c r="E482" s="43"/>
      <c r="F482" s="200"/>
      <c r="G482" s="32"/>
      <c r="H482" s="32"/>
      <c r="I482" s="50" t="str">
        <f t="shared" si="7"/>
        <v/>
      </c>
    </row>
    <row r="483" spans="1:9">
      <c r="A483" s="275" t="str">
        <f>IF(B483="","",DATE(IF(INT(B483)&gt;=4,予算!$L$1,予算!$L$2),INT(B483),ROUND(MOD(B483,1)*100,0)))</f>
        <v/>
      </c>
      <c r="B483" s="68"/>
      <c r="C483" s="43"/>
      <c r="D483" s="11" t="str">
        <f>IF(C483="","",VLOOKUP(C483,予算!$B$7:$C$66,2))</f>
        <v/>
      </c>
      <c r="E483" s="43"/>
      <c r="F483" s="200"/>
      <c r="G483" s="32"/>
      <c r="H483" s="32"/>
      <c r="I483" s="50" t="str">
        <f t="shared" si="7"/>
        <v/>
      </c>
    </row>
    <row r="484" spans="1:9">
      <c r="A484" s="275" t="str">
        <f>IF(B484="","",DATE(IF(INT(B484)&gt;=4,予算!$L$1,予算!$L$2),INT(B484),ROUND(MOD(B484,1)*100,0)))</f>
        <v/>
      </c>
      <c r="B484" s="68"/>
      <c r="C484" s="43"/>
      <c r="D484" s="11" t="str">
        <f>IF(C484="","",VLOOKUP(C484,予算!$B$7:$C$66,2))</f>
        <v/>
      </c>
      <c r="E484" s="43"/>
      <c r="F484" s="200"/>
      <c r="G484" s="32"/>
      <c r="H484" s="32"/>
      <c r="I484" s="50" t="str">
        <f t="shared" si="7"/>
        <v/>
      </c>
    </row>
    <row r="485" spans="1:9">
      <c r="A485" s="275" t="str">
        <f>IF(B485="","",DATE(IF(INT(B485)&gt;=4,予算!$L$1,予算!$L$2),INT(B485),ROUND(MOD(B485,1)*100,0)))</f>
        <v/>
      </c>
      <c r="B485" s="68"/>
      <c r="C485" s="43"/>
      <c r="D485" s="11" t="str">
        <f>IF(C485="","",VLOOKUP(C485,予算!$B$7:$C$66,2))</f>
        <v/>
      </c>
      <c r="E485" s="43"/>
      <c r="F485" s="200"/>
      <c r="G485" s="32"/>
      <c r="H485" s="32"/>
      <c r="I485" s="50" t="str">
        <f t="shared" si="7"/>
        <v/>
      </c>
    </row>
    <row r="486" spans="1:9">
      <c r="A486" s="275" t="str">
        <f>IF(B486="","",DATE(IF(INT(B486)&gt;=4,予算!$L$1,予算!$L$2),INT(B486),ROUND(MOD(B486,1)*100,0)))</f>
        <v/>
      </c>
      <c r="B486" s="68"/>
      <c r="C486" s="43"/>
      <c r="D486" s="11" t="str">
        <f>IF(C486="","",VLOOKUP(C486,予算!$B$7:$C$66,2))</f>
        <v/>
      </c>
      <c r="E486" s="43"/>
      <c r="F486" s="200"/>
      <c r="G486" s="32"/>
      <c r="H486" s="32"/>
      <c r="I486" s="50" t="str">
        <f t="shared" si="7"/>
        <v/>
      </c>
    </row>
    <row r="487" spans="1:9">
      <c r="A487" s="275" t="str">
        <f>IF(B487="","",DATE(IF(INT(B487)&gt;=4,予算!$L$1,予算!$L$2),INT(B487),ROUND(MOD(B487,1)*100,0)))</f>
        <v/>
      </c>
      <c r="B487" s="68"/>
      <c r="C487" s="43"/>
      <c r="D487" s="11" t="str">
        <f>IF(C487="","",VLOOKUP(C487,予算!$B$7:$C$66,2))</f>
        <v/>
      </c>
      <c r="E487" s="43"/>
      <c r="F487" s="200"/>
      <c r="G487" s="32"/>
      <c r="H487" s="32"/>
      <c r="I487" s="50" t="str">
        <f t="shared" si="7"/>
        <v/>
      </c>
    </row>
    <row r="488" spans="1:9">
      <c r="A488" s="275" t="str">
        <f>IF(B488="","",DATE(IF(INT(B488)&gt;=4,予算!$L$1,予算!$L$2),INT(B488),ROUND(MOD(B488,1)*100,0)))</f>
        <v/>
      </c>
      <c r="B488" s="68"/>
      <c r="C488" s="43"/>
      <c r="D488" s="11" t="str">
        <f>IF(C488="","",VLOOKUP(C488,予算!$B$7:$C$66,2))</f>
        <v/>
      </c>
      <c r="E488" s="43"/>
      <c r="F488" s="200"/>
      <c r="G488" s="32"/>
      <c r="H488" s="32"/>
      <c r="I488" s="50" t="str">
        <f t="shared" si="7"/>
        <v/>
      </c>
    </row>
    <row r="489" spans="1:9">
      <c r="A489" s="275" t="str">
        <f>IF(B489="","",DATE(IF(INT(B489)&gt;=4,予算!$L$1,予算!$L$2),INT(B489),ROUND(MOD(B489,1)*100,0)))</f>
        <v/>
      </c>
      <c r="B489" s="68"/>
      <c r="C489" s="43"/>
      <c r="D489" s="11" t="str">
        <f>IF(C489="","",VLOOKUP(C489,予算!$B$7:$C$66,2))</f>
        <v/>
      </c>
      <c r="E489" s="43"/>
      <c r="F489" s="200"/>
      <c r="G489" s="32"/>
      <c r="H489" s="32"/>
      <c r="I489" s="50" t="str">
        <f t="shared" si="7"/>
        <v/>
      </c>
    </row>
    <row r="490" spans="1:9">
      <c r="A490" s="275" t="str">
        <f>IF(B490="","",DATE(IF(INT(B490)&gt;=4,予算!$L$1,予算!$L$2),INT(B490),ROUND(MOD(B490,1)*100,0)))</f>
        <v/>
      </c>
      <c r="B490" s="68"/>
      <c r="C490" s="43"/>
      <c r="D490" s="11" t="str">
        <f>IF(C490="","",VLOOKUP(C490,予算!$B$7:$C$66,2))</f>
        <v/>
      </c>
      <c r="E490" s="43"/>
      <c r="F490" s="200"/>
      <c r="G490" s="32"/>
      <c r="H490" s="32"/>
      <c r="I490" s="50" t="str">
        <f t="shared" si="7"/>
        <v/>
      </c>
    </row>
    <row r="491" spans="1:9">
      <c r="A491" s="275" t="str">
        <f>IF(B491="","",DATE(IF(INT(B491)&gt;=4,予算!$L$1,予算!$L$2),INT(B491),ROUND(MOD(B491,1)*100,0)))</f>
        <v/>
      </c>
      <c r="B491" s="68"/>
      <c r="C491" s="43"/>
      <c r="D491" s="11" t="str">
        <f>IF(C491="","",VLOOKUP(C491,予算!$B$7:$C$66,2))</f>
        <v/>
      </c>
      <c r="E491" s="43"/>
      <c r="F491" s="200"/>
      <c r="G491" s="32"/>
      <c r="H491" s="32"/>
      <c r="I491" s="50" t="str">
        <f t="shared" si="7"/>
        <v/>
      </c>
    </row>
    <row r="492" spans="1:9">
      <c r="A492" s="275" t="str">
        <f>IF(B492="","",DATE(IF(INT(B492)&gt;=4,予算!$L$1,予算!$L$2),INT(B492),ROUND(MOD(B492,1)*100,0)))</f>
        <v/>
      </c>
      <c r="B492" s="68"/>
      <c r="C492" s="43"/>
      <c r="D492" s="11" t="str">
        <f>IF(C492="","",VLOOKUP(C492,予算!$B$7:$C$66,2))</f>
        <v/>
      </c>
      <c r="E492" s="43"/>
      <c r="F492" s="200"/>
      <c r="G492" s="32"/>
      <c r="H492" s="32"/>
      <c r="I492" s="50" t="str">
        <f t="shared" si="7"/>
        <v/>
      </c>
    </row>
    <row r="493" spans="1:9">
      <c r="A493" s="275" t="str">
        <f>IF(B493="","",DATE(IF(INT(B493)&gt;=4,予算!$L$1,予算!$L$2),INT(B493),ROUND(MOD(B493,1)*100,0)))</f>
        <v/>
      </c>
      <c r="B493" s="68"/>
      <c r="C493" s="43"/>
      <c r="D493" s="11" t="str">
        <f>IF(C493="","",VLOOKUP(C493,予算!$B$7:$C$66,2))</f>
        <v/>
      </c>
      <c r="E493" s="43"/>
      <c r="F493" s="200"/>
      <c r="G493" s="32"/>
      <c r="H493" s="32"/>
      <c r="I493" s="50" t="str">
        <f t="shared" si="7"/>
        <v/>
      </c>
    </row>
    <row r="494" spans="1:9">
      <c r="A494" s="275" t="str">
        <f>IF(B494="","",DATE(IF(INT(B494)&gt;=4,予算!$L$1,予算!$L$2),INT(B494),ROUND(MOD(B494,1)*100,0)))</f>
        <v/>
      </c>
      <c r="B494" s="68"/>
      <c r="C494" s="43"/>
      <c r="D494" s="11" t="str">
        <f>IF(C494="","",VLOOKUP(C494,予算!$B$7:$C$66,2))</f>
        <v/>
      </c>
      <c r="E494" s="43"/>
      <c r="F494" s="200"/>
      <c r="G494" s="32"/>
      <c r="H494" s="32"/>
      <c r="I494" s="50" t="str">
        <f t="shared" si="7"/>
        <v/>
      </c>
    </row>
    <row r="495" spans="1:9">
      <c r="A495" s="275" t="str">
        <f>IF(B495="","",DATE(IF(INT(B495)&gt;=4,予算!$L$1,予算!$L$2),INT(B495),ROUND(MOD(B495,1)*100,0)))</f>
        <v/>
      </c>
      <c r="B495" s="68"/>
      <c r="C495" s="43"/>
      <c r="D495" s="11" t="str">
        <f>IF(C495="","",VLOOKUP(C495,予算!$B$7:$C$66,2))</f>
        <v/>
      </c>
      <c r="E495" s="43"/>
      <c r="F495" s="200"/>
      <c r="G495" s="32"/>
      <c r="H495" s="32"/>
      <c r="I495" s="50" t="str">
        <f t="shared" si="7"/>
        <v/>
      </c>
    </row>
    <row r="496" spans="1:9">
      <c r="A496" s="275" t="str">
        <f>IF(B496="","",DATE(IF(INT(B496)&gt;=4,予算!$L$1,予算!$L$2),INT(B496),ROUND(MOD(B496,1)*100,0)))</f>
        <v/>
      </c>
      <c r="B496" s="68"/>
      <c r="C496" s="43"/>
      <c r="D496" s="11" t="str">
        <f>IF(C496="","",VLOOKUP(C496,予算!$B$7:$C$66,2))</f>
        <v/>
      </c>
      <c r="E496" s="43"/>
      <c r="F496" s="200"/>
      <c r="G496" s="32"/>
      <c r="H496" s="32"/>
      <c r="I496" s="50" t="str">
        <f t="shared" si="7"/>
        <v/>
      </c>
    </row>
    <row r="497" spans="1:9">
      <c r="A497" s="275" t="str">
        <f>IF(B497="","",DATE(IF(INT(B497)&gt;=4,予算!$L$1,予算!$L$2),INT(B497),ROUND(MOD(B497,1)*100,0)))</f>
        <v/>
      </c>
      <c r="B497" s="68"/>
      <c r="C497" s="43"/>
      <c r="D497" s="11" t="str">
        <f>IF(C497="","",VLOOKUP(C497,予算!$B$7:$C$66,2))</f>
        <v/>
      </c>
      <c r="E497" s="43"/>
      <c r="F497" s="200"/>
      <c r="G497" s="32"/>
      <c r="H497" s="32"/>
      <c r="I497" s="50" t="str">
        <f t="shared" si="7"/>
        <v/>
      </c>
    </row>
    <row r="498" spans="1:9">
      <c r="A498" s="275" t="str">
        <f>IF(B498="","",DATE(IF(INT(B498)&gt;=4,予算!$L$1,予算!$L$2),INT(B498),ROUND(MOD(B498,1)*100,0)))</f>
        <v/>
      </c>
      <c r="B498" s="68"/>
      <c r="C498" s="43"/>
      <c r="D498" s="11" t="str">
        <f>IF(C498="","",VLOOKUP(C498,予算!$B$7:$C$66,2))</f>
        <v/>
      </c>
      <c r="E498" s="43"/>
      <c r="F498" s="200"/>
      <c r="G498" s="32"/>
      <c r="H498" s="32"/>
      <c r="I498" s="50" t="str">
        <f t="shared" si="7"/>
        <v/>
      </c>
    </row>
    <row r="499" spans="1:9">
      <c r="A499" s="275" t="str">
        <f>IF(B499="","",DATE(IF(INT(B499)&gt;=4,予算!$L$1,予算!$L$2),INT(B499),ROUND(MOD(B499,1)*100,0)))</f>
        <v/>
      </c>
      <c r="B499" s="68"/>
      <c r="C499" s="43"/>
      <c r="D499" s="11" t="str">
        <f>IF(C499="","",VLOOKUP(C499,予算!$B$7:$C$66,2))</f>
        <v/>
      </c>
      <c r="E499" s="43"/>
      <c r="F499" s="200"/>
      <c r="G499" s="32"/>
      <c r="H499" s="32"/>
      <c r="I499" s="50" t="str">
        <f t="shared" si="7"/>
        <v/>
      </c>
    </row>
    <row r="500" spans="1:9">
      <c r="A500" s="275" t="str">
        <f>IF(B500="","",DATE(IF(INT(B500)&gt;=4,予算!$L$1,予算!$L$2),INT(B500),ROUND(MOD(B500,1)*100,0)))</f>
        <v/>
      </c>
      <c r="B500" s="68"/>
      <c r="C500" s="43"/>
      <c r="D500" s="11" t="str">
        <f>IF(C500="","",VLOOKUP(C500,予算!$B$7:$C$66,2))</f>
        <v/>
      </c>
      <c r="E500" s="43"/>
      <c r="F500" s="200"/>
      <c r="G500" s="32"/>
      <c r="H500" s="32"/>
      <c r="I500" s="50" t="str">
        <f t="shared" si="7"/>
        <v/>
      </c>
    </row>
    <row r="501" spans="1:9">
      <c r="A501" s="275" t="str">
        <f>IF(B501="","",DATE(IF(INT(B501)&gt;=4,予算!$L$1,予算!$L$2),INT(B501),ROUND(MOD(B501,1)*100,0)))</f>
        <v/>
      </c>
      <c r="B501" s="68"/>
      <c r="C501" s="43"/>
      <c r="D501" s="11" t="str">
        <f>IF(C501="","",VLOOKUP(C501,予算!$B$7:$C$66,2))</f>
        <v/>
      </c>
      <c r="E501" s="43"/>
      <c r="F501" s="200"/>
      <c r="G501" s="32"/>
      <c r="H501" s="32"/>
      <c r="I501" s="50" t="str">
        <f t="shared" si="7"/>
        <v/>
      </c>
    </row>
    <row r="502" spans="1:9">
      <c r="A502" s="275" t="str">
        <f>IF(B502="","",DATE(IF(INT(B502)&gt;=4,予算!$L$1,予算!$L$2),INT(B502),ROUND(MOD(B502,1)*100,0)))</f>
        <v/>
      </c>
      <c r="B502" s="68"/>
      <c r="C502" s="43"/>
      <c r="D502" s="11" t="str">
        <f>IF(C502="","",VLOOKUP(C502,予算!$B$7:$C$66,2))</f>
        <v/>
      </c>
      <c r="E502" s="43"/>
      <c r="F502" s="200"/>
      <c r="G502" s="32"/>
      <c r="H502" s="32"/>
      <c r="I502" s="50" t="str">
        <f t="shared" si="7"/>
        <v/>
      </c>
    </row>
    <row r="503" spans="1:9">
      <c r="A503" s="275" t="str">
        <f>IF(B503="","",DATE(IF(INT(B503)&gt;=4,予算!$L$1,予算!$L$2),INT(B503),ROUND(MOD(B503,1)*100,0)))</f>
        <v/>
      </c>
      <c r="B503" s="68"/>
      <c r="C503" s="43"/>
      <c r="D503" s="11" t="str">
        <f>IF(C503="","",VLOOKUP(C503,予算!$B$7:$C$66,2))</f>
        <v/>
      </c>
      <c r="E503" s="43"/>
      <c r="F503" s="200"/>
      <c r="G503" s="32"/>
      <c r="H503" s="32"/>
      <c r="I503" s="50" t="str">
        <f t="shared" si="7"/>
        <v/>
      </c>
    </row>
    <row r="504" spans="1:9">
      <c r="A504" s="275" t="str">
        <f>IF(B504="","",DATE(IF(INT(B504)&gt;=4,予算!$L$1,予算!$L$2),INT(B504),ROUND(MOD(B504,1)*100,0)))</f>
        <v/>
      </c>
      <c r="B504" s="68"/>
      <c r="C504" s="43"/>
      <c r="D504" s="11" t="str">
        <f>IF(C504="","",VLOOKUP(C504,予算!$B$7:$C$66,2))</f>
        <v/>
      </c>
      <c r="E504" s="43"/>
      <c r="F504" s="200"/>
      <c r="G504" s="32"/>
      <c r="H504" s="32"/>
      <c r="I504" s="50" t="str">
        <f t="shared" si="7"/>
        <v/>
      </c>
    </row>
    <row r="505" spans="1:9">
      <c r="A505" s="275" t="str">
        <f>IF(B505="","",DATE(IF(INT(B505)&gt;=4,予算!$L$1,予算!$L$2),INT(B505),ROUND(MOD(B505,1)*100,0)))</f>
        <v/>
      </c>
      <c r="B505" s="68"/>
      <c r="C505" s="43"/>
      <c r="D505" s="11" t="str">
        <f>IF(C505="","",VLOOKUP(C505,予算!$B$7:$C$66,2))</f>
        <v/>
      </c>
      <c r="E505" s="43"/>
      <c r="F505" s="200"/>
      <c r="G505" s="32"/>
      <c r="H505" s="32"/>
      <c r="I505" s="50" t="str">
        <f t="shared" si="7"/>
        <v/>
      </c>
    </row>
    <row r="506" spans="1:9">
      <c r="A506" s="275" t="str">
        <f>IF(B506="","",DATE(IF(INT(B506)&gt;=4,予算!$L$1,予算!$L$2),INT(B506),ROUND(MOD(B506,1)*100,0)))</f>
        <v/>
      </c>
      <c r="B506" s="68"/>
      <c r="C506" s="43"/>
      <c r="D506" s="11" t="str">
        <f>IF(C506="","",VLOOKUP(C506,予算!$B$7:$C$66,2))</f>
        <v/>
      </c>
      <c r="E506" s="43"/>
      <c r="F506" s="200"/>
      <c r="G506" s="32"/>
      <c r="H506" s="32"/>
      <c r="I506" s="50" t="str">
        <f t="shared" si="7"/>
        <v/>
      </c>
    </row>
    <row r="507" spans="1:9">
      <c r="A507" s="275" t="str">
        <f>IF(B507="","",DATE(IF(INT(B507)&gt;=4,予算!$L$1,予算!$L$2),INT(B507),ROUND(MOD(B507,1)*100,0)))</f>
        <v/>
      </c>
      <c r="B507" s="68"/>
      <c r="C507" s="43"/>
      <c r="D507" s="11" t="str">
        <f>IF(C507="","",VLOOKUP(C507,予算!$B$7:$C$66,2))</f>
        <v/>
      </c>
      <c r="E507" s="43"/>
      <c r="F507" s="200"/>
      <c r="G507" s="32"/>
      <c r="H507" s="32"/>
      <c r="I507" s="50" t="str">
        <f t="shared" si="7"/>
        <v/>
      </c>
    </row>
    <row r="508" spans="1:9">
      <c r="A508" s="275" t="str">
        <f>IF(B508="","",DATE(IF(INT(B508)&gt;=4,予算!$L$1,予算!$L$2),INT(B508),ROUND(MOD(B508,1)*100,0)))</f>
        <v/>
      </c>
      <c r="B508" s="68"/>
      <c r="C508" s="43"/>
      <c r="D508" s="11" t="str">
        <f>IF(C508="","",VLOOKUP(C508,予算!$B$7:$C$66,2))</f>
        <v/>
      </c>
      <c r="E508" s="43"/>
      <c r="F508" s="200"/>
      <c r="G508" s="32"/>
      <c r="H508" s="32"/>
      <c r="I508" s="50" t="str">
        <f t="shared" si="7"/>
        <v/>
      </c>
    </row>
    <row r="509" spans="1:9">
      <c r="A509" s="275" t="str">
        <f>IF(B509="","",DATE(IF(INT(B509)&gt;=4,予算!$L$1,予算!$L$2),INT(B509),ROUND(MOD(B509,1)*100,0)))</f>
        <v/>
      </c>
      <c r="B509" s="68"/>
      <c r="C509" s="43"/>
      <c r="D509" s="11" t="str">
        <f>IF(C509="","",VLOOKUP(C509,予算!$B$7:$C$66,2))</f>
        <v/>
      </c>
      <c r="E509" s="43"/>
      <c r="F509" s="200"/>
      <c r="G509" s="32"/>
      <c r="H509" s="32"/>
      <c r="I509" s="50" t="str">
        <f t="shared" si="7"/>
        <v/>
      </c>
    </row>
    <row r="510" spans="1:9">
      <c r="A510" s="275" t="str">
        <f>IF(B510="","",DATE(IF(INT(B510)&gt;=4,予算!$L$1,予算!$L$2),INT(B510),ROUND(MOD(B510,1)*100,0)))</f>
        <v/>
      </c>
      <c r="B510" s="68"/>
      <c r="C510" s="43"/>
      <c r="D510" s="11" t="str">
        <f>IF(C510="","",VLOOKUP(C510,予算!$B$7:$C$66,2))</f>
        <v/>
      </c>
      <c r="E510" s="43"/>
      <c r="F510" s="200"/>
      <c r="G510" s="32"/>
      <c r="H510" s="32"/>
      <c r="I510" s="50" t="str">
        <f t="shared" si="7"/>
        <v/>
      </c>
    </row>
    <row r="511" spans="1:9">
      <c r="A511" s="275" t="str">
        <f>IF(B511="","",DATE(IF(INT(B511)&gt;=4,予算!$L$1,予算!$L$2),INT(B511),ROUND(MOD(B511,1)*100,0)))</f>
        <v/>
      </c>
      <c r="B511" s="68"/>
      <c r="C511" s="43"/>
      <c r="D511" s="11" t="str">
        <f>IF(C511="","",VLOOKUP(C511,予算!$B$7:$C$66,2))</f>
        <v/>
      </c>
      <c r="E511" s="43"/>
      <c r="F511" s="200"/>
      <c r="G511" s="32"/>
      <c r="H511" s="32"/>
      <c r="I511" s="50" t="str">
        <f t="shared" si="7"/>
        <v/>
      </c>
    </row>
    <row r="512" spans="1:9">
      <c r="A512" s="275" t="str">
        <f>IF(B512="","",DATE(IF(INT(B512)&gt;=4,予算!$L$1,予算!$L$2),INT(B512),ROUND(MOD(B512,1)*100,0)))</f>
        <v/>
      </c>
      <c r="B512" s="68"/>
      <c r="C512" s="43"/>
      <c r="D512" s="11" t="str">
        <f>IF(C512="","",VLOOKUP(C512,予算!$B$7:$C$66,2))</f>
        <v/>
      </c>
      <c r="E512" s="43"/>
      <c r="F512" s="200"/>
      <c r="G512" s="32"/>
      <c r="H512" s="32"/>
      <c r="I512" s="50" t="str">
        <f t="shared" si="7"/>
        <v/>
      </c>
    </row>
    <row r="513" spans="1:9">
      <c r="A513" s="275" t="str">
        <f>IF(B513="","",DATE(IF(INT(B513)&gt;=4,予算!$L$1,予算!$L$2),INT(B513),ROUND(MOD(B513,1)*100,0)))</f>
        <v/>
      </c>
      <c r="B513" s="68"/>
      <c r="C513" s="43"/>
      <c r="D513" s="11" t="str">
        <f>IF(C513="","",VLOOKUP(C513,予算!$B$7:$C$66,2))</f>
        <v/>
      </c>
      <c r="E513" s="43"/>
      <c r="F513" s="200"/>
      <c r="G513" s="32"/>
      <c r="H513" s="32"/>
      <c r="I513" s="50" t="str">
        <f t="shared" si="7"/>
        <v/>
      </c>
    </row>
    <row r="514" spans="1:9">
      <c r="A514" s="275" t="str">
        <f>IF(B514="","",DATE(IF(INT(B514)&gt;=4,予算!$L$1,予算!$L$2),INT(B514),ROUND(MOD(B514,1)*100,0)))</f>
        <v/>
      </c>
      <c r="B514" s="68"/>
      <c r="C514" s="43"/>
      <c r="D514" s="11" t="str">
        <f>IF(C514="","",VLOOKUP(C514,予算!$B$7:$C$66,2))</f>
        <v/>
      </c>
      <c r="E514" s="43"/>
      <c r="F514" s="200"/>
      <c r="G514" s="32"/>
      <c r="H514" s="32"/>
      <c r="I514" s="50" t="str">
        <f t="shared" si="7"/>
        <v/>
      </c>
    </row>
    <row r="515" spans="1:9">
      <c r="A515" s="275" t="str">
        <f>IF(B515="","",DATE(IF(INT(B515)&gt;=4,予算!$L$1,予算!$L$2),INT(B515),ROUND(MOD(B515,1)*100,0)))</f>
        <v/>
      </c>
      <c r="B515" s="68"/>
      <c r="C515" s="43"/>
      <c r="D515" s="11" t="str">
        <f>IF(C515="","",VLOOKUP(C515,予算!$B$7:$C$66,2))</f>
        <v/>
      </c>
      <c r="E515" s="43"/>
      <c r="F515" s="200"/>
      <c r="G515" s="32"/>
      <c r="H515" s="32"/>
      <c r="I515" s="50" t="str">
        <f t="shared" si="7"/>
        <v/>
      </c>
    </row>
    <row r="516" spans="1:9">
      <c r="A516" s="275" t="str">
        <f>IF(B516="","",DATE(IF(INT(B516)&gt;=4,予算!$L$1,予算!$L$2),INT(B516),ROUND(MOD(B516,1)*100,0)))</f>
        <v/>
      </c>
      <c r="B516" s="68"/>
      <c r="C516" s="43"/>
      <c r="D516" s="11" t="str">
        <f>IF(C516="","",VLOOKUP(C516,予算!$B$7:$C$66,2))</f>
        <v/>
      </c>
      <c r="E516" s="43"/>
      <c r="F516" s="200"/>
      <c r="G516" s="32"/>
      <c r="H516" s="32"/>
      <c r="I516" s="50" t="str">
        <f t="shared" si="7"/>
        <v/>
      </c>
    </row>
    <row r="517" spans="1:9">
      <c r="A517" s="275" t="str">
        <f>IF(B517="","",DATE(IF(INT(B517)&gt;=4,予算!$L$1,予算!$L$2),INT(B517),ROUND(MOD(B517,1)*100,0)))</f>
        <v/>
      </c>
      <c r="B517" s="68"/>
      <c r="C517" s="43"/>
      <c r="D517" s="11" t="str">
        <f>IF(C517="","",VLOOKUP(C517,予算!$B$7:$C$66,2))</f>
        <v/>
      </c>
      <c r="E517" s="43"/>
      <c r="F517" s="200"/>
      <c r="G517" s="32"/>
      <c r="H517" s="32"/>
      <c r="I517" s="50" t="str">
        <f t="shared" si="7"/>
        <v/>
      </c>
    </row>
    <row r="518" spans="1:9">
      <c r="A518" s="275" t="str">
        <f>IF(B518="","",DATE(IF(INT(B518)&gt;=4,予算!$L$1,予算!$L$2),INT(B518),ROUND(MOD(B518,1)*100,0)))</f>
        <v/>
      </c>
      <c r="B518" s="68"/>
      <c r="C518" s="43"/>
      <c r="D518" s="11" t="str">
        <f>IF(C518="","",VLOOKUP(C518,予算!$B$7:$C$66,2))</f>
        <v/>
      </c>
      <c r="E518" s="43"/>
      <c r="F518" s="200"/>
      <c r="G518" s="32"/>
      <c r="H518" s="32"/>
      <c r="I518" s="50" t="str">
        <f t="shared" si="7"/>
        <v/>
      </c>
    </row>
    <row r="519" spans="1:9">
      <c r="A519" s="275" t="str">
        <f>IF(B519="","",DATE(IF(INT(B519)&gt;=4,予算!$L$1,予算!$L$2),INT(B519),ROUND(MOD(B519,1)*100,0)))</f>
        <v/>
      </c>
      <c r="B519" s="68"/>
      <c r="C519" s="43"/>
      <c r="D519" s="11" t="str">
        <f>IF(C519="","",VLOOKUP(C519,予算!$B$7:$C$66,2))</f>
        <v/>
      </c>
      <c r="E519" s="43"/>
      <c r="F519" s="200"/>
      <c r="G519" s="32"/>
      <c r="H519" s="32"/>
      <c r="I519" s="50" t="str">
        <f t="shared" si="7"/>
        <v/>
      </c>
    </row>
    <row r="520" spans="1:9">
      <c r="A520" s="275" t="str">
        <f>IF(B520="","",DATE(IF(INT(B520)&gt;=4,予算!$L$1,予算!$L$2),INT(B520),ROUND(MOD(B520,1)*100,0)))</f>
        <v/>
      </c>
      <c r="B520" s="68"/>
      <c r="C520" s="43"/>
      <c r="D520" s="11" t="str">
        <f>IF(C520="","",VLOOKUP(C520,予算!$B$7:$C$66,2))</f>
        <v/>
      </c>
      <c r="E520" s="43"/>
      <c r="F520" s="200"/>
      <c r="G520" s="32"/>
      <c r="H520" s="32"/>
      <c r="I520" s="50" t="str">
        <f t="shared" si="7"/>
        <v/>
      </c>
    </row>
    <row r="521" spans="1:9">
      <c r="A521" s="275" t="str">
        <f>IF(B521="","",DATE(IF(INT(B521)&gt;=4,予算!$L$1,予算!$L$2),INT(B521),ROUND(MOD(B521,1)*100,0)))</f>
        <v/>
      </c>
      <c r="B521" s="68"/>
      <c r="C521" s="43"/>
      <c r="D521" s="11" t="str">
        <f>IF(C521="","",VLOOKUP(C521,予算!$B$7:$C$66,2))</f>
        <v/>
      </c>
      <c r="E521" s="43"/>
      <c r="F521" s="200"/>
      <c r="G521" s="32"/>
      <c r="H521" s="32"/>
      <c r="I521" s="50" t="str">
        <f t="shared" ref="I521:I584" si="8">IF(C521="","",I520+G521-H521)</f>
        <v/>
      </c>
    </row>
    <row r="522" spans="1:9">
      <c r="A522" s="275" t="str">
        <f>IF(B522="","",DATE(IF(INT(B522)&gt;=4,予算!$L$1,予算!$L$2),INT(B522),ROUND(MOD(B522,1)*100,0)))</f>
        <v/>
      </c>
      <c r="B522" s="68"/>
      <c r="C522" s="43"/>
      <c r="D522" s="11" t="str">
        <f>IF(C522="","",VLOOKUP(C522,予算!$B$7:$C$66,2))</f>
        <v/>
      </c>
      <c r="E522" s="43"/>
      <c r="F522" s="200"/>
      <c r="G522" s="32"/>
      <c r="H522" s="32"/>
      <c r="I522" s="50" t="str">
        <f t="shared" si="8"/>
        <v/>
      </c>
    </row>
    <row r="523" spans="1:9">
      <c r="A523" s="275" t="str">
        <f>IF(B523="","",DATE(IF(INT(B523)&gt;=4,予算!$L$1,予算!$L$2),INT(B523),ROUND(MOD(B523,1)*100,0)))</f>
        <v/>
      </c>
      <c r="B523" s="68"/>
      <c r="C523" s="43"/>
      <c r="D523" s="11" t="str">
        <f>IF(C523="","",VLOOKUP(C523,予算!$B$7:$C$66,2))</f>
        <v/>
      </c>
      <c r="E523" s="43"/>
      <c r="F523" s="200"/>
      <c r="G523" s="32"/>
      <c r="H523" s="32"/>
      <c r="I523" s="50" t="str">
        <f t="shared" si="8"/>
        <v/>
      </c>
    </row>
    <row r="524" spans="1:9">
      <c r="A524" s="275" t="str">
        <f>IF(B524="","",DATE(IF(INT(B524)&gt;=4,予算!$L$1,予算!$L$2),INT(B524),ROUND(MOD(B524,1)*100,0)))</f>
        <v/>
      </c>
      <c r="B524" s="68"/>
      <c r="C524" s="43"/>
      <c r="D524" s="11" t="str">
        <f>IF(C524="","",VLOOKUP(C524,予算!$B$7:$C$66,2))</f>
        <v/>
      </c>
      <c r="E524" s="43"/>
      <c r="F524" s="200"/>
      <c r="G524" s="32"/>
      <c r="H524" s="32"/>
      <c r="I524" s="50" t="str">
        <f t="shared" si="8"/>
        <v/>
      </c>
    </row>
    <row r="525" spans="1:9">
      <c r="A525" s="275" t="str">
        <f>IF(B525="","",DATE(IF(INT(B525)&gt;=4,予算!$L$1,予算!$L$2),INT(B525),ROUND(MOD(B525,1)*100,0)))</f>
        <v/>
      </c>
      <c r="B525" s="68"/>
      <c r="C525" s="43"/>
      <c r="D525" s="11" t="str">
        <f>IF(C525="","",VLOOKUP(C525,予算!$B$7:$C$66,2))</f>
        <v/>
      </c>
      <c r="E525" s="43"/>
      <c r="F525" s="200"/>
      <c r="G525" s="32"/>
      <c r="H525" s="32"/>
      <c r="I525" s="50" t="str">
        <f t="shared" si="8"/>
        <v/>
      </c>
    </row>
    <row r="526" spans="1:9">
      <c r="A526" s="275" t="str">
        <f>IF(B526="","",DATE(IF(INT(B526)&gt;=4,予算!$L$1,予算!$L$2),INT(B526),ROUND(MOD(B526,1)*100,0)))</f>
        <v/>
      </c>
      <c r="B526" s="68"/>
      <c r="C526" s="43"/>
      <c r="D526" s="11" t="str">
        <f>IF(C526="","",VLOOKUP(C526,予算!$B$7:$C$66,2))</f>
        <v/>
      </c>
      <c r="E526" s="43"/>
      <c r="F526" s="200"/>
      <c r="G526" s="32"/>
      <c r="H526" s="32"/>
      <c r="I526" s="50" t="str">
        <f t="shared" si="8"/>
        <v/>
      </c>
    </row>
    <row r="527" spans="1:9">
      <c r="A527" s="275" t="str">
        <f>IF(B527="","",DATE(IF(INT(B527)&gt;=4,予算!$L$1,予算!$L$2),INT(B527),ROUND(MOD(B527,1)*100,0)))</f>
        <v/>
      </c>
      <c r="B527" s="68"/>
      <c r="C527" s="43"/>
      <c r="D527" s="11" t="str">
        <f>IF(C527="","",VLOOKUP(C527,予算!$B$7:$C$66,2))</f>
        <v/>
      </c>
      <c r="E527" s="43"/>
      <c r="F527" s="200"/>
      <c r="G527" s="32"/>
      <c r="H527" s="32"/>
      <c r="I527" s="50" t="str">
        <f t="shared" si="8"/>
        <v/>
      </c>
    </row>
    <row r="528" spans="1:9">
      <c r="A528" s="275" t="str">
        <f>IF(B528="","",DATE(IF(INT(B528)&gt;=4,予算!$L$1,予算!$L$2),INT(B528),ROUND(MOD(B528,1)*100,0)))</f>
        <v/>
      </c>
      <c r="B528" s="68"/>
      <c r="C528" s="43"/>
      <c r="D528" s="11" t="str">
        <f>IF(C528="","",VLOOKUP(C528,予算!$B$7:$C$66,2))</f>
        <v/>
      </c>
      <c r="E528" s="43"/>
      <c r="F528" s="200"/>
      <c r="G528" s="32"/>
      <c r="H528" s="32"/>
      <c r="I528" s="50" t="str">
        <f t="shared" si="8"/>
        <v/>
      </c>
    </row>
    <row r="529" spans="1:9">
      <c r="A529" s="275" t="str">
        <f>IF(B529="","",DATE(IF(INT(B529)&gt;=4,予算!$L$1,予算!$L$2),INT(B529),ROUND(MOD(B529,1)*100,0)))</f>
        <v/>
      </c>
      <c r="B529" s="68"/>
      <c r="C529" s="43"/>
      <c r="D529" s="11" t="str">
        <f>IF(C529="","",VLOOKUP(C529,予算!$B$7:$C$66,2))</f>
        <v/>
      </c>
      <c r="E529" s="43"/>
      <c r="F529" s="200"/>
      <c r="G529" s="32"/>
      <c r="H529" s="32"/>
      <c r="I529" s="50" t="str">
        <f t="shared" si="8"/>
        <v/>
      </c>
    </row>
    <row r="530" spans="1:9">
      <c r="A530" s="275" t="str">
        <f>IF(B530="","",DATE(IF(INT(B530)&gt;=4,予算!$L$1,予算!$L$2),INT(B530),ROUND(MOD(B530,1)*100,0)))</f>
        <v/>
      </c>
      <c r="B530" s="68"/>
      <c r="C530" s="43"/>
      <c r="D530" s="11" t="str">
        <f>IF(C530="","",VLOOKUP(C530,予算!$B$7:$C$66,2))</f>
        <v/>
      </c>
      <c r="E530" s="43"/>
      <c r="F530" s="200"/>
      <c r="G530" s="32"/>
      <c r="H530" s="32"/>
      <c r="I530" s="50" t="str">
        <f t="shared" si="8"/>
        <v/>
      </c>
    </row>
    <row r="531" spans="1:9">
      <c r="A531" s="275" t="str">
        <f>IF(B531="","",DATE(IF(INT(B531)&gt;=4,予算!$L$1,予算!$L$2),INT(B531),ROUND(MOD(B531,1)*100,0)))</f>
        <v/>
      </c>
      <c r="B531" s="68"/>
      <c r="C531" s="43"/>
      <c r="D531" s="11" t="str">
        <f>IF(C531="","",VLOOKUP(C531,予算!$B$7:$C$66,2))</f>
        <v/>
      </c>
      <c r="E531" s="43"/>
      <c r="F531" s="200"/>
      <c r="G531" s="32"/>
      <c r="H531" s="32"/>
      <c r="I531" s="50" t="str">
        <f t="shared" si="8"/>
        <v/>
      </c>
    </row>
    <row r="532" spans="1:9">
      <c r="A532" s="275" t="str">
        <f>IF(B532="","",DATE(IF(INT(B532)&gt;=4,予算!$L$1,予算!$L$2),INT(B532),ROUND(MOD(B532,1)*100,0)))</f>
        <v/>
      </c>
      <c r="B532" s="68"/>
      <c r="C532" s="43"/>
      <c r="D532" s="11" t="str">
        <f>IF(C532="","",VLOOKUP(C532,予算!$B$7:$C$66,2))</f>
        <v/>
      </c>
      <c r="E532" s="43"/>
      <c r="F532" s="200"/>
      <c r="G532" s="32"/>
      <c r="H532" s="32"/>
      <c r="I532" s="50" t="str">
        <f t="shared" si="8"/>
        <v/>
      </c>
    </row>
    <row r="533" spans="1:9">
      <c r="A533" s="275" t="str">
        <f>IF(B533="","",DATE(IF(INT(B533)&gt;=4,予算!$L$1,予算!$L$2),INT(B533),ROUND(MOD(B533,1)*100,0)))</f>
        <v/>
      </c>
      <c r="B533" s="68"/>
      <c r="C533" s="43"/>
      <c r="D533" s="11" t="str">
        <f>IF(C533="","",VLOOKUP(C533,予算!$B$7:$C$66,2))</f>
        <v/>
      </c>
      <c r="E533" s="43"/>
      <c r="F533" s="200"/>
      <c r="G533" s="32"/>
      <c r="H533" s="32"/>
      <c r="I533" s="50" t="str">
        <f t="shared" si="8"/>
        <v/>
      </c>
    </row>
    <row r="534" spans="1:9">
      <c r="A534" s="275" t="str">
        <f>IF(B534="","",DATE(IF(INT(B534)&gt;=4,予算!$L$1,予算!$L$2),INT(B534),ROUND(MOD(B534,1)*100,0)))</f>
        <v/>
      </c>
      <c r="B534" s="68"/>
      <c r="C534" s="43"/>
      <c r="D534" s="11" t="str">
        <f>IF(C534="","",VLOOKUP(C534,予算!$B$7:$C$66,2))</f>
        <v/>
      </c>
      <c r="E534" s="43"/>
      <c r="F534" s="200"/>
      <c r="G534" s="32"/>
      <c r="H534" s="32"/>
      <c r="I534" s="50" t="str">
        <f t="shared" si="8"/>
        <v/>
      </c>
    </row>
    <row r="535" spans="1:9">
      <c r="A535" s="275" t="str">
        <f>IF(B535="","",DATE(IF(INT(B535)&gt;=4,予算!$L$1,予算!$L$2),INT(B535),ROUND(MOD(B535,1)*100,0)))</f>
        <v/>
      </c>
      <c r="B535" s="68"/>
      <c r="C535" s="43"/>
      <c r="D535" s="11" t="str">
        <f>IF(C535="","",VLOOKUP(C535,予算!$B$7:$C$66,2))</f>
        <v/>
      </c>
      <c r="E535" s="43"/>
      <c r="F535" s="200"/>
      <c r="G535" s="32"/>
      <c r="H535" s="32"/>
      <c r="I535" s="50" t="str">
        <f t="shared" si="8"/>
        <v/>
      </c>
    </row>
    <row r="536" spans="1:9">
      <c r="A536" s="275" t="str">
        <f>IF(B536="","",DATE(IF(INT(B536)&gt;=4,予算!$L$1,予算!$L$2),INT(B536),ROUND(MOD(B536,1)*100,0)))</f>
        <v/>
      </c>
      <c r="B536" s="68"/>
      <c r="C536" s="43"/>
      <c r="D536" s="11" t="str">
        <f>IF(C536="","",VLOOKUP(C536,予算!$B$7:$C$66,2))</f>
        <v/>
      </c>
      <c r="E536" s="43"/>
      <c r="F536" s="200"/>
      <c r="G536" s="32"/>
      <c r="H536" s="32"/>
      <c r="I536" s="50" t="str">
        <f t="shared" si="8"/>
        <v/>
      </c>
    </row>
    <row r="537" spans="1:9">
      <c r="A537" s="275" t="str">
        <f>IF(B537="","",DATE(IF(INT(B537)&gt;=4,予算!$L$1,予算!$L$2),INT(B537),ROUND(MOD(B537,1)*100,0)))</f>
        <v/>
      </c>
      <c r="B537" s="68"/>
      <c r="C537" s="43"/>
      <c r="D537" s="11" t="str">
        <f>IF(C537="","",VLOOKUP(C537,予算!$B$7:$C$66,2))</f>
        <v/>
      </c>
      <c r="E537" s="43"/>
      <c r="F537" s="200"/>
      <c r="G537" s="32"/>
      <c r="H537" s="32"/>
      <c r="I537" s="50" t="str">
        <f t="shared" si="8"/>
        <v/>
      </c>
    </row>
    <row r="538" spans="1:9">
      <c r="A538" s="275" t="str">
        <f>IF(B538="","",DATE(IF(INT(B538)&gt;=4,予算!$L$1,予算!$L$2),INT(B538),ROUND(MOD(B538,1)*100,0)))</f>
        <v/>
      </c>
      <c r="B538" s="68"/>
      <c r="C538" s="43"/>
      <c r="D538" s="11" t="str">
        <f>IF(C538="","",VLOOKUP(C538,予算!$B$7:$C$66,2))</f>
        <v/>
      </c>
      <c r="E538" s="43"/>
      <c r="F538" s="200"/>
      <c r="G538" s="32"/>
      <c r="H538" s="32"/>
      <c r="I538" s="50" t="str">
        <f t="shared" si="8"/>
        <v/>
      </c>
    </row>
    <row r="539" spans="1:9">
      <c r="A539" s="275" t="str">
        <f>IF(B539="","",DATE(IF(INT(B539)&gt;=4,予算!$L$1,予算!$L$2),INT(B539),ROUND(MOD(B539,1)*100,0)))</f>
        <v/>
      </c>
      <c r="B539" s="68"/>
      <c r="C539" s="43"/>
      <c r="D539" s="11" t="str">
        <f>IF(C539="","",VLOOKUP(C539,予算!$B$7:$C$66,2))</f>
        <v/>
      </c>
      <c r="E539" s="43"/>
      <c r="F539" s="200"/>
      <c r="G539" s="32"/>
      <c r="H539" s="32"/>
      <c r="I539" s="50" t="str">
        <f t="shared" si="8"/>
        <v/>
      </c>
    </row>
    <row r="540" spans="1:9">
      <c r="A540" s="275" t="str">
        <f>IF(B540="","",DATE(IF(INT(B540)&gt;=4,予算!$L$1,予算!$L$2),INT(B540),ROUND(MOD(B540,1)*100,0)))</f>
        <v/>
      </c>
      <c r="B540" s="68"/>
      <c r="C540" s="43"/>
      <c r="D540" s="11" t="str">
        <f>IF(C540="","",VLOOKUP(C540,予算!$B$7:$C$66,2))</f>
        <v/>
      </c>
      <c r="E540" s="43"/>
      <c r="F540" s="200"/>
      <c r="G540" s="32"/>
      <c r="H540" s="32"/>
      <c r="I540" s="50" t="str">
        <f t="shared" si="8"/>
        <v/>
      </c>
    </row>
    <row r="541" spans="1:9">
      <c r="A541" s="275" t="str">
        <f>IF(B541="","",DATE(IF(INT(B541)&gt;=4,予算!$L$1,予算!$L$2),INT(B541),ROUND(MOD(B541,1)*100,0)))</f>
        <v/>
      </c>
      <c r="B541" s="68"/>
      <c r="C541" s="43"/>
      <c r="D541" s="11" t="str">
        <f>IF(C541="","",VLOOKUP(C541,予算!$B$7:$C$66,2))</f>
        <v/>
      </c>
      <c r="E541" s="43"/>
      <c r="F541" s="200"/>
      <c r="G541" s="32"/>
      <c r="H541" s="32"/>
      <c r="I541" s="50" t="str">
        <f t="shared" si="8"/>
        <v/>
      </c>
    </row>
    <row r="542" spans="1:9">
      <c r="A542" s="275" t="str">
        <f>IF(B542="","",DATE(IF(INT(B542)&gt;=4,予算!$L$1,予算!$L$2),INT(B542),ROUND(MOD(B542,1)*100,0)))</f>
        <v/>
      </c>
      <c r="B542" s="68"/>
      <c r="C542" s="43"/>
      <c r="D542" s="11" t="str">
        <f>IF(C542="","",VLOOKUP(C542,予算!$B$7:$C$66,2))</f>
        <v/>
      </c>
      <c r="E542" s="43"/>
      <c r="F542" s="200"/>
      <c r="G542" s="32"/>
      <c r="H542" s="32"/>
      <c r="I542" s="50" t="str">
        <f t="shared" si="8"/>
        <v/>
      </c>
    </row>
    <row r="543" spans="1:9">
      <c r="A543" s="275" t="str">
        <f>IF(B543="","",DATE(IF(INT(B543)&gt;=4,予算!$L$1,予算!$L$2),INT(B543),ROUND(MOD(B543,1)*100,0)))</f>
        <v/>
      </c>
      <c r="B543" s="68"/>
      <c r="C543" s="43"/>
      <c r="D543" s="11" t="str">
        <f>IF(C543="","",VLOOKUP(C543,予算!$B$7:$C$66,2))</f>
        <v/>
      </c>
      <c r="E543" s="43"/>
      <c r="F543" s="200"/>
      <c r="G543" s="32"/>
      <c r="H543" s="32"/>
      <c r="I543" s="50" t="str">
        <f t="shared" si="8"/>
        <v/>
      </c>
    </row>
    <row r="544" spans="1:9">
      <c r="A544" s="275" t="str">
        <f>IF(B544="","",DATE(IF(INT(B544)&gt;=4,予算!$L$1,予算!$L$2),INT(B544),ROUND(MOD(B544,1)*100,0)))</f>
        <v/>
      </c>
      <c r="B544" s="68"/>
      <c r="C544" s="43"/>
      <c r="D544" s="11" t="str">
        <f>IF(C544="","",VLOOKUP(C544,予算!$B$7:$C$66,2))</f>
        <v/>
      </c>
      <c r="E544" s="43"/>
      <c r="F544" s="200"/>
      <c r="G544" s="32"/>
      <c r="H544" s="32"/>
      <c r="I544" s="50" t="str">
        <f t="shared" si="8"/>
        <v/>
      </c>
    </row>
    <row r="545" spans="1:9">
      <c r="A545" s="275" t="str">
        <f>IF(B545="","",DATE(IF(INT(B545)&gt;=4,予算!$L$1,予算!$L$2),INT(B545),ROUND(MOD(B545,1)*100,0)))</f>
        <v/>
      </c>
      <c r="B545" s="68"/>
      <c r="C545" s="43"/>
      <c r="D545" s="11" t="str">
        <f>IF(C545="","",VLOOKUP(C545,予算!$B$7:$C$66,2))</f>
        <v/>
      </c>
      <c r="E545" s="43"/>
      <c r="F545" s="200"/>
      <c r="G545" s="32"/>
      <c r="H545" s="32"/>
      <c r="I545" s="50" t="str">
        <f t="shared" si="8"/>
        <v/>
      </c>
    </row>
    <row r="546" spans="1:9">
      <c r="A546" s="275" t="str">
        <f>IF(B546="","",DATE(IF(INT(B546)&gt;=4,予算!$L$1,予算!$L$2),INT(B546),ROUND(MOD(B546,1)*100,0)))</f>
        <v/>
      </c>
      <c r="B546" s="68"/>
      <c r="C546" s="43"/>
      <c r="D546" s="11" t="str">
        <f>IF(C546="","",VLOOKUP(C546,予算!$B$7:$C$66,2))</f>
        <v/>
      </c>
      <c r="E546" s="43"/>
      <c r="F546" s="200"/>
      <c r="G546" s="32"/>
      <c r="H546" s="32"/>
      <c r="I546" s="50" t="str">
        <f t="shared" si="8"/>
        <v/>
      </c>
    </row>
    <row r="547" spans="1:9">
      <c r="A547" s="275" t="str">
        <f>IF(B547="","",DATE(IF(INT(B547)&gt;=4,予算!$L$1,予算!$L$2),INT(B547),ROUND(MOD(B547,1)*100,0)))</f>
        <v/>
      </c>
      <c r="B547" s="68"/>
      <c r="C547" s="43"/>
      <c r="D547" s="11" t="str">
        <f>IF(C547="","",VLOOKUP(C547,予算!$B$7:$C$66,2))</f>
        <v/>
      </c>
      <c r="E547" s="43"/>
      <c r="F547" s="200"/>
      <c r="G547" s="32"/>
      <c r="H547" s="32"/>
      <c r="I547" s="50" t="str">
        <f t="shared" si="8"/>
        <v/>
      </c>
    </row>
    <row r="548" spans="1:9">
      <c r="A548" s="275" t="str">
        <f>IF(B548="","",DATE(IF(INT(B548)&gt;=4,予算!$L$1,予算!$L$2),INT(B548),ROUND(MOD(B548,1)*100,0)))</f>
        <v/>
      </c>
      <c r="B548" s="68"/>
      <c r="C548" s="43"/>
      <c r="D548" s="11" t="str">
        <f>IF(C548="","",VLOOKUP(C548,予算!$B$7:$C$66,2))</f>
        <v/>
      </c>
      <c r="E548" s="43"/>
      <c r="F548" s="200"/>
      <c r="G548" s="32"/>
      <c r="H548" s="32"/>
      <c r="I548" s="50" t="str">
        <f t="shared" si="8"/>
        <v/>
      </c>
    </row>
    <row r="549" spans="1:9">
      <c r="A549" s="275" t="str">
        <f>IF(B549="","",DATE(IF(INT(B549)&gt;=4,予算!$L$1,予算!$L$2),INT(B549),ROUND(MOD(B549,1)*100,0)))</f>
        <v/>
      </c>
      <c r="B549" s="68"/>
      <c r="C549" s="43"/>
      <c r="D549" s="11" t="str">
        <f>IF(C549="","",VLOOKUP(C549,予算!$B$7:$C$66,2))</f>
        <v/>
      </c>
      <c r="E549" s="43"/>
      <c r="F549" s="200"/>
      <c r="G549" s="32"/>
      <c r="H549" s="32"/>
      <c r="I549" s="50" t="str">
        <f t="shared" si="8"/>
        <v/>
      </c>
    </row>
    <row r="550" spans="1:9">
      <c r="A550" s="275" t="str">
        <f>IF(B550="","",DATE(IF(INT(B550)&gt;=4,予算!$L$1,予算!$L$2),INT(B550),ROUND(MOD(B550,1)*100,0)))</f>
        <v/>
      </c>
      <c r="B550" s="68"/>
      <c r="C550" s="43"/>
      <c r="D550" s="11" t="str">
        <f>IF(C550="","",VLOOKUP(C550,予算!$B$7:$C$66,2))</f>
        <v/>
      </c>
      <c r="E550" s="43"/>
      <c r="F550" s="200"/>
      <c r="G550" s="32"/>
      <c r="H550" s="32"/>
      <c r="I550" s="50" t="str">
        <f t="shared" si="8"/>
        <v/>
      </c>
    </row>
    <row r="551" spans="1:9">
      <c r="A551" s="275" t="str">
        <f>IF(B551="","",DATE(IF(INT(B551)&gt;=4,予算!$L$1,予算!$L$2),INT(B551),ROUND(MOD(B551,1)*100,0)))</f>
        <v/>
      </c>
      <c r="B551" s="68"/>
      <c r="C551" s="43"/>
      <c r="D551" s="11" t="str">
        <f>IF(C551="","",VLOOKUP(C551,予算!$B$7:$C$66,2))</f>
        <v/>
      </c>
      <c r="E551" s="43"/>
      <c r="F551" s="200"/>
      <c r="G551" s="32"/>
      <c r="H551" s="32"/>
      <c r="I551" s="50" t="str">
        <f t="shared" si="8"/>
        <v/>
      </c>
    </row>
    <row r="552" spans="1:9">
      <c r="A552" s="275" t="str">
        <f>IF(B552="","",DATE(IF(INT(B552)&gt;=4,予算!$L$1,予算!$L$2),INT(B552),ROUND(MOD(B552,1)*100,0)))</f>
        <v/>
      </c>
      <c r="B552" s="68"/>
      <c r="C552" s="43"/>
      <c r="D552" s="11" t="str">
        <f>IF(C552="","",VLOOKUP(C552,予算!$B$7:$C$66,2))</f>
        <v/>
      </c>
      <c r="E552" s="43"/>
      <c r="F552" s="200"/>
      <c r="G552" s="32"/>
      <c r="H552" s="32"/>
      <c r="I552" s="50" t="str">
        <f t="shared" si="8"/>
        <v/>
      </c>
    </row>
    <row r="553" spans="1:9">
      <c r="A553" s="275" t="str">
        <f>IF(B553="","",DATE(IF(INT(B553)&gt;=4,予算!$L$1,予算!$L$2),INT(B553),ROUND(MOD(B553,1)*100,0)))</f>
        <v/>
      </c>
      <c r="B553" s="68"/>
      <c r="C553" s="43"/>
      <c r="D553" s="11" t="str">
        <f>IF(C553="","",VLOOKUP(C553,予算!$B$7:$C$66,2))</f>
        <v/>
      </c>
      <c r="E553" s="43"/>
      <c r="F553" s="200"/>
      <c r="G553" s="32"/>
      <c r="H553" s="32"/>
      <c r="I553" s="50" t="str">
        <f t="shared" si="8"/>
        <v/>
      </c>
    </row>
    <row r="554" spans="1:9">
      <c r="A554" s="275" t="str">
        <f>IF(B554="","",DATE(IF(INT(B554)&gt;=4,予算!$L$1,予算!$L$2),INT(B554),ROUND(MOD(B554,1)*100,0)))</f>
        <v/>
      </c>
      <c r="B554" s="68"/>
      <c r="C554" s="43"/>
      <c r="D554" s="11" t="str">
        <f>IF(C554="","",VLOOKUP(C554,予算!$B$7:$C$66,2))</f>
        <v/>
      </c>
      <c r="E554" s="43"/>
      <c r="F554" s="200"/>
      <c r="G554" s="32"/>
      <c r="H554" s="32"/>
      <c r="I554" s="50" t="str">
        <f t="shared" si="8"/>
        <v/>
      </c>
    </row>
    <row r="555" spans="1:9">
      <c r="A555" s="275" t="str">
        <f>IF(B555="","",DATE(IF(INT(B555)&gt;=4,予算!$L$1,予算!$L$2),INT(B555),ROUND(MOD(B555,1)*100,0)))</f>
        <v/>
      </c>
      <c r="B555" s="68"/>
      <c r="C555" s="43"/>
      <c r="D555" s="11" t="str">
        <f>IF(C555="","",VLOOKUP(C555,予算!$B$7:$C$66,2))</f>
        <v/>
      </c>
      <c r="E555" s="43"/>
      <c r="F555" s="200"/>
      <c r="G555" s="32"/>
      <c r="H555" s="32"/>
      <c r="I555" s="50" t="str">
        <f t="shared" si="8"/>
        <v/>
      </c>
    </row>
    <row r="556" spans="1:9">
      <c r="A556" s="275" t="str">
        <f>IF(B556="","",DATE(IF(INT(B556)&gt;=4,予算!$L$1,予算!$L$2),INT(B556),ROUND(MOD(B556,1)*100,0)))</f>
        <v/>
      </c>
      <c r="B556" s="68"/>
      <c r="C556" s="43"/>
      <c r="D556" s="11" t="str">
        <f>IF(C556="","",VLOOKUP(C556,予算!$B$7:$C$66,2))</f>
        <v/>
      </c>
      <c r="E556" s="43"/>
      <c r="F556" s="200"/>
      <c r="G556" s="32"/>
      <c r="H556" s="32"/>
      <c r="I556" s="50" t="str">
        <f t="shared" si="8"/>
        <v/>
      </c>
    </row>
    <row r="557" spans="1:9">
      <c r="A557" s="275" t="str">
        <f>IF(B557="","",DATE(IF(INT(B557)&gt;=4,予算!$L$1,予算!$L$2),INT(B557),ROUND(MOD(B557,1)*100,0)))</f>
        <v/>
      </c>
      <c r="B557" s="68"/>
      <c r="C557" s="43"/>
      <c r="D557" s="11" t="str">
        <f>IF(C557="","",VLOOKUP(C557,予算!$B$7:$C$66,2))</f>
        <v/>
      </c>
      <c r="E557" s="43"/>
      <c r="F557" s="200"/>
      <c r="G557" s="32"/>
      <c r="H557" s="32"/>
      <c r="I557" s="50" t="str">
        <f t="shared" si="8"/>
        <v/>
      </c>
    </row>
    <row r="558" spans="1:9">
      <c r="A558" s="275" t="str">
        <f>IF(B558="","",DATE(IF(INT(B558)&gt;=4,予算!$L$1,予算!$L$2),INT(B558),ROUND(MOD(B558,1)*100,0)))</f>
        <v/>
      </c>
      <c r="B558" s="68"/>
      <c r="C558" s="43"/>
      <c r="D558" s="11" t="str">
        <f>IF(C558="","",VLOOKUP(C558,予算!$B$7:$C$66,2))</f>
        <v/>
      </c>
      <c r="E558" s="43"/>
      <c r="F558" s="200"/>
      <c r="G558" s="32"/>
      <c r="H558" s="32"/>
      <c r="I558" s="50" t="str">
        <f t="shared" si="8"/>
        <v/>
      </c>
    </row>
    <row r="559" spans="1:9">
      <c r="A559" s="275" t="str">
        <f>IF(B559="","",DATE(IF(INT(B559)&gt;=4,予算!$L$1,予算!$L$2),INT(B559),ROUND(MOD(B559,1)*100,0)))</f>
        <v/>
      </c>
      <c r="B559" s="68"/>
      <c r="C559" s="43"/>
      <c r="D559" s="11" t="str">
        <f>IF(C559="","",VLOOKUP(C559,予算!$B$7:$C$66,2))</f>
        <v/>
      </c>
      <c r="E559" s="43"/>
      <c r="F559" s="200"/>
      <c r="G559" s="32"/>
      <c r="H559" s="32"/>
      <c r="I559" s="50" t="str">
        <f t="shared" si="8"/>
        <v/>
      </c>
    </row>
    <row r="560" spans="1:9">
      <c r="A560" s="275" t="str">
        <f>IF(B560="","",DATE(IF(INT(B560)&gt;=4,予算!$L$1,予算!$L$2),INT(B560),ROUND(MOD(B560,1)*100,0)))</f>
        <v/>
      </c>
      <c r="B560" s="68"/>
      <c r="C560" s="43"/>
      <c r="D560" s="11" t="str">
        <f>IF(C560="","",VLOOKUP(C560,予算!$B$7:$C$66,2))</f>
        <v/>
      </c>
      <c r="E560" s="43"/>
      <c r="F560" s="200"/>
      <c r="G560" s="32"/>
      <c r="H560" s="32"/>
      <c r="I560" s="50" t="str">
        <f t="shared" si="8"/>
        <v/>
      </c>
    </row>
    <row r="561" spans="1:9">
      <c r="A561" s="275" t="str">
        <f>IF(B561="","",DATE(IF(INT(B561)&gt;=4,予算!$L$1,予算!$L$2),INT(B561),ROUND(MOD(B561,1)*100,0)))</f>
        <v/>
      </c>
      <c r="B561" s="68"/>
      <c r="C561" s="43"/>
      <c r="D561" s="11" t="str">
        <f>IF(C561="","",VLOOKUP(C561,予算!$B$7:$C$66,2))</f>
        <v/>
      </c>
      <c r="E561" s="43"/>
      <c r="F561" s="200"/>
      <c r="G561" s="32"/>
      <c r="H561" s="32"/>
      <c r="I561" s="50" t="str">
        <f t="shared" si="8"/>
        <v/>
      </c>
    </row>
    <row r="562" spans="1:9">
      <c r="A562" s="275" t="str">
        <f>IF(B562="","",DATE(IF(INT(B562)&gt;=4,予算!$L$1,予算!$L$2),INT(B562),ROUND(MOD(B562,1)*100,0)))</f>
        <v/>
      </c>
      <c r="B562" s="68"/>
      <c r="C562" s="43"/>
      <c r="D562" s="11" t="str">
        <f>IF(C562="","",VLOOKUP(C562,予算!$B$7:$C$66,2))</f>
        <v/>
      </c>
      <c r="E562" s="43"/>
      <c r="F562" s="200"/>
      <c r="G562" s="32"/>
      <c r="H562" s="32"/>
      <c r="I562" s="50" t="str">
        <f t="shared" si="8"/>
        <v/>
      </c>
    </row>
    <row r="563" spans="1:9">
      <c r="A563" s="275" t="str">
        <f>IF(B563="","",DATE(IF(INT(B563)&gt;=4,予算!$L$1,予算!$L$2),INT(B563),ROUND(MOD(B563,1)*100,0)))</f>
        <v/>
      </c>
      <c r="B563" s="68"/>
      <c r="C563" s="43"/>
      <c r="D563" s="11" t="str">
        <f>IF(C563="","",VLOOKUP(C563,予算!$B$7:$C$66,2))</f>
        <v/>
      </c>
      <c r="E563" s="43"/>
      <c r="F563" s="200"/>
      <c r="G563" s="32"/>
      <c r="H563" s="32"/>
      <c r="I563" s="50" t="str">
        <f t="shared" si="8"/>
        <v/>
      </c>
    </row>
    <row r="564" spans="1:9">
      <c r="A564" s="275" t="str">
        <f>IF(B564="","",DATE(IF(INT(B564)&gt;=4,予算!$L$1,予算!$L$2),INT(B564),ROUND(MOD(B564,1)*100,0)))</f>
        <v/>
      </c>
      <c r="B564" s="68"/>
      <c r="C564" s="43"/>
      <c r="D564" s="11" t="str">
        <f>IF(C564="","",VLOOKUP(C564,予算!$B$7:$C$66,2))</f>
        <v/>
      </c>
      <c r="E564" s="43"/>
      <c r="F564" s="200"/>
      <c r="G564" s="32"/>
      <c r="H564" s="32"/>
      <c r="I564" s="50" t="str">
        <f t="shared" si="8"/>
        <v/>
      </c>
    </row>
    <row r="565" spans="1:9">
      <c r="A565" s="275" t="str">
        <f>IF(B565="","",DATE(IF(INT(B565)&gt;=4,予算!$L$1,予算!$L$2),INT(B565),ROUND(MOD(B565,1)*100,0)))</f>
        <v/>
      </c>
      <c r="B565" s="68"/>
      <c r="C565" s="43"/>
      <c r="D565" s="11" t="str">
        <f>IF(C565="","",VLOOKUP(C565,予算!$B$7:$C$66,2))</f>
        <v/>
      </c>
      <c r="E565" s="43"/>
      <c r="F565" s="200"/>
      <c r="G565" s="32"/>
      <c r="H565" s="32"/>
      <c r="I565" s="50" t="str">
        <f t="shared" si="8"/>
        <v/>
      </c>
    </row>
    <row r="566" spans="1:9">
      <c r="A566" s="275" t="str">
        <f>IF(B566="","",DATE(IF(INT(B566)&gt;=4,予算!$L$1,予算!$L$2),INT(B566),ROUND(MOD(B566,1)*100,0)))</f>
        <v/>
      </c>
      <c r="B566" s="68"/>
      <c r="C566" s="43"/>
      <c r="D566" s="11" t="str">
        <f>IF(C566="","",VLOOKUP(C566,予算!$B$7:$C$66,2))</f>
        <v/>
      </c>
      <c r="E566" s="43"/>
      <c r="F566" s="200"/>
      <c r="G566" s="32"/>
      <c r="H566" s="32"/>
      <c r="I566" s="50" t="str">
        <f t="shared" si="8"/>
        <v/>
      </c>
    </row>
    <row r="567" spans="1:9">
      <c r="A567" s="275" t="str">
        <f>IF(B567="","",DATE(IF(INT(B567)&gt;=4,予算!$L$1,予算!$L$2),INT(B567),ROUND(MOD(B567,1)*100,0)))</f>
        <v/>
      </c>
      <c r="B567" s="68"/>
      <c r="C567" s="43"/>
      <c r="D567" s="11" t="str">
        <f>IF(C567="","",VLOOKUP(C567,予算!$B$7:$C$66,2))</f>
        <v/>
      </c>
      <c r="E567" s="43"/>
      <c r="F567" s="200"/>
      <c r="G567" s="32"/>
      <c r="H567" s="32"/>
      <c r="I567" s="50" t="str">
        <f t="shared" si="8"/>
        <v/>
      </c>
    </row>
    <row r="568" spans="1:9">
      <c r="A568" s="275" t="str">
        <f>IF(B568="","",DATE(IF(INT(B568)&gt;=4,予算!$L$1,予算!$L$2),INT(B568),ROUND(MOD(B568,1)*100,0)))</f>
        <v/>
      </c>
      <c r="B568" s="68"/>
      <c r="C568" s="43"/>
      <c r="D568" s="11" t="str">
        <f>IF(C568="","",VLOOKUP(C568,予算!$B$7:$C$66,2))</f>
        <v/>
      </c>
      <c r="E568" s="43"/>
      <c r="F568" s="200"/>
      <c r="G568" s="32"/>
      <c r="H568" s="32"/>
      <c r="I568" s="50" t="str">
        <f t="shared" si="8"/>
        <v/>
      </c>
    </row>
    <row r="569" spans="1:9">
      <c r="A569" s="275" t="str">
        <f>IF(B569="","",DATE(IF(INT(B569)&gt;=4,予算!$L$1,予算!$L$2),INT(B569),ROUND(MOD(B569,1)*100,0)))</f>
        <v/>
      </c>
      <c r="B569" s="68"/>
      <c r="C569" s="43"/>
      <c r="D569" s="11" t="str">
        <f>IF(C569="","",VLOOKUP(C569,予算!$B$7:$C$66,2))</f>
        <v/>
      </c>
      <c r="E569" s="43"/>
      <c r="F569" s="200"/>
      <c r="G569" s="32"/>
      <c r="H569" s="32"/>
      <c r="I569" s="50" t="str">
        <f t="shared" si="8"/>
        <v/>
      </c>
    </row>
    <row r="570" spans="1:9">
      <c r="A570" s="275" t="str">
        <f>IF(B570="","",DATE(IF(INT(B570)&gt;=4,予算!$L$1,予算!$L$2),INT(B570),ROUND(MOD(B570,1)*100,0)))</f>
        <v/>
      </c>
      <c r="B570" s="68"/>
      <c r="C570" s="43"/>
      <c r="D570" s="11" t="str">
        <f>IF(C570="","",VLOOKUP(C570,予算!$B$7:$C$66,2))</f>
        <v/>
      </c>
      <c r="E570" s="43"/>
      <c r="F570" s="200"/>
      <c r="G570" s="32"/>
      <c r="H570" s="32"/>
      <c r="I570" s="50" t="str">
        <f t="shared" si="8"/>
        <v/>
      </c>
    </row>
    <row r="571" spans="1:9">
      <c r="A571" s="275" t="str">
        <f>IF(B571="","",DATE(IF(INT(B571)&gt;=4,予算!$L$1,予算!$L$2),INT(B571),ROUND(MOD(B571,1)*100,0)))</f>
        <v/>
      </c>
      <c r="B571" s="68"/>
      <c r="C571" s="43"/>
      <c r="D571" s="11" t="str">
        <f>IF(C571="","",VLOOKUP(C571,予算!$B$7:$C$66,2))</f>
        <v/>
      </c>
      <c r="E571" s="43"/>
      <c r="F571" s="200"/>
      <c r="G571" s="32"/>
      <c r="H571" s="32"/>
      <c r="I571" s="50" t="str">
        <f t="shared" si="8"/>
        <v/>
      </c>
    </row>
    <row r="572" spans="1:9">
      <c r="A572" s="275" t="str">
        <f>IF(B572="","",DATE(IF(INT(B572)&gt;=4,予算!$L$1,予算!$L$2),INT(B572),ROUND(MOD(B572,1)*100,0)))</f>
        <v/>
      </c>
      <c r="B572" s="68"/>
      <c r="C572" s="43"/>
      <c r="D572" s="11" t="str">
        <f>IF(C572="","",VLOOKUP(C572,予算!$B$7:$C$66,2))</f>
        <v/>
      </c>
      <c r="E572" s="43"/>
      <c r="F572" s="200"/>
      <c r="G572" s="32"/>
      <c r="H572" s="32"/>
      <c r="I572" s="50" t="str">
        <f t="shared" si="8"/>
        <v/>
      </c>
    </row>
    <row r="573" spans="1:9">
      <c r="A573" s="275" t="str">
        <f>IF(B573="","",DATE(IF(INT(B573)&gt;=4,予算!$L$1,予算!$L$2),INT(B573),ROUND(MOD(B573,1)*100,0)))</f>
        <v/>
      </c>
      <c r="B573" s="68"/>
      <c r="C573" s="43"/>
      <c r="D573" s="11" t="str">
        <f>IF(C573="","",VLOOKUP(C573,予算!$B$7:$C$66,2))</f>
        <v/>
      </c>
      <c r="E573" s="43"/>
      <c r="F573" s="200"/>
      <c r="G573" s="32"/>
      <c r="H573" s="32"/>
      <c r="I573" s="50" t="str">
        <f t="shared" si="8"/>
        <v/>
      </c>
    </row>
    <row r="574" spans="1:9">
      <c r="A574" s="275" t="str">
        <f>IF(B574="","",DATE(IF(INT(B574)&gt;=4,予算!$L$1,予算!$L$2),INT(B574),ROUND(MOD(B574,1)*100,0)))</f>
        <v/>
      </c>
      <c r="B574" s="68"/>
      <c r="C574" s="43"/>
      <c r="D574" s="11" t="str">
        <f>IF(C574="","",VLOOKUP(C574,予算!$B$7:$C$66,2))</f>
        <v/>
      </c>
      <c r="E574" s="43"/>
      <c r="F574" s="200"/>
      <c r="G574" s="32"/>
      <c r="H574" s="32"/>
      <c r="I574" s="50" t="str">
        <f t="shared" si="8"/>
        <v/>
      </c>
    </row>
    <row r="575" spans="1:9">
      <c r="A575" s="275" t="str">
        <f>IF(B575="","",DATE(IF(INT(B575)&gt;=4,予算!$L$1,予算!$L$2),INT(B575),ROUND(MOD(B575,1)*100,0)))</f>
        <v/>
      </c>
      <c r="B575" s="68"/>
      <c r="C575" s="43"/>
      <c r="D575" s="11" t="str">
        <f>IF(C575="","",VLOOKUP(C575,予算!$B$7:$C$66,2))</f>
        <v/>
      </c>
      <c r="E575" s="43"/>
      <c r="F575" s="200"/>
      <c r="G575" s="32"/>
      <c r="H575" s="32"/>
      <c r="I575" s="50" t="str">
        <f t="shared" si="8"/>
        <v/>
      </c>
    </row>
    <row r="576" spans="1:9">
      <c r="A576" s="275" t="str">
        <f>IF(B576="","",DATE(IF(INT(B576)&gt;=4,予算!$L$1,予算!$L$2),INT(B576),ROUND(MOD(B576,1)*100,0)))</f>
        <v/>
      </c>
      <c r="B576" s="68"/>
      <c r="C576" s="43"/>
      <c r="D576" s="11" t="str">
        <f>IF(C576="","",VLOOKUP(C576,予算!$B$7:$C$66,2))</f>
        <v/>
      </c>
      <c r="E576" s="43"/>
      <c r="F576" s="200"/>
      <c r="G576" s="32"/>
      <c r="H576" s="32"/>
      <c r="I576" s="50" t="str">
        <f t="shared" si="8"/>
        <v/>
      </c>
    </row>
    <row r="577" spans="1:9">
      <c r="A577" s="275" t="str">
        <f>IF(B577="","",DATE(IF(INT(B577)&gt;=4,予算!$L$1,予算!$L$2),INT(B577),ROUND(MOD(B577,1)*100,0)))</f>
        <v/>
      </c>
      <c r="B577" s="68"/>
      <c r="C577" s="43"/>
      <c r="D577" s="11" t="str">
        <f>IF(C577="","",VLOOKUP(C577,予算!$B$7:$C$66,2))</f>
        <v/>
      </c>
      <c r="E577" s="43"/>
      <c r="F577" s="200"/>
      <c r="G577" s="32"/>
      <c r="H577" s="32"/>
      <c r="I577" s="50" t="str">
        <f t="shared" si="8"/>
        <v/>
      </c>
    </row>
    <row r="578" spans="1:9">
      <c r="A578" s="275" t="str">
        <f>IF(B578="","",DATE(IF(INT(B578)&gt;=4,予算!$L$1,予算!$L$2),INT(B578),ROUND(MOD(B578,1)*100,0)))</f>
        <v/>
      </c>
      <c r="B578" s="68"/>
      <c r="C578" s="43"/>
      <c r="D578" s="11" t="str">
        <f>IF(C578="","",VLOOKUP(C578,予算!$B$7:$C$66,2))</f>
        <v/>
      </c>
      <c r="E578" s="43"/>
      <c r="F578" s="200"/>
      <c r="G578" s="32"/>
      <c r="H578" s="32"/>
      <c r="I578" s="50" t="str">
        <f t="shared" si="8"/>
        <v/>
      </c>
    </row>
    <row r="579" spans="1:9">
      <c r="A579" s="275" t="str">
        <f>IF(B579="","",DATE(IF(INT(B579)&gt;=4,予算!$L$1,予算!$L$2),INT(B579),ROUND(MOD(B579,1)*100,0)))</f>
        <v/>
      </c>
      <c r="B579" s="68"/>
      <c r="C579" s="43"/>
      <c r="D579" s="11" t="str">
        <f>IF(C579="","",VLOOKUP(C579,予算!$B$7:$C$66,2))</f>
        <v/>
      </c>
      <c r="E579" s="43"/>
      <c r="F579" s="200"/>
      <c r="G579" s="32"/>
      <c r="H579" s="32"/>
      <c r="I579" s="50" t="str">
        <f t="shared" si="8"/>
        <v/>
      </c>
    </row>
    <row r="580" spans="1:9">
      <c r="A580" s="275" t="str">
        <f>IF(B580="","",DATE(IF(INT(B580)&gt;=4,予算!$L$1,予算!$L$2),INT(B580),ROUND(MOD(B580,1)*100,0)))</f>
        <v/>
      </c>
      <c r="B580" s="68"/>
      <c r="C580" s="43"/>
      <c r="D580" s="11" t="str">
        <f>IF(C580="","",VLOOKUP(C580,予算!$B$7:$C$66,2))</f>
        <v/>
      </c>
      <c r="E580" s="43"/>
      <c r="F580" s="200"/>
      <c r="G580" s="32"/>
      <c r="H580" s="32"/>
      <c r="I580" s="50" t="str">
        <f t="shared" si="8"/>
        <v/>
      </c>
    </row>
    <row r="581" spans="1:9">
      <c r="A581" s="275" t="str">
        <f>IF(B581="","",DATE(IF(INT(B581)&gt;=4,予算!$L$1,予算!$L$2),INT(B581),ROUND(MOD(B581,1)*100,0)))</f>
        <v/>
      </c>
      <c r="B581" s="68"/>
      <c r="C581" s="43"/>
      <c r="D581" s="11" t="str">
        <f>IF(C581="","",VLOOKUP(C581,予算!$B$7:$C$66,2))</f>
        <v/>
      </c>
      <c r="E581" s="43"/>
      <c r="F581" s="200"/>
      <c r="G581" s="32"/>
      <c r="H581" s="32"/>
      <c r="I581" s="50" t="str">
        <f t="shared" si="8"/>
        <v/>
      </c>
    </row>
    <row r="582" spans="1:9">
      <c r="A582" s="275" t="str">
        <f>IF(B582="","",DATE(IF(INT(B582)&gt;=4,予算!$L$1,予算!$L$2),INT(B582),ROUND(MOD(B582,1)*100,0)))</f>
        <v/>
      </c>
      <c r="B582" s="68"/>
      <c r="C582" s="43"/>
      <c r="D582" s="11" t="str">
        <f>IF(C582="","",VLOOKUP(C582,予算!$B$7:$C$66,2))</f>
        <v/>
      </c>
      <c r="E582" s="43"/>
      <c r="F582" s="200"/>
      <c r="G582" s="32"/>
      <c r="H582" s="32"/>
      <c r="I582" s="50" t="str">
        <f t="shared" si="8"/>
        <v/>
      </c>
    </row>
    <row r="583" spans="1:9">
      <c r="A583" s="275" t="str">
        <f>IF(B583="","",DATE(IF(INT(B583)&gt;=4,予算!$L$1,予算!$L$2),INT(B583),ROUND(MOD(B583,1)*100,0)))</f>
        <v/>
      </c>
      <c r="B583" s="68"/>
      <c r="C583" s="43"/>
      <c r="D583" s="11" t="str">
        <f>IF(C583="","",VLOOKUP(C583,予算!$B$7:$C$66,2))</f>
        <v/>
      </c>
      <c r="E583" s="43"/>
      <c r="F583" s="200"/>
      <c r="G583" s="32"/>
      <c r="H583" s="32"/>
      <c r="I583" s="50" t="str">
        <f t="shared" si="8"/>
        <v/>
      </c>
    </row>
    <row r="584" spans="1:9">
      <c r="A584" s="275" t="str">
        <f>IF(B584="","",DATE(IF(INT(B584)&gt;=4,予算!$L$1,予算!$L$2),INT(B584),ROUND(MOD(B584,1)*100,0)))</f>
        <v/>
      </c>
      <c r="B584" s="68"/>
      <c r="C584" s="43"/>
      <c r="D584" s="11" t="str">
        <f>IF(C584="","",VLOOKUP(C584,予算!$B$7:$C$66,2))</f>
        <v/>
      </c>
      <c r="E584" s="43"/>
      <c r="F584" s="200"/>
      <c r="G584" s="32"/>
      <c r="H584" s="32"/>
      <c r="I584" s="50" t="str">
        <f t="shared" si="8"/>
        <v/>
      </c>
    </row>
    <row r="585" spans="1:9">
      <c r="A585" s="275" t="str">
        <f>IF(B585="","",DATE(IF(INT(B585)&gt;=4,予算!$L$1,予算!$L$2),INT(B585),ROUND(MOD(B585,1)*100,0)))</f>
        <v/>
      </c>
      <c r="B585" s="68"/>
      <c r="C585" s="43"/>
      <c r="D585" s="11" t="str">
        <f>IF(C585="","",VLOOKUP(C585,予算!$B$7:$C$66,2))</f>
        <v/>
      </c>
      <c r="E585" s="43"/>
      <c r="F585" s="200"/>
      <c r="G585" s="32"/>
      <c r="H585" s="32"/>
      <c r="I585" s="50" t="str">
        <f t="shared" ref="I585:I648" si="9">IF(C585="","",I584+G585-H585)</f>
        <v/>
      </c>
    </row>
    <row r="586" spans="1:9">
      <c r="A586" s="275" t="str">
        <f>IF(B586="","",DATE(IF(INT(B586)&gt;=4,予算!$L$1,予算!$L$2),INT(B586),ROUND(MOD(B586,1)*100,0)))</f>
        <v/>
      </c>
      <c r="B586" s="68"/>
      <c r="C586" s="43"/>
      <c r="D586" s="11" t="str">
        <f>IF(C586="","",VLOOKUP(C586,予算!$B$7:$C$66,2))</f>
        <v/>
      </c>
      <c r="E586" s="43"/>
      <c r="F586" s="200"/>
      <c r="G586" s="32"/>
      <c r="H586" s="32"/>
      <c r="I586" s="50" t="str">
        <f t="shared" si="9"/>
        <v/>
      </c>
    </row>
    <row r="587" spans="1:9">
      <c r="A587" s="275" t="str">
        <f>IF(B587="","",DATE(IF(INT(B587)&gt;=4,予算!$L$1,予算!$L$2),INT(B587),ROUND(MOD(B587,1)*100,0)))</f>
        <v/>
      </c>
      <c r="B587" s="68"/>
      <c r="C587" s="43"/>
      <c r="D587" s="11" t="str">
        <f>IF(C587="","",VLOOKUP(C587,予算!$B$7:$C$66,2))</f>
        <v/>
      </c>
      <c r="E587" s="43"/>
      <c r="F587" s="200"/>
      <c r="G587" s="32"/>
      <c r="H587" s="32"/>
      <c r="I587" s="50" t="str">
        <f t="shared" si="9"/>
        <v/>
      </c>
    </row>
    <row r="588" spans="1:9">
      <c r="A588" s="275" t="str">
        <f>IF(B588="","",DATE(IF(INT(B588)&gt;=4,予算!$L$1,予算!$L$2),INT(B588),ROUND(MOD(B588,1)*100,0)))</f>
        <v/>
      </c>
      <c r="B588" s="68"/>
      <c r="C588" s="43"/>
      <c r="D588" s="11" t="str">
        <f>IF(C588="","",VLOOKUP(C588,予算!$B$7:$C$66,2))</f>
        <v/>
      </c>
      <c r="E588" s="43"/>
      <c r="F588" s="200"/>
      <c r="G588" s="32"/>
      <c r="H588" s="32"/>
      <c r="I588" s="50" t="str">
        <f t="shared" si="9"/>
        <v/>
      </c>
    </row>
    <row r="589" spans="1:9">
      <c r="A589" s="275" t="str">
        <f>IF(B589="","",DATE(IF(INT(B589)&gt;=4,予算!$L$1,予算!$L$2),INT(B589),ROUND(MOD(B589,1)*100,0)))</f>
        <v/>
      </c>
      <c r="B589" s="68"/>
      <c r="C589" s="43"/>
      <c r="D589" s="11" t="str">
        <f>IF(C589="","",VLOOKUP(C589,予算!$B$7:$C$66,2))</f>
        <v/>
      </c>
      <c r="E589" s="43"/>
      <c r="F589" s="200"/>
      <c r="G589" s="32"/>
      <c r="H589" s="32"/>
      <c r="I589" s="50" t="str">
        <f t="shared" si="9"/>
        <v/>
      </c>
    </row>
    <row r="590" spans="1:9">
      <c r="A590" s="275" t="str">
        <f>IF(B590="","",DATE(IF(INT(B590)&gt;=4,予算!$L$1,予算!$L$2),INT(B590),ROUND(MOD(B590,1)*100,0)))</f>
        <v/>
      </c>
      <c r="B590" s="68"/>
      <c r="C590" s="43"/>
      <c r="D590" s="11" t="str">
        <f>IF(C590="","",VLOOKUP(C590,予算!$B$7:$C$66,2))</f>
        <v/>
      </c>
      <c r="E590" s="43"/>
      <c r="F590" s="200"/>
      <c r="G590" s="32"/>
      <c r="H590" s="32"/>
      <c r="I590" s="50" t="str">
        <f t="shared" si="9"/>
        <v/>
      </c>
    </row>
    <row r="591" spans="1:9">
      <c r="A591" s="275" t="str">
        <f>IF(B591="","",DATE(IF(INT(B591)&gt;=4,予算!$L$1,予算!$L$2),INT(B591),ROUND(MOD(B591,1)*100,0)))</f>
        <v/>
      </c>
      <c r="B591" s="68"/>
      <c r="C591" s="43"/>
      <c r="D591" s="11" t="str">
        <f>IF(C591="","",VLOOKUP(C591,予算!$B$7:$C$66,2))</f>
        <v/>
      </c>
      <c r="E591" s="43"/>
      <c r="F591" s="200"/>
      <c r="G591" s="32"/>
      <c r="H591" s="32"/>
      <c r="I591" s="50" t="str">
        <f t="shared" si="9"/>
        <v/>
      </c>
    </row>
    <row r="592" spans="1:9">
      <c r="A592" s="275" t="str">
        <f>IF(B592="","",DATE(IF(INT(B592)&gt;=4,予算!$L$1,予算!$L$2),INT(B592),ROUND(MOD(B592,1)*100,0)))</f>
        <v/>
      </c>
      <c r="B592" s="68"/>
      <c r="C592" s="43"/>
      <c r="D592" s="11" t="str">
        <f>IF(C592="","",VLOOKUP(C592,予算!$B$7:$C$66,2))</f>
        <v/>
      </c>
      <c r="E592" s="43"/>
      <c r="F592" s="200"/>
      <c r="G592" s="32"/>
      <c r="H592" s="32"/>
      <c r="I592" s="50" t="str">
        <f t="shared" si="9"/>
        <v/>
      </c>
    </row>
    <row r="593" spans="1:9">
      <c r="A593" s="275" t="str">
        <f>IF(B593="","",DATE(IF(INT(B593)&gt;=4,予算!$L$1,予算!$L$2),INT(B593),ROUND(MOD(B593,1)*100,0)))</f>
        <v/>
      </c>
      <c r="B593" s="68"/>
      <c r="C593" s="43"/>
      <c r="D593" s="11" t="str">
        <f>IF(C593="","",VLOOKUP(C593,予算!$B$7:$C$66,2))</f>
        <v/>
      </c>
      <c r="E593" s="43"/>
      <c r="F593" s="200"/>
      <c r="G593" s="32"/>
      <c r="H593" s="32"/>
      <c r="I593" s="50" t="str">
        <f t="shared" si="9"/>
        <v/>
      </c>
    </row>
    <row r="594" spans="1:9">
      <c r="A594" s="275" t="str">
        <f>IF(B594="","",DATE(IF(INT(B594)&gt;=4,予算!$L$1,予算!$L$2),INT(B594),ROUND(MOD(B594,1)*100,0)))</f>
        <v/>
      </c>
      <c r="B594" s="68"/>
      <c r="C594" s="43"/>
      <c r="D594" s="11" t="str">
        <f>IF(C594="","",VLOOKUP(C594,予算!$B$7:$C$66,2))</f>
        <v/>
      </c>
      <c r="E594" s="43"/>
      <c r="F594" s="200"/>
      <c r="G594" s="32"/>
      <c r="H594" s="32"/>
      <c r="I594" s="50" t="str">
        <f t="shared" si="9"/>
        <v/>
      </c>
    </row>
    <row r="595" spans="1:9">
      <c r="A595" s="275" t="str">
        <f>IF(B595="","",DATE(IF(INT(B595)&gt;=4,予算!$L$1,予算!$L$2),INT(B595),ROUND(MOD(B595,1)*100,0)))</f>
        <v/>
      </c>
      <c r="B595" s="68"/>
      <c r="C595" s="43"/>
      <c r="D595" s="11" t="str">
        <f>IF(C595="","",VLOOKUP(C595,予算!$B$7:$C$66,2))</f>
        <v/>
      </c>
      <c r="E595" s="43"/>
      <c r="F595" s="200"/>
      <c r="G595" s="32"/>
      <c r="H595" s="32"/>
      <c r="I595" s="50" t="str">
        <f t="shared" si="9"/>
        <v/>
      </c>
    </row>
    <row r="596" spans="1:9">
      <c r="A596" s="275" t="str">
        <f>IF(B596="","",DATE(IF(INT(B596)&gt;=4,予算!$L$1,予算!$L$2),INT(B596),ROUND(MOD(B596,1)*100,0)))</f>
        <v/>
      </c>
      <c r="B596" s="68"/>
      <c r="C596" s="43"/>
      <c r="D596" s="11" t="str">
        <f>IF(C596="","",VLOOKUP(C596,予算!$B$7:$C$66,2))</f>
        <v/>
      </c>
      <c r="E596" s="43"/>
      <c r="F596" s="200"/>
      <c r="G596" s="32"/>
      <c r="H596" s="32"/>
      <c r="I596" s="50" t="str">
        <f t="shared" si="9"/>
        <v/>
      </c>
    </row>
    <row r="597" spans="1:9">
      <c r="A597" s="275" t="str">
        <f>IF(B597="","",DATE(IF(INT(B597)&gt;=4,予算!$L$1,予算!$L$2),INT(B597),ROUND(MOD(B597,1)*100,0)))</f>
        <v/>
      </c>
      <c r="B597" s="68"/>
      <c r="C597" s="43"/>
      <c r="D597" s="11" t="str">
        <f>IF(C597="","",VLOOKUP(C597,予算!$B$7:$C$66,2))</f>
        <v/>
      </c>
      <c r="E597" s="43"/>
      <c r="F597" s="200"/>
      <c r="G597" s="32"/>
      <c r="H597" s="32"/>
      <c r="I597" s="50" t="str">
        <f t="shared" si="9"/>
        <v/>
      </c>
    </row>
    <row r="598" spans="1:9">
      <c r="A598" s="275" t="str">
        <f>IF(B598="","",DATE(IF(INT(B598)&gt;=4,予算!$L$1,予算!$L$2),INT(B598),ROUND(MOD(B598,1)*100,0)))</f>
        <v/>
      </c>
      <c r="B598" s="68"/>
      <c r="C598" s="43"/>
      <c r="D598" s="11" t="str">
        <f>IF(C598="","",VLOOKUP(C598,予算!$B$7:$C$66,2))</f>
        <v/>
      </c>
      <c r="E598" s="43"/>
      <c r="F598" s="200"/>
      <c r="G598" s="32"/>
      <c r="H598" s="32"/>
      <c r="I598" s="50" t="str">
        <f t="shared" si="9"/>
        <v/>
      </c>
    </row>
    <row r="599" spans="1:9">
      <c r="A599" s="275" t="str">
        <f>IF(B599="","",DATE(IF(INT(B599)&gt;=4,予算!$L$1,予算!$L$2),INT(B599),ROUND(MOD(B599,1)*100,0)))</f>
        <v/>
      </c>
      <c r="B599" s="68"/>
      <c r="C599" s="43"/>
      <c r="D599" s="11" t="str">
        <f>IF(C599="","",VLOOKUP(C599,予算!$B$7:$C$66,2))</f>
        <v/>
      </c>
      <c r="E599" s="43"/>
      <c r="F599" s="200"/>
      <c r="G599" s="32"/>
      <c r="H599" s="32"/>
      <c r="I599" s="50" t="str">
        <f t="shared" si="9"/>
        <v/>
      </c>
    </row>
    <row r="600" spans="1:9">
      <c r="A600" s="275" t="str">
        <f>IF(B600="","",DATE(IF(INT(B600)&gt;=4,予算!$L$1,予算!$L$2),INT(B600),ROUND(MOD(B600,1)*100,0)))</f>
        <v/>
      </c>
      <c r="B600" s="68"/>
      <c r="C600" s="43"/>
      <c r="D600" s="11" t="str">
        <f>IF(C600="","",VLOOKUP(C600,予算!$B$7:$C$66,2))</f>
        <v/>
      </c>
      <c r="E600" s="43"/>
      <c r="F600" s="200"/>
      <c r="G600" s="32"/>
      <c r="H600" s="32"/>
      <c r="I600" s="50" t="str">
        <f t="shared" si="9"/>
        <v/>
      </c>
    </row>
    <row r="601" spans="1:9">
      <c r="A601" s="275" t="str">
        <f>IF(B601="","",DATE(IF(INT(B601)&gt;=4,予算!$L$1,予算!$L$2),INT(B601),ROUND(MOD(B601,1)*100,0)))</f>
        <v/>
      </c>
      <c r="B601" s="68"/>
      <c r="C601" s="43"/>
      <c r="D601" s="11" t="str">
        <f>IF(C601="","",VLOOKUP(C601,予算!$B$7:$C$66,2))</f>
        <v/>
      </c>
      <c r="E601" s="43"/>
      <c r="F601" s="200"/>
      <c r="G601" s="32"/>
      <c r="H601" s="32"/>
      <c r="I601" s="50" t="str">
        <f t="shared" si="9"/>
        <v/>
      </c>
    </row>
    <row r="602" spans="1:9">
      <c r="A602" s="275" t="str">
        <f>IF(B602="","",DATE(IF(INT(B602)&gt;=4,予算!$L$1,予算!$L$2),INT(B602),ROUND(MOD(B602,1)*100,0)))</f>
        <v/>
      </c>
      <c r="B602" s="68"/>
      <c r="C602" s="43"/>
      <c r="D602" s="11" t="str">
        <f>IF(C602="","",VLOOKUP(C602,予算!$B$7:$C$66,2))</f>
        <v/>
      </c>
      <c r="E602" s="43"/>
      <c r="F602" s="200"/>
      <c r="G602" s="32"/>
      <c r="H602" s="32"/>
      <c r="I602" s="50" t="str">
        <f t="shared" si="9"/>
        <v/>
      </c>
    </row>
    <row r="603" spans="1:9">
      <c r="A603" s="275" t="str">
        <f>IF(B603="","",DATE(IF(INT(B603)&gt;=4,予算!$L$1,予算!$L$2),INT(B603),ROUND(MOD(B603,1)*100,0)))</f>
        <v/>
      </c>
      <c r="B603" s="68"/>
      <c r="C603" s="43"/>
      <c r="D603" s="11" t="str">
        <f>IF(C603="","",VLOOKUP(C603,予算!$B$7:$C$66,2))</f>
        <v/>
      </c>
      <c r="E603" s="43"/>
      <c r="F603" s="200"/>
      <c r="G603" s="32"/>
      <c r="H603" s="32"/>
      <c r="I603" s="50" t="str">
        <f t="shared" si="9"/>
        <v/>
      </c>
    </row>
    <row r="604" spans="1:9">
      <c r="A604" s="275" t="str">
        <f>IF(B604="","",DATE(IF(INT(B604)&gt;=4,予算!$L$1,予算!$L$2),INT(B604),ROUND(MOD(B604,1)*100,0)))</f>
        <v/>
      </c>
      <c r="B604" s="68"/>
      <c r="C604" s="43"/>
      <c r="D604" s="11" t="str">
        <f>IF(C604="","",VLOOKUP(C604,予算!$B$7:$C$66,2))</f>
        <v/>
      </c>
      <c r="E604" s="43"/>
      <c r="F604" s="200"/>
      <c r="G604" s="32"/>
      <c r="H604" s="32"/>
      <c r="I604" s="50" t="str">
        <f t="shared" si="9"/>
        <v/>
      </c>
    </row>
    <row r="605" spans="1:9">
      <c r="A605" s="275" t="str">
        <f>IF(B605="","",DATE(IF(INT(B605)&gt;=4,予算!$L$1,予算!$L$2),INT(B605),ROUND(MOD(B605,1)*100,0)))</f>
        <v/>
      </c>
      <c r="B605" s="68"/>
      <c r="C605" s="43"/>
      <c r="D605" s="11" t="str">
        <f>IF(C605="","",VLOOKUP(C605,予算!$B$7:$C$66,2))</f>
        <v/>
      </c>
      <c r="E605" s="43"/>
      <c r="F605" s="200"/>
      <c r="G605" s="32"/>
      <c r="H605" s="32"/>
      <c r="I605" s="50" t="str">
        <f t="shared" si="9"/>
        <v/>
      </c>
    </row>
    <row r="606" spans="1:9">
      <c r="A606" s="275" t="str">
        <f>IF(B606="","",DATE(IF(INT(B606)&gt;=4,予算!$L$1,予算!$L$2),INT(B606),ROUND(MOD(B606,1)*100,0)))</f>
        <v/>
      </c>
      <c r="B606" s="68"/>
      <c r="C606" s="43"/>
      <c r="D606" s="11" t="str">
        <f>IF(C606="","",VLOOKUP(C606,予算!$B$7:$C$66,2))</f>
        <v/>
      </c>
      <c r="E606" s="43"/>
      <c r="F606" s="200"/>
      <c r="G606" s="32"/>
      <c r="H606" s="32"/>
      <c r="I606" s="50" t="str">
        <f t="shared" si="9"/>
        <v/>
      </c>
    </row>
    <row r="607" spans="1:9">
      <c r="A607" s="275" t="str">
        <f>IF(B607="","",DATE(IF(INT(B607)&gt;=4,予算!$L$1,予算!$L$2),INT(B607),ROUND(MOD(B607,1)*100,0)))</f>
        <v/>
      </c>
      <c r="B607" s="68"/>
      <c r="C607" s="43"/>
      <c r="D607" s="11" t="str">
        <f>IF(C607="","",VLOOKUP(C607,予算!$B$7:$C$66,2))</f>
        <v/>
      </c>
      <c r="E607" s="43"/>
      <c r="F607" s="200"/>
      <c r="G607" s="32"/>
      <c r="H607" s="32"/>
      <c r="I607" s="50" t="str">
        <f t="shared" si="9"/>
        <v/>
      </c>
    </row>
    <row r="608" spans="1:9">
      <c r="A608" s="275" t="str">
        <f>IF(B608="","",DATE(IF(INT(B608)&gt;=4,予算!$L$1,予算!$L$2),INT(B608),ROUND(MOD(B608,1)*100,0)))</f>
        <v/>
      </c>
      <c r="B608" s="68"/>
      <c r="C608" s="43"/>
      <c r="D608" s="11" t="str">
        <f>IF(C608="","",VLOOKUP(C608,予算!$B$7:$C$66,2))</f>
        <v/>
      </c>
      <c r="E608" s="43"/>
      <c r="F608" s="200"/>
      <c r="G608" s="32"/>
      <c r="H608" s="32"/>
      <c r="I608" s="50" t="str">
        <f t="shared" si="9"/>
        <v/>
      </c>
    </row>
    <row r="609" spans="1:9">
      <c r="A609" s="275" t="str">
        <f>IF(B609="","",DATE(IF(INT(B609)&gt;=4,予算!$L$1,予算!$L$2),INT(B609),ROUND(MOD(B609,1)*100,0)))</f>
        <v/>
      </c>
      <c r="B609" s="68"/>
      <c r="C609" s="43"/>
      <c r="D609" s="11" t="str">
        <f>IF(C609="","",VLOOKUP(C609,予算!$B$7:$C$66,2))</f>
        <v/>
      </c>
      <c r="E609" s="43"/>
      <c r="F609" s="200"/>
      <c r="G609" s="32"/>
      <c r="H609" s="32"/>
      <c r="I609" s="50" t="str">
        <f t="shared" si="9"/>
        <v/>
      </c>
    </row>
    <row r="610" spans="1:9">
      <c r="A610" s="275" t="str">
        <f>IF(B610="","",DATE(IF(INT(B610)&gt;=4,予算!$L$1,予算!$L$2),INT(B610),ROUND(MOD(B610,1)*100,0)))</f>
        <v/>
      </c>
      <c r="B610" s="68"/>
      <c r="C610" s="43"/>
      <c r="D610" s="11" t="str">
        <f>IF(C610="","",VLOOKUP(C610,予算!$B$7:$C$66,2))</f>
        <v/>
      </c>
      <c r="E610" s="43"/>
      <c r="F610" s="200"/>
      <c r="G610" s="32"/>
      <c r="H610" s="32"/>
      <c r="I610" s="50" t="str">
        <f t="shared" si="9"/>
        <v/>
      </c>
    </row>
    <row r="611" spans="1:9">
      <c r="A611" s="275" t="str">
        <f>IF(B611="","",DATE(IF(INT(B611)&gt;=4,予算!$L$1,予算!$L$2),INT(B611),ROUND(MOD(B611,1)*100,0)))</f>
        <v/>
      </c>
      <c r="B611" s="68"/>
      <c r="C611" s="43"/>
      <c r="D611" s="11" t="str">
        <f>IF(C611="","",VLOOKUP(C611,予算!$B$7:$C$66,2))</f>
        <v/>
      </c>
      <c r="E611" s="43"/>
      <c r="F611" s="200"/>
      <c r="G611" s="32"/>
      <c r="H611" s="32"/>
      <c r="I611" s="50" t="str">
        <f t="shared" si="9"/>
        <v/>
      </c>
    </row>
    <row r="612" spans="1:9">
      <c r="A612" s="275" t="str">
        <f>IF(B612="","",DATE(IF(INT(B612)&gt;=4,予算!$L$1,予算!$L$2),INT(B612),ROUND(MOD(B612,1)*100,0)))</f>
        <v/>
      </c>
      <c r="B612" s="68"/>
      <c r="C612" s="43"/>
      <c r="D612" s="11" t="str">
        <f>IF(C612="","",VLOOKUP(C612,予算!$B$7:$C$66,2))</f>
        <v/>
      </c>
      <c r="E612" s="43"/>
      <c r="F612" s="200"/>
      <c r="G612" s="32"/>
      <c r="H612" s="32"/>
      <c r="I612" s="50" t="str">
        <f t="shared" si="9"/>
        <v/>
      </c>
    </row>
    <row r="613" spans="1:9">
      <c r="A613" s="275" t="str">
        <f>IF(B613="","",DATE(IF(INT(B613)&gt;=4,予算!$L$1,予算!$L$2),INT(B613),ROUND(MOD(B613,1)*100,0)))</f>
        <v/>
      </c>
      <c r="B613" s="68"/>
      <c r="C613" s="43"/>
      <c r="D613" s="11" t="str">
        <f>IF(C613="","",VLOOKUP(C613,予算!$B$7:$C$66,2))</f>
        <v/>
      </c>
      <c r="E613" s="43"/>
      <c r="F613" s="200"/>
      <c r="G613" s="32"/>
      <c r="H613" s="32"/>
      <c r="I613" s="50" t="str">
        <f t="shared" si="9"/>
        <v/>
      </c>
    </row>
    <row r="614" spans="1:9">
      <c r="A614" s="275" t="str">
        <f>IF(B614="","",DATE(IF(INT(B614)&gt;=4,予算!$L$1,予算!$L$2),INT(B614),ROUND(MOD(B614,1)*100,0)))</f>
        <v/>
      </c>
      <c r="B614" s="68"/>
      <c r="C614" s="43"/>
      <c r="D614" s="11" t="str">
        <f>IF(C614="","",VLOOKUP(C614,予算!$B$7:$C$66,2))</f>
        <v/>
      </c>
      <c r="E614" s="43"/>
      <c r="F614" s="200"/>
      <c r="G614" s="32"/>
      <c r="H614" s="32"/>
      <c r="I614" s="50" t="str">
        <f t="shared" si="9"/>
        <v/>
      </c>
    </row>
    <row r="615" spans="1:9">
      <c r="A615" s="275" t="str">
        <f>IF(B615="","",DATE(IF(INT(B615)&gt;=4,予算!$L$1,予算!$L$2),INT(B615),ROUND(MOD(B615,1)*100,0)))</f>
        <v/>
      </c>
      <c r="B615" s="68"/>
      <c r="C615" s="43"/>
      <c r="D615" s="11" t="str">
        <f>IF(C615="","",VLOOKUP(C615,予算!$B$7:$C$66,2))</f>
        <v/>
      </c>
      <c r="E615" s="43"/>
      <c r="F615" s="200"/>
      <c r="G615" s="32"/>
      <c r="H615" s="32"/>
      <c r="I615" s="50" t="str">
        <f t="shared" si="9"/>
        <v/>
      </c>
    </row>
    <row r="616" spans="1:9">
      <c r="A616" s="275" t="str">
        <f>IF(B616="","",DATE(IF(INT(B616)&gt;=4,予算!$L$1,予算!$L$2),INT(B616),ROUND(MOD(B616,1)*100,0)))</f>
        <v/>
      </c>
      <c r="B616" s="68"/>
      <c r="C616" s="43"/>
      <c r="D616" s="11" t="str">
        <f>IF(C616="","",VLOOKUP(C616,予算!$B$7:$C$66,2))</f>
        <v/>
      </c>
      <c r="E616" s="43"/>
      <c r="F616" s="200"/>
      <c r="G616" s="32"/>
      <c r="H616" s="32"/>
      <c r="I616" s="50" t="str">
        <f t="shared" si="9"/>
        <v/>
      </c>
    </row>
    <row r="617" spans="1:9">
      <c r="A617" s="275" t="str">
        <f>IF(B617="","",DATE(IF(INT(B617)&gt;=4,予算!$L$1,予算!$L$2),INT(B617),ROUND(MOD(B617,1)*100,0)))</f>
        <v/>
      </c>
      <c r="B617" s="68"/>
      <c r="C617" s="43"/>
      <c r="D617" s="11" t="str">
        <f>IF(C617="","",VLOOKUP(C617,予算!$B$7:$C$66,2))</f>
        <v/>
      </c>
      <c r="E617" s="43"/>
      <c r="F617" s="200"/>
      <c r="G617" s="32"/>
      <c r="H617" s="32"/>
      <c r="I617" s="50" t="str">
        <f t="shared" si="9"/>
        <v/>
      </c>
    </row>
    <row r="618" spans="1:9">
      <c r="A618" s="275" t="str">
        <f>IF(B618="","",DATE(IF(INT(B618)&gt;=4,予算!$L$1,予算!$L$2),INT(B618),ROUND(MOD(B618,1)*100,0)))</f>
        <v/>
      </c>
      <c r="B618" s="68"/>
      <c r="C618" s="43"/>
      <c r="D618" s="11" t="str">
        <f>IF(C618="","",VLOOKUP(C618,予算!$B$7:$C$66,2))</f>
        <v/>
      </c>
      <c r="E618" s="43"/>
      <c r="F618" s="200"/>
      <c r="G618" s="32"/>
      <c r="H618" s="32"/>
      <c r="I618" s="50" t="str">
        <f t="shared" si="9"/>
        <v/>
      </c>
    </row>
    <row r="619" spans="1:9">
      <c r="A619" s="275" t="str">
        <f>IF(B619="","",DATE(IF(INT(B619)&gt;=4,予算!$L$1,予算!$L$2),INT(B619),ROUND(MOD(B619,1)*100,0)))</f>
        <v/>
      </c>
      <c r="B619" s="68"/>
      <c r="C619" s="43"/>
      <c r="D619" s="11" t="str">
        <f>IF(C619="","",VLOOKUP(C619,予算!$B$7:$C$66,2))</f>
        <v/>
      </c>
      <c r="E619" s="43"/>
      <c r="F619" s="200"/>
      <c r="G619" s="32"/>
      <c r="H619" s="32"/>
      <c r="I619" s="50" t="str">
        <f t="shared" si="9"/>
        <v/>
      </c>
    </row>
    <row r="620" spans="1:9">
      <c r="A620" s="275" t="str">
        <f>IF(B620="","",DATE(IF(INT(B620)&gt;=4,予算!$L$1,予算!$L$2),INT(B620),ROUND(MOD(B620,1)*100,0)))</f>
        <v/>
      </c>
      <c r="B620" s="68"/>
      <c r="C620" s="43"/>
      <c r="D620" s="11" t="str">
        <f>IF(C620="","",VLOOKUP(C620,予算!$B$7:$C$66,2))</f>
        <v/>
      </c>
      <c r="E620" s="43"/>
      <c r="F620" s="200"/>
      <c r="G620" s="32"/>
      <c r="H620" s="32"/>
      <c r="I620" s="50" t="str">
        <f t="shared" si="9"/>
        <v/>
      </c>
    </row>
    <row r="621" spans="1:9">
      <c r="A621" s="275" t="str">
        <f>IF(B621="","",DATE(IF(INT(B621)&gt;=4,予算!$L$1,予算!$L$2),INT(B621),ROUND(MOD(B621,1)*100,0)))</f>
        <v/>
      </c>
      <c r="B621" s="68"/>
      <c r="C621" s="43"/>
      <c r="D621" s="11" t="str">
        <f>IF(C621="","",VLOOKUP(C621,予算!$B$7:$C$66,2))</f>
        <v/>
      </c>
      <c r="E621" s="43"/>
      <c r="F621" s="200"/>
      <c r="G621" s="32"/>
      <c r="H621" s="32"/>
      <c r="I621" s="50" t="str">
        <f t="shared" si="9"/>
        <v/>
      </c>
    </row>
    <row r="622" spans="1:9">
      <c r="A622" s="275" t="str">
        <f>IF(B622="","",DATE(IF(INT(B622)&gt;=4,予算!$L$1,予算!$L$2),INT(B622),ROUND(MOD(B622,1)*100,0)))</f>
        <v/>
      </c>
      <c r="B622" s="68"/>
      <c r="C622" s="43"/>
      <c r="D622" s="11" t="str">
        <f>IF(C622="","",VLOOKUP(C622,予算!$B$7:$C$66,2))</f>
        <v/>
      </c>
      <c r="E622" s="43"/>
      <c r="F622" s="200"/>
      <c r="G622" s="32"/>
      <c r="H622" s="32"/>
      <c r="I622" s="50" t="str">
        <f t="shared" si="9"/>
        <v/>
      </c>
    </row>
    <row r="623" spans="1:9">
      <c r="A623" s="275" t="str">
        <f>IF(B623="","",DATE(IF(INT(B623)&gt;=4,予算!$L$1,予算!$L$2),INT(B623),ROUND(MOD(B623,1)*100,0)))</f>
        <v/>
      </c>
      <c r="B623" s="68"/>
      <c r="C623" s="43"/>
      <c r="D623" s="11" t="str">
        <f>IF(C623="","",VLOOKUP(C623,予算!$B$7:$C$66,2))</f>
        <v/>
      </c>
      <c r="E623" s="43"/>
      <c r="F623" s="200"/>
      <c r="G623" s="32"/>
      <c r="H623" s="32"/>
      <c r="I623" s="50" t="str">
        <f t="shared" si="9"/>
        <v/>
      </c>
    </row>
    <row r="624" spans="1:9">
      <c r="A624" s="275" t="str">
        <f>IF(B624="","",DATE(IF(INT(B624)&gt;=4,予算!$L$1,予算!$L$2),INT(B624),ROUND(MOD(B624,1)*100,0)))</f>
        <v/>
      </c>
      <c r="B624" s="68"/>
      <c r="C624" s="43"/>
      <c r="D624" s="11" t="str">
        <f>IF(C624="","",VLOOKUP(C624,予算!$B$7:$C$66,2))</f>
        <v/>
      </c>
      <c r="E624" s="43"/>
      <c r="F624" s="200"/>
      <c r="G624" s="32"/>
      <c r="H624" s="32"/>
      <c r="I624" s="50" t="str">
        <f t="shared" si="9"/>
        <v/>
      </c>
    </row>
    <row r="625" spans="1:9">
      <c r="A625" s="275" t="str">
        <f>IF(B625="","",DATE(IF(INT(B625)&gt;=4,予算!$L$1,予算!$L$2),INT(B625),ROUND(MOD(B625,1)*100,0)))</f>
        <v/>
      </c>
      <c r="B625" s="68"/>
      <c r="C625" s="43"/>
      <c r="D625" s="11" t="str">
        <f>IF(C625="","",VLOOKUP(C625,予算!$B$7:$C$66,2))</f>
        <v/>
      </c>
      <c r="E625" s="43"/>
      <c r="F625" s="200"/>
      <c r="G625" s="32"/>
      <c r="H625" s="32"/>
      <c r="I625" s="50" t="str">
        <f t="shared" si="9"/>
        <v/>
      </c>
    </row>
    <row r="626" spans="1:9">
      <c r="A626" s="275" t="str">
        <f>IF(B626="","",DATE(IF(INT(B626)&gt;=4,予算!$L$1,予算!$L$2),INT(B626),ROUND(MOD(B626,1)*100,0)))</f>
        <v/>
      </c>
      <c r="B626" s="68"/>
      <c r="C626" s="43"/>
      <c r="D626" s="11" t="str">
        <f>IF(C626="","",VLOOKUP(C626,予算!$B$7:$C$66,2))</f>
        <v/>
      </c>
      <c r="E626" s="43"/>
      <c r="F626" s="200"/>
      <c r="G626" s="32"/>
      <c r="H626" s="32"/>
      <c r="I626" s="50" t="str">
        <f t="shared" si="9"/>
        <v/>
      </c>
    </row>
    <row r="627" spans="1:9">
      <c r="A627" s="275" t="str">
        <f>IF(B627="","",DATE(IF(INT(B627)&gt;=4,予算!$L$1,予算!$L$2),INT(B627),ROUND(MOD(B627,1)*100,0)))</f>
        <v/>
      </c>
      <c r="B627" s="68"/>
      <c r="C627" s="43"/>
      <c r="D627" s="11" t="str">
        <f>IF(C627="","",VLOOKUP(C627,予算!$B$7:$C$66,2))</f>
        <v/>
      </c>
      <c r="E627" s="43"/>
      <c r="F627" s="200"/>
      <c r="G627" s="32"/>
      <c r="H627" s="32"/>
      <c r="I627" s="50" t="str">
        <f t="shared" si="9"/>
        <v/>
      </c>
    </row>
    <row r="628" spans="1:9">
      <c r="A628" s="275" t="str">
        <f>IF(B628="","",DATE(IF(INT(B628)&gt;=4,予算!$L$1,予算!$L$2),INT(B628),ROUND(MOD(B628,1)*100,0)))</f>
        <v/>
      </c>
      <c r="B628" s="68"/>
      <c r="C628" s="43"/>
      <c r="D628" s="11" t="str">
        <f>IF(C628="","",VLOOKUP(C628,予算!$B$7:$C$66,2))</f>
        <v/>
      </c>
      <c r="E628" s="43"/>
      <c r="F628" s="200"/>
      <c r="G628" s="32"/>
      <c r="H628" s="32"/>
      <c r="I628" s="50" t="str">
        <f t="shared" si="9"/>
        <v/>
      </c>
    </row>
    <row r="629" spans="1:9">
      <c r="A629" s="275" t="str">
        <f>IF(B629="","",DATE(IF(INT(B629)&gt;=4,予算!$L$1,予算!$L$2),INT(B629),ROUND(MOD(B629,1)*100,0)))</f>
        <v/>
      </c>
      <c r="B629" s="68"/>
      <c r="C629" s="43"/>
      <c r="D629" s="11" t="str">
        <f>IF(C629="","",VLOOKUP(C629,予算!$B$7:$C$66,2))</f>
        <v/>
      </c>
      <c r="E629" s="43"/>
      <c r="F629" s="200"/>
      <c r="G629" s="32"/>
      <c r="H629" s="32"/>
      <c r="I629" s="50" t="str">
        <f t="shared" si="9"/>
        <v/>
      </c>
    </row>
    <row r="630" spans="1:9">
      <c r="A630" s="275" t="str">
        <f>IF(B630="","",DATE(IF(INT(B630)&gt;=4,予算!$L$1,予算!$L$2),INT(B630),ROUND(MOD(B630,1)*100,0)))</f>
        <v/>
      </c>
      <c r="B630" s="68"/>
      <c r="C630" s="43"/>
      <c r="D630" s="11" t="str">
        <f>IF(C630="","",VLOOKUP(C630,予算!$B$7:$C$66,2))</f>
        <v/>
      </c>
      <c r="E630" s="43"/>
      <c r="F630" s="200"/>
      <c r="G630" s="32"/>
      <c r="H630" s="32"/>
      <c r="I630" s="50" t="str">
        <f t="shared" si="9"/>
        <v/>
      </c>
    </row>
    <row r="631" spans="1:9">
      <c r="A631" s="275" t="str">
        <f>IF(B631="","",DATE(IF(INT(B631)&gt;=4,予算!$L$1,予算!$L$2),INT(B631),ROUND(MOD(B631,1)*100,0)))</f>
        <v/>
      </c>
      <c r="B631" s="68"/>
      <c r="C631" s="43"/>
      <c r="D631" s="11" t="str">
        <f>IF(C631="","",VLOOKUP(C631,予算!$B$7:$C$66,2))</f>
        <v/>
      </c>
      <c r="E631" s="43"/>
      <c r="F631" s="200"/>
      <c r="G631" s="32"/>
      <c r="H631" s="32"/>
      <c r="I631" s="50" t="str">
        <f t="shared" si="9"/>
        <v/>
      </c>
    </row>
    <row r="632" spans="1:9">
      <c r="A632" s="275" t="str">
        <f>IF(B632="","",DATE(IF(INT(B632)&gt;=4,予算!$L$1,予算!$L$2),INT(B632),ROUND(MOD(B632,1)*100,0)))</f>
        <v/>
      </c>
      <c r="B632" s="68"/>
      <c r="C632" s="43"/>
      <c r="D632" s="11" t="str">
        <f>IF(C632="","",VLOOKUP(C632,予算!$B$7:$C$66,2))</f>
        <v/>
      </c>
      <c r="E632" s="43"/>
      <c r="F632" s="200"/>
      <c r="G632" s="32"/>
      <c r="H632" s="32"/>
      <c r="I632" s="50" t="str">
        <f t="shared" si="9"/>
        <v/>
      </c>
    </row>
    <row r="633" spans="1:9">
      <c r="A633" s="275" t="str">
        <f>IF(B633="","",DATE(IF(INT(B633)&gt;=4,予算!$L$1,予算!$L$2),INT(B633),ROUND(MOD(B633,1)*100,0)))</f>
        <v/>
      </c>
      <c r="B633" s="68"/>
      <c r="C633" s="43"/>
      <c r="D633" s="11" t="str">
        <f>IF(C633="","",VLOOKUP(C633,予算!$B$7:$C$66,2))</f>
        <v/>
      </c>
      <c r="E633" s="43"/>
      <c r="F633" s="200"/>
      <c r="G633" s="32"/>
      <c r="H633" s="32"/>
      <c r="I633" s="50" t="str">
        <f t="shared" si="9"/>
        <v/>
      </c>
    </row>
    <row r="634" spans="1:9">
      <c r="A634" s="275" t="str">
        <f>IF(B634="","",DATE(IF(INT(B634)&gt;=4,予算!$L$1,予算!$L$2),INT(B634),ROUND(MOD(B634,1)*100,0)))</f>
        <v/>
      </c>
      <c r="B634" s="68"/>
      <c r="C634" s="43"/>
      <c r="D634" s="11" t="str">
        <f>IF(C634="","",VLOOKUP(C634,予算!$B$7:$C$66,2))</f>
        <v/>
      </c>
      <c r="E634" s="43"/>
      <c r="F634" s="200"/>
      <c r="G634" s="32"/>
      <c r="H634" s="32"/>
      <c r="I634" s="50" t="str">
        <f t="shared" si="9"/>
        <v/>
      </c>
    </row>
    <row r="635" spans="1:9">
      <c r="A635" s="275" t="str">
        <f>IF(B635="","",DATE(IF(INT(B635)&gt;=4,予算!$L$1,予算!$L$2),INT(B635),ROUND(MOD(B635,1)*100,0)))</f>
        <v/>
      </c>
      <c r="B635" s="68"/>
      <c r="C635" s="43"/>
      <c r="D635" s="11" t="str">
        <f>IF(C635="","",VLOOKUP(C635,予算!$B$7:$C$66,2))</f>
        <v/>
      </c>
      <c r="E635" s="43"/>
      <c r="F635" s="200"/>
      <c r="G635" s="32"/>
      <c r="H635" s="32"/>
      <c r="I635" s="50" t="str">
        <f t="shared" si="9"/>
        <v/>
      </c>
    </row>
    <row r="636" spans="1:9">
      <c r="A636" s="275" t="str">
        <f>IF(B636="","",DATE(IF(INT(B636)&gt;=4,予算!$L$1,予算!$L$2),INT(B636),ROUND(MOD(B636,1)*100,0)))</f>
        <v/>
      </c>
      <c r="B636" s="68"/>
      <c r="C636" s="43"/>
      <c r="D636" s="11" t="str">
        <f>IF(C636="","",VLOOKUP(C636,予算!$B$7:$C$66,2))</f>
        <v/>
      </c>
      <c r="E636" s="43"/>
      <c r="F636" s="200"/>
      <c r="G636" s="32"/>
      <c r="H636" s="32"/>
      <c r="I636" s="50" t="str">
        <f t="shared" si="9"/>
        <v/>
      </c>
    </row>
    <row r="637" spans="1:9">
      <c r="A637" s="275" t="str">
        <f>IF(B637="","",DATE(IF(INT(B637)&gt;=4,予算!$L$1,予算!$L$2),INT(B637),ROUND(MOD(B637,1)*100,0)))</f>
        <v/>
      </c>
      <c r="B637" s="68"/>
      <c r="C637" s="43"/>
      <c r="D637" s="11" t="str">
        <f>IF(C637="","",VLOOKUP(C637,予算!$B$7:$C$66,2))</f>
        <v/>
      </c>
      <c r="E637" s="43"/>
      <c r="F637" s="200"/>
      <c r="G637" s="32"/>
      <c r="H637" s="32"/>
      <c r="I637" s="50" t="str">
        <f t="shared" si="9"/>
        <v/>
      </c>
    </row>
    <row r="638" spans="1:9">
      <c r="A638" s="275" t="str">
        <f>IF(B638="","",DATE(IF(INT(B638)&gt;=4,予算!$L$1,予算!$L$2),INT(B638),ROUND(MOD(B638,1)*100,0)))</f>
        <v/>
      </c>
      <c r="B638" s="68"/>
      <c r="C638" s="43"/>
      <c r="D638" s="11" t="str">
        <f>IF(C638="","",VLOOKUP(C638,予算!$B$7:$C$66,2))</f>
        <v/>
      </c>
      <c r="E638" s="43"/>
      <c r="F638" s="200"/>
      <c r="G638" s="32"/>
      <c r="H638" s="32"/>
      <c r="I638" s="50" t="str">
        <f t="shared" si="9"/>
        <v/>
      </c>
    </row>
    <row r="639" spans="1:9">
      <c r="A639" s="275" t="str">
        <f>IF(B639="","",DATE(IF(INT(B639)&gt;=4,予算!$L$1,予算!$L$2),INT(B639),ROUND(MOD(B639,1)*100,0)))</f>
        <v/>
      </c>
      <c r="B639" s="68"/>
      <c r="C639" s="43"/>
      <c r="D639" s="11" t="str">
        <f>IF(C639="","",VLOOKUP(C639,予算!$B$7:$C$66,2))</f>
        <v/>
      </c>
      <c r="E639" s="43"/>
      <c r="F639" s="200"/>
      <c r="G639" s="32"/>
      <c r="H639" s="32"/>
      <c r="I639" s="50" t="str">
        <f t="shared" si="9"/>
        <v/>
      </c>
    </row>
    <row r="640" spans="1:9">
      <c r="A640" s="275" t="str">
        <f>IF(B640="","",DATE(IF(INT(B640)&gt;=4,予算!$L$1,予算!$L$2),INT(B640),ROUND(MOD(B640,1)*100,0)))</f>
        <v/>
      </c>
      <c r="B640" s="68"/>
      <c r="C640" s="43"/>
      <c r="D640" s="11" t="str">
        <f>IF(C640="","",VLOOKUP(C640,予算!$B$7:$C$66,2))</f>
        <v/>
      </c>
      <c r="E640" s="43"/>
      <c r="F640" s="200"/>
      <c r="G640" s="32"/>
      <c r="H640" s="32"/>
      <c r="I640" s="50" t="str">
        <f t="shared" si="9"/>
        <v/>
      </c>
    </row>
    <row r="641" spans="1:9">
      <c r="A641" s="275" t="str">
        <f>IF(B641="","",DATE(IF(INT(B641)&gt;=4,予算!$L$1,予算!$L$2),INT(B641),ROUND(MOD(B641,1)*100,0)))</f>
        <v/>
      </c>
      <c r="B641" s="68"/>
      <c r="C641" s="43"/>
      <c r="D641" s="11" t="str">
        <f>IF(C641="","",VLOOKUP(C641,予算!$B$7:$C$66,2))</f>
        <v/>
      </c>
      <c r="E641" s="43"/>
      <c r="F641" s="200"/>
      <c r="G641" s="32"/>
      <c r="H641" s="32"/>
      <c r="I641" s="50" t="str">
        <f t="shared" si="9"/>
        <v/>
      </c>
    </row>
    <row r="642" spans="1:9">
      <c r="A642" s="275" t="str">
        <f>IF(B642="","",DATE(IF(INT(B642)&gt;=4,予算!$L$1,予算!$L$2),INT(B642),ROUND(MOD(B642,1)*100,0)))</f>
        <v/>
      </c>
      <c r="B642" s="68"/>
      <c r="C642" s="43"/>
      <c r="D642" s="11" t="str">
        <f>IF(C642="","",VLOOKUP(C642,予算!$B$7:$C$66,2))</f>
        <v/>
      </c>
      <c r="E642" s="43"/>
      <c r="F642" s="200"/>
      <c r="G642" s="32"/>
      <c r="H642" s="32"/>
      <c r="I642" s="50" t="str">
        <f t="shared" si="9"/>
        <v/>
      </c>
    </row>
    <row r="643" spans="1:9">
      <c r="A643" s="275" t="str">
        <f>IF(B643="","",DATE(IF(INT(B643)&gt;=4,予算!$L$1,予算!$L$2),INT(B643),ROUND(MOD(B643,1)*100,0)))</f>
        <v/>
      </c>
      <c r="B643" s="68"/>
      <c r="C643" s="43"/>
      <c r="D643" s="11" t="str">
        <f>IF(C643="","",VLOOKUP(C643,予算!$B$7:$C$66,2))</f>
        <v/>
      </c>
      <c r="E643" s="43"/>
      <c r="F643" s="200"/>
      <c r="G643" s="32"/>
      <c r="H643" s="32"/>
      <c r="I643" s="50" t="str">
        <f t="shared" si="9"/>
        <v/>
      </c>
    </row>
    <row r="644" spans="1:9">
      <c r="A644" s="275" t="str">
        <f>IF(B644="","",DATE(IF(INT(B644)&gt;=4,予算!$L$1,予算!$L$2),INT(B644),ROUND(MOD(B644,1)*100,0)))</f>
        <v/>
      </c>
      <c r="B644" s="68"/>
      <c r="C644" s="43"/>
      <c r="D644" s="11" t="str">
        <f>IF(C644="","",VLOOKUP(C644,予算!$B$7:$C$66,2))</f>
        <v/>
      </c>
      <c r="E644" s="43"/>
      <c r="F644" s="200"/>
      <c r="G644" s="32"/>
      <c r="H644" s="32"/>
      <c r="I644" s="50" t="str">
        <f t="shared" si="9"/>
        <v/>
      </c>
    </row>
    <row r="645" spans="1:9">
      <c r="A645" s="275" t="str">
        <f>IF(B645="","",DATE(IF(INT(B645)&gt;=4,予算!$L$1,予算!$L$2),INT(B645),ROUND(MOD(B645,1)*100,0)))</f>
        <v/>
      </c>
      <c r="B645" s="68"/>
      <c r="C645" s="43"/>
      <c r="D645" s="11" t="str">
        <f>IF(C645="","",VLOOKUP(C645,予算!$B$7:$C$66,2))</f>
        <v/>
      </c>
      <c r="E645" s="43"/>
      <c r="F645" s="200"/>
      <c r="G645" s="32"/>
      <c r="H645" s="32"/>
      <c r="I645" s="50" t="str">
        <f t="shared" si="9"/>
        <v/>
      </c>
    </row>
    <row r="646" spans="1:9">
      <c r="A646" s="275" t="str">
        <f>IF(B646="","",DATE(IF(INT(B646)&gt;=4,予算!$L$1,予算!$L$2),INT(B646),ROUND(MOD(B646,1)*100,0)))</f>
        <v/>
      </c>
      <c r="B646" s="68"/>
      <c r="C646" s="43"/>
      <c r="D646" s="11" t="str">
        <f>IF(C646="","",VLOOKUP(C646,予算!$B$7:$C$66,2))</f>
        <v/>
      </c>
      <c r="E646" s="43"/>
      <c r="F646" s="200"/>
      <c r="G646" s="32"/>
      <c r="H646" s="32"/>
      <c r="I646" s="50" t="str">
        <f t="shared" si="9"/>
        <v/>
      </c>
    </row>
    <row r="647" spans="1:9">
      <c r="A647" s="275" t="str">
        <f>IF(B647="","",DATE(IF(INT(B647)&gt;=4,予算!$L$1,予算!$L$2),INT(B647),ROUND(MOD(B647,1)*100,0)))</f>
        <v/>
      </c>
      <c r="B647" s="68"/>
      <c r="C647" s="43"/>
      <c r="D647" s="11" t="str">
        <f>IF(C647="","",VLOOKUP(C647,予算!$B$7:$C$66,2))</f>
        <v/>
      </c>
      <c r="E647" s="43"/>
      <c r="F647" s="200"/>
      <c r="G647" s="32"/>
      <c r="H647" s="32"/>
      <c r="I647" s="50" t="str">
        <f t="shared" si="9"/>
        <v/>
      </c>
    </row>
    <row r="648" spans="1:9">
      <c r="A648" s="275" t="str">
        <f>IF(B648="","",DATE(IF(INT(B648)&gt;=4,予算!$L$1,予算!$L$2),INT(B648),ROUND(MOD(B648,1)*100,0)))</f>
        <v/>
      </c>
      <c r="B648" s="68"/>
      <c r="C648" s="43"/>
      <c r="D648" s="11" t="str">
        <f>IF(C648="","",VLOOKUP(C648,予算!$B$7:$C$66,2))</f>
        <v/>
      </c>
      <c r="E648" s="43"/>
      <c r="F648" s="200"/>
      <c r="G648" s="32"/>
      <c r="H648" s="32"/>
      <c r="I648" s="50" t="str">
        <f t="shared" si="9"/>
        <v/>
      </c>
    </row>
    <row r="649" spans="1:9">
      <c r="A649" s="275" t="str">
        <f>IF(B649="","",DATE(IF(INT(B649)&gt;=4,予算!$L$1,予算!$L$2),INT(B649),ROUND(MOD(B649,1)*100,0)))</f>
        <v/>
      </c>
      <c r="B649" s="68"/>
      <c r="C649" s="43"/>
      <c r="D649" s="11" t="str">
        <f>IF(C649="","",VLOOKUP(C649,予算!$B$7:$C$66,2))</f>
        <v/>
      </c>
      <c r="E649" s="43"/>
      <c r="F649" s="200"/>
      <c r="G649" s="32"/>
      <c r="H649" s="32"/>
      <c r="I649" s="50" t="str">
        <f t="shared" ref="I649:I712" si="10">IF(C649="","",I648+G649-H649)</f>
        <v/>
      </c>
    </row>
    <row r="650" spans="1:9">
      <c r="A650" s="275" t="str">
        <f>IF(B650="","",DATE(IF(INT(B650)&gt;=4,予算!$L$1,予算!$L$2),INT(B650),ROUND(MOD(B650,1)*100,0)))</f>
        <v/>
      </c>
      <c r="B650" s="68"/>
      <c r="C650" s="43"/>
      <c r="D650" s="11" t="str">
        <f>IF(C650="","",VLOOKUP(C650,予算!$B$7:$C$66,2))</f>
        <v/>
      </c>
      <c r="E650" s="43"/>
      <c r="F650" s="200"/>
      <c r="G650" s="32"/>
      <c r="H650" s="32"/>
      <c r="I650" s="50" t="str">
        <f t="shared" si="10"/>
        <v/>
      </c>
    </row>
    <row r="651" spans="1:9">
      <c r="A651" s="275" t="str">
        <f>IF(B651="","",DATE(IF(INT(B651)&gt;=4,予算!$L$1,予算!$L$2),INT(B651),ROUND(MOD(B651,1)*100,0)))</f>
        <v/>
      </c>
      <c r="B651" s="68"/>
      <c r="C651" s="43"/>
      <c r="D651" s="11" t="str">
        <f>IF(C651="","",VLOOKUP(C651,予算!$B$7:$C$66,2))</f>
        <v/>
      </c>
      <c r="E651" s="43"/>
      <c r="F651" s="200"/>
      <c r="G651" s="32"/>
      <c r="H651" s="32"/>
      <c r="I651" s="50" t="str">
        <f t="shared" si="10"/>
        <v/>
      </c>
    </row>
    <row r="652" spans="1:9">
      <c r="A652" s="275" t="str">
        <f>IF(B652="","",DATE(IF(INT(B652)&gt;=4,予算!$L$1,予算!$L$2),INT(B652),ROUND(MOD(B652,1)*100,0)))</f>
        <v/>
      </c>
      <c r="B652" s="68"/>
      <c r="C652" s="43"/>
      <c r="D652" s="11" t="str">
        <f>IF(C652="","",VLOOKUP(C652,予算!$B$7:$C$66,2))</f>
        <v/>
      </c>
      <c r="E652" s="43"/>
      <c r="F652" s="200"/>
      <c r="G652" s="32"/>
      <c r="H652" s="32"/>
      <c r="I652" s="50" t="str">
        <f t="shared" si="10"/>
        <v/>
      </c>
    </row>
    <row r="653" spans="1:9">
      <c r="A653" s="275" t="str">
        <f>IF(B653="","",DATE(IF(INT(B653)&gt;=4,予算!$L$1,予算!$L$2),INT(B653),ROUND(MOD(B653,1)*100,0)))</f>
        <v/>
      </c>
      <c r="B653" s="68"/>
      <c r="C653" s="43"/>
      <c r="D653" s="11" t="str">
        <f>IF(C653="","",VLOOKUP(C653,予算!$B$7:$C$66,2))</f>
        <v/>
      </c>
      <c r="E653" s="43"/>
      <c r="F653" s="200"/>
      <c r="G653" s="32"/>
      <c r="H653" s="32"/>
      <c r="I653" s="50" t="str">
        <f t="shared" si="10"/>
        <v/>
      </c>
    </row>
    <row r="654" spans="1:9">
      <c r="A654" s="275" t="str">
        <f>IF(B654="","",DATE(IF(INT(B654)&gt;=4,予算!$L$1,予算!$L$2),INT(B654),ROUND(MOD(B654,1)*100,0)))</f>
        <v/>
      </c>
      <c r="B654" s="68"/>
      <c r="C654" s="43"/>
      <c r="D654" s="11" t="str">
        <f>IF(C654="","",VLOOKUP(C654,予算!$B$7:$C$66,2))</f>
        <v/>
      </c>
      <c r="E654" s="43"/>
      <c r="F654" s="200"/>
      <c r="G654" s="32"/>
      <c r="H654" s="32"/>
      <c r="I654" s="50" t="str">
        <f t="shared" si="10"/>
        <v/>
      </c>
    </row>
    <row r="655" spans="1:9">
      <c r="A655" s="275" t="str">
        <f>IF(B655="","",DATE(IF(INT(B655)&gt;=4,予算!$L$1,予算!$L$2),INT(B655),ROUND(MOD(B655,1)*100,0)))</f>
        <v/>
      </c>
      <c r="B655" s="68"/>
      <c r="C655" s="43"/>
      <c r="D655" s="11" t="str">
        <f>IF(C655="","",VLOOKUP(C655,予算!$B$7:$C$66,2))</f>
        <v/>
      </c>
      <c r="E655" s="43"/>
      <c r="F655" s="200"/>
      <c r="G655" s="32"/>
      <c r="H655" s="32"/>
      <c r="I655" s="50" t="str">
        <f t="shared" si="10"/>
        <v/>
      </c>
    </row>
    <row r="656" spans="1:9">
      <c r="A656" s="275" t="str">
        <f>IF(B656="","",DATE(IF(INT(B656)&gt;=4,予算!$L$1,予算!$L$2),INT(B656),ROUND(MOD(B656,1)*100,0)))</f>
        <v/>
      </c>
      <c r="B656" s="68"/>
      <c r="C656" s="43"/>
      <c r="D656" s="11" t="str">
        <f>IF(C656="","",VLOOKUP(C656,予算!$B$7:$C$66,2))</f>
        <v/>
      </c>
      <c r="E656" s="43"/>
      <c r="F656" s="200"/>
      <c r="G656" s="32"/>
      <c r="H656" s="32"/>
      <c r="I656" s="50" t="str">
        <f t="shared" si="10"/>
        <v/>
      </c>
    </row>
    <row r="657" spans="1:9">
      <c r="A657" s="275" t="str">
        <f>IF(B657="","",DATE(IF(INT(B657)&gt;=4,予算!$L$1,予算!$L$2),INT(B657),ROUND(MOD(B657,1)*100,0)))</f>
        <v/>
      </c>
      <c r="B657" s="68"/>
      <c r="C657" s="43"/>
      <c r="D657" s="11" t="str">
        <f>IF(C657="","",VLOOKUP(C657,予算!$B$7:$C$66,2))</f>
        <v/>
      </c>
      <c r="E657" s="43"/>
      <c r="F657" s="200"/>
      <c r="G657" s="32"/>
      <c r="H657" s="32"/>
      <c r="I657" s="50" t="str">
        <f t="shared" si="10"/>
        <v/>
      </c>
    </row>
    <row r="658" spans="1:9">
      <c r="A658" s="275" t="str">
        <f>IF(B658="","",DATE(IF(INT(B658)&gt;=4,予算!$L$1,予算!$L$2),INT(B658),ROUND(MOD(B658,1)*100,0)))</f>
        <v/>
      </c>
      <c r="B658" s="68"/>
      <c r="C658" s="43"/>
      <c r="D658" s="11" t="str">
        <f>IF(C658="","",VLOOKUP(C658,予算!$B$7:$C$66,2))</f>
        <v/>
      </c>
      <c r="E658" s="43"/>
      <c r="F658" s="200"/>
      <c r="G658" s="32"/>
      <c r="H658" s="32"/>
      <c r="I658" s="50" t="str">
        <f t="shared" si="10"/>
        <v/>
      </c>
    </row>
    <row r="659" spans="1:9">
      <c r="A659" s="275" t="str">
        <f>IF(B659="","",DATE(IF(INT(B659)&gt;=4,予算!$L$1,予算!$L$2),INT(B659),ROUND(MOD(B659,1)*100,0)))</f>
        <v/>
      </c>
      <c r="B659" s="68"/>
      <c r="C659" s="43"/>
      <c r="D659" s="11" t="str">
        <f>IF(C659="","",VLOOKUP(C659,予算!$B$7:$C$66,2))</f>
        <v/>
      </c>
      <c r="E659" s="43"/>
      <c r="F659" s="200"/>
      <c r="G659" s="32"/>
      <c r="H659" s="32"/>
      <c r="I659" s="50" t="str">
        <f t="shared" si="10"/>
        <v/>
      </c>
    </row>
    <row r="660" spans="1:9">
      <c r="A660" s="275" t="str">
        <f>IF(B660="","",DATE(IF(INT(B660)&gt;=4,予算!$L$1,予算!$L$2),INT(B660),ROUND(MOD(B660,1)*100,0)))</f>
        <v/>
      </c>
      <c r="B660" s="68"/>
      <c r="C660" s="43"/>
      <c r="D660" s="11" t="str">
        <f>IF(C660="","",VLOOKUP(C660,予算!$B$7:$C$66,2))</f>
        <v/>
      </c>
      <c r="E660" s="43"/>
      <c r="F660" s="200"/>
      <c r="G660" s="32"/>
      <c r="H660" s="32"/>
      <c r="I660" s="50" t="str">
        <f t="shared" si="10"/>
        <v/>
      </c>
    </row>
    <row r="661" spans="1:9">
      <c r="A661" s="275" t="str">
        <f>IF(B661="","",DATE(IF(INT(B661)&gt;=4,予算!$L$1,予算!$L$2),INT(B661),ROUND(MOD(B661,1)*100,0)))</f>
        <v/>
      </c>
      <c r="B661" s="68"/>
      <c r="C661" s="43"/>
      <c r="D661" s="11" t="str">
        <f>IF(C661="","",VLOOKUP(C661,予算!$B$7:$C$66,2))</f>
        <v/>
      </c>
      <c r="E661" s="43"/>
      <c r="F661" s="200"/>
      <c r="G661" s="32"/>
      <c r="H661" s="32"/>
      <c r="I661" s="50" t="str">
        <f t="shared" si="10"/>
        <v/>
      </c>
    </row>
    <row r="662" spans="1:9">
      <c r="A662" s="275" t="str">
        <f>IF(B662="","",DATE(IF(INT(B662)&gt;=4,予算!$L$1,予算!$L$2),INT(B662),ROUND(MOD(B662,1)*100,0)))</f>
        <v/>
      </c>
      <c r="B662" s="68"/>
      <c r="C662" s="43"/>
      <c r="D662" s="11" t="str">
        <f>IF(C662="","",VLOOKUP(C662,予算!$B$7:$C$66,2))</f>
        <v/>
      </c>
      <c r="E662" s="43"/>
      <c r="F662" s="200"/>
      <c r="G662" s="32"/>
      <c r="H662" s="32"/>
      <c r="I662" s="50" t="str">
        <f t="shared" si="10"/>
        <v/>
      </c>
    </row>
    <row r="663" spans="1:9">
      <c r="A663" s="275" t="str">
        <f>IF(B663="","",DATE(IF(INT(B663)&gt;=4,予算!$L$1,予算!$L$2),INT(B663),ROUND(MOD(B663,1)*100,0)))</f>
        <v/>
      </c>
      <c r="B663" s="68"/>
      <c r="C663" s="43"/>
      <c r="D663" s="11" t="str">
        <f>IF(C663="","",VLOOKUP(C663,予算!$B$7:$C$66,2))</f>
        <v/>
      </c>
      <c r="E663" s="43"/>
      <c r="F663" s="200"/>
      <c r="G663" s="32"/>
      <c r="H663" s="32"/>
      <c r="I663" s="50" t="str">
        <f t="shared" si="10"/>
        <v/>
      </c>
    </row>
    <row r="664" spans="1:9">
      <c r="A664" s="275" t="str">
        <f>IF(B664="","",DATE(IF(INT(B664)&gt;=4,予算!$L$1,予算!$L$2),INT(B664),ROUND(MOD(B664,1)*100,0)))</f>
        <v/>
      </c>
      <c r="B664" s="68"/>
      <c r="C664" s="43"/>
      <c r="D664" s="11" t="str">
        <f>IF(C664="","",VLOOKUP(C664,予算!$B$7:$C$66,2))</f>
        <v/>
      </c>
      <c r="E664" s="43"/>
      <c r="F664" s="200"/>
      <c r="G664" s="32"/>
      <c r="H664" s="32"/>
      <c r="I664" s="50" t="str">
        <f t="shared" si="10"/>
        <v/>
      </c>
    </row>
    <row r="665" spans="1:9">
      <c r="A665" s="275" t="str">
        <f>IF(B665="","",DATE(IF(INT(B665)&gt;=4,予算!$L$1,予算!$L$2),INT(B665),ROUND(MOD(B665,1)*100,0)))</f>
        <v/>
      </c>
      <c r="B665" s="68"/>
      <c r="C665" s="43"/>
      <c r="D665" s="11" t="str">
        <f>IF(C665="","",VLOOKUP(C665,予算!$B$7:$C$66,2))</f>
        <v/>
      </c>
      <c r="E665" s="43"/>
      <c r="F665" s="200"/>
      <c r="G665" s="32"/>
      <c r="H665" s="32"/>
      <c r="I665" s="50" t="str">
        <f t="shared" si="10"/>
        <v/>
      </c>
    </row>
    <row r="666" spans="1:9">
      <c r="A666" s="275" t="str">
        <f>IF(B666="","",DATE(IF(INT(B666)&gt;=4,予算!$L$1,予算!$L$2),INT(B666),ROUND(MOD(B666,1)*100,0)))</f>
        <v/>
      </c>
      <c r="B666" s="68"/>
      <c r="C666" s="43"/>
      <c r="D666" s="11" t="str">
        <f>IF(C666="","",VLOOKUP(C666,予算!$B$7:$C$66,2))</f>
        <v/>
      </c>
      <c r="E666" s="43"/>
      <c r="F666" s="200"/>
      <c r="G666" s="32"/>
      <c r="H666" s="32"/>
      <c r="I666" s="50" t="str">
        <f t="shared" si="10"/>
        <v/>
      </c>
    </row>
    <row r="667" spans="1:9">
      <c r="A667" s="275" t="str">
        <f>IF(B667="","",DATE(IF(INT(B667)&gt;=4,予算!$L$1,予算!$L$2),INT(B667),ROUND(MOD(B667,1)*100,0)))</f>
        <v/>
      </c>
      <c r="B667" s="68"/>
      <c r="C667" s="43"/>
      <c r="D667" s="11" t="str">
        <f>IF(C667="","",VLOOKUP(C667,予算!$B$7:$C$66,2))</f>
        <v/>
      </c>
      <c r="E667" s="43"/>
      <c r="F667" s="200"/>
      <c r="G667" s="32"/>
      <c r="H667" s="32"/>
      <c r="I667" s="50" t="str">
        <f t="shared" si="10"/>
        <v/>
      </c>
    </row>
    <row r="668" spans="1:9">
      <c r="A668" s="275" t="str">
        <f>IF(B668="","",DATE(IF(INT(B668)&gt;=4,予算!$L$1,予算!$L$2),INT(B668),ROUND(MOD(B668,1)*100,0)))</f>
        <v/>
      </c>
      <c r="B668" s="68"/>
      <c r="C668" s="43"/>
      <c r="D668" s="11" t="str">
        <f>IF(C668="","",VLOOKUP(C668,予算!$B$7:$C$66,2))</f>
        <v/>
      </c>
      <c r="E668" s="43"/>
      <c r="F668" s="200"/>
      <c r="G668" s="32"/>
      <c r="H668" s="32"/>
      <c r="I668" s="50" t="str">
        <f t="shared" si="10"/>
        <v/>
      </c>
    </row>
    <row r="669" spans="1:9">
      <c r="A669" s="275" t="str">
        <f>IF(B669="","",DATE(IF(INT(B669)&gt;=4,予算!$L$1,予算!$L$2),INT(B669),ROUND(MOD(B669,1)*100,0)))</f>
        <v/>
      </c>
      <c r="B669" s="68"/>
      <c r="C669" s="43"/>
      <c r="D669" s="11" t="str">
        <f>IF(C669="","",VLOOKUP(C669,予算!$B$7:$C$66,2))</f>
        <v/>
      </c>
      <c r="E669" s="43"/>
      <c r="F669" s="200"/>
      <c r="G669" s="32"/>
      <c r="H669" s="32"/>
      <c r="I669" s="50" t="str">
        <f t="shared" si="10"/>
        <v/>
      </c>
    </row>
    <row r="670" spans="1:9">
      <c r="A670" s="275" t="str">
        <f>IF(B670="","",DATE(IF(INT(B670)&gt;=4,予算!$L$1,予算!$L$2),INT(B670),ROUND(MOD(B670,1)*100,0)))</f>
        <v/>
      </c>
      <c r="B670" s="68"/>
      <c r="C670" s="43"/>
      <c r="D670" s="11" t="str">
        <f>IF(C670="","",VLOOKUP(C670,予算!$B$7:$C$66,2))</f>
        <v/>
      </c>
      <c r="E670" s="43"/>
      <c r="F670" s="200"/>
      <c r="G670" s="32"/>
      <c r="H670" s="32"/>
      <c r="I670" s="50" t="str">
        <f t="shared" si="10"/>
        <v/>
      </c>
    </row>
    <row r="671" spans="1:9">
      <c r="A671" s="275" t="str">
        <f>IF(B671="","",DATE(IF(INT(B671)&gt;=4,予算!$L$1,予算!$L$2),INT(B671),ROUND(MOD(B671,1)*100,0)))</f>
        <v/>
      </c>
      <c r="B671" s="68"/>
      <c r="C671" s="43"/>
      <c r="D671" s="11" t="str">
        <f>IF(C671="","",VLOOKUP(C671,予算!$B$7:$C$66,2))</f>
        <v/>
      </c>
      <c r="E671" s="43"/>
      <c r="F671" s="200"/>
      <c r="G671" s="32"/>
      <c r="H671" s="32"/>
      <c r="I671" s="50" t="str">
        <f t="shared" si="10"/>
        <v/>
      </c>
    </row>
    <row r="672" spans="1:9">
      <c r="A672" s="275" t="str">
        <f>IF(B672="","",DATE(IF(INT(B672)&gt;=4,予算!$L$1,予算!$L$2),INT(B672),ROUND(MOD(B672,1)*100,0)))</f>
        <v/>
      </c>
      <c r="B672" s="68"/>
      <c r="C672" s="43"/>
      <c r="D672" s="11" t="str">
        <f>IF(C672="","",VLOOKUP(C672,予算!$B$7:$C$66,2))</f>
        <v/>
      </c>
      <c r="E672" s="43"/>
      <c r="F672" s="200"/>
      <c r="G672" s="32"/>
      <c r="H672" s="32"/>
      <c r="I672" s="50" t="str">
        <f t="shared" si="10"/>
        <v/>
      </c>
    </row>
    <row r="673" spans="1:9">
      <c r="A673" s="275" t="str">
        <f>IF(B673="","",DATE(IF(INT(B673)&gt;=4,予算!$L$1,予算!$L$2),INT(B673),ROUND(MOD(B673,1)*100,0)))</f>
        <v/>
      </c>
      <c r="B673" s="68"/>
      <c r="C673" s="43"/>
      <c r="D673" s="11" t="str">
        <f>IF(C673="","",VLOOKUP(C673,予算!$B$7:$C$66,2))</f>
        <v/>
      </c>
      <c r="E673" s="43"/>
      <c r="F673" s="200"/>
      <c r="G673" s="32"/>
      <c r="H673" s="32"/>
      <c r="I673" s="50" t="str">
        <f t="shared" si="10"/>
        <v/>
      </c>
    </row>
    <row r="674" spans="1:9">
      <c r="A674" s="275" t="str">
        <f>IF(B674="","",DATE(IF(INT(B674)&gt;=4,予算!$L$1,予算!$L$2),INT(B674),ROUND(MOD(B674,1)*100,0)))</f>
        <v/>
      </c>
      <c r="B674" s="68"/>
      <c r="C674" s="43"/>
      <c r="D674" s="11" t="str">
        <f>IF(C674="","",VLOOKUP(C674,予算!$B$7:$C$66,2))</f>
        <v/>
      </c>
      <c r="E674" s="43"/>
      <c r="F674" s="200"/>
      <c r="G674" s="32"/>
      <c r="H674" s="32"/>
      <c r="I674" s="50" t="str">
        <f t="shared" si="10"/>
        <v/>
      </c>
    </row>
    <row r="675" spans="1:9">
      <c r="A675" s="275" t="str">
        <f>IF(B675="","",DATE(IF(INT(B675)&gt;=4,予算!$L$1,予算!$L$2),INT(B675),ROUND(MOD(B675,1)*100,0)))</f>
        <v/>
      </c>
      <c r="B675" s="68"/>
      <c r="C675" s="43"/>
      <c r="D675" s="11" t="str">
        <f>IF(C675="","",VLOOKUP(C675,予算!$B$7:$C$66,2))</f>
        <v/>
      </c>
      <c r="E675" s="43"/>
      <c r="F675" s="200"/>
      <c r="G675" s="32"/>
      <c r="H675" s="32"/>
      <c r="I675" s="50" t="str">
        <f t="shared" si="10"/>
        <v/>
      </c>
    </row>
    <row r="676" spans="1:9">
      <c r="A676" s="275" t="str">
        <f>IF(B676="","",DATE(IF(INT(B676)&gt;=4,予算!$L$1,予算!$L$2),INT(B676),ROUND(MOD(B676,1)*100,0)))</f>
        <v/>
      </c>
      <c r="B676" s="68"/>
      <c r="C676" s="43"/>
      <c r="D676" s="11" t="str">
        <f>IF(C676="","",VLOOKUP(C676,予算!$B$7:$C$66,2))</f>
        <v/>
      </c>
      <c r="E676" s="43"/>
      <c r="F676" s="200"/>
      <c r="G676" s="32"/>
      <c r="H676" s="32"/>
      <c r="I676" s="50" t="str">
        <f t="shared" si="10"/>
        <v/>
      </c>
    </row>
    <row r="677" spans="1:9">
      <c r="A677" s="275" t="str">
        <f>IF(B677="","",DATE(IF(INT(B677)&gt;=4,予算!$L$1,予算!$L$2),INT(B677),ROUND(MOD(B677,1)*100,0)))</f>
        <v/>
      </c>
      <c r="B677" s="68"/>
      <c r="C677" s="43"/>
      <c r="D677" s="11" t="str">
        <f>IF(C677="","",VLOOKUP(C677,予算!$B$7:$C$66,2))</f>
        <v/>
      </c>
      <c r="E677" s="43"/>
      <c r="F677" s="200"/>
      <c r="G677" s="32"/>
      <c r="H677" s="32"/>
      <c r="I677" s="50" t="str">
        <f t="shared" si="10"/>
        <v/>
      </c>
    </row>
    <row r="678" spans="1:9">
      <c r="A678" s="275" t="str">
        <f>IF(B678="","",DATE(IF(INT(B678)&gt;=4,予算!$L$1,予算!$L$2),INT(B678),ROUND(MOD(B678,1)*100,0)))</f>
        <v/>
      </c>
      <c r="B678" s="68"/>
      <c r="C678" s="43"/>
      <c r="D678" s="11" t="str">
        <f>IF(C678="","",VLOOKUP(C678,予算!$B$7:$C$66,2))</f>
        <v/>
      </c>
      <c r="E678" s="43"/>
      <c r="F678" s="200"/>
      <c r="G678" s="32"/>
      <c r="H678" s="32"/>
      <c r="I678" s="50" t="str">
        <f t="shared" si="10"/>
        <v/>
      </c>
    </row>
    <row r="679" spans="1:9">
      <c r="A679" s="275" t="str">
        <f>IF(B679="","",DATE(IF(INT(B679)&gt;=4,予算!$L$1,予算!$L$2),INT(B679),ROUND(MOD(B679,1)*100,0)))</f>
        <v/>
      </c>
      <c r="B679" s="68"/>
      <c r="C679" s="43"/>
      <c r="D679" s="11" t="str">
        <f>IF(C679="","",VLOOKUP(C679,予算!$B$7:$C$66,2))</f>
        <v/>
      </c>
      <c r="E679" s="43"/>
      <c r="F679" s="200"/>
      <c r="G679" s="32"/>
      <c r="H679" s="32"/>
      <c r="I679" s="50" t="str">
        <f t="shared" si="10"/>
        <v/>
      </c>
    </row>
    <row r="680" spans="1:9">
      <c r="A680" s="275" t="str">
        <f>IF(B680="","",DATE(IF(INT(B680)&gt;=4,予算!$L$1,予算!$L$2),INT(B680),ROUND(MOD(B680,1)*100,0)))</f>
        <v/>
      </c>
      <c r="B680" s="68"/>
      <c r="C680" s="43"/>
      <c r="D680" s="11" t="str">
        <f>IF(C680="","",VLOOKUP(C680,予算!$B$7:$C$66,2))</f>
        <v/>
      </c>
      <c r="E680" s="43"/>
      <c r="F680" s="200"/>
      <c r="G680" s="32"/>
      <c r="H680" s="32"/>
      <c r="I680" s="50" t="str">
        <f t="shared" si="10"/>
        <v/>
      </c>
    </row>
    <row r="681" spans="1:9">
      <c r="A681" s="275" t="str">
        <f>IF(B681="","",DATE(IF(INT(B681)&gt;=4,予算!$L$1,予算!$L$2),INT(B681),ROUND(MOD(B681,1)*100,0)))</f>
        <v/>
      </c>
      <c r="B681" s="68"/>
      <c r="C681" s="43"/>
      <c r="D681" s="11" t="str">
        <f>IF(C681="","",VLOOKUP(C681,予算!$B$7:$C$66,2))</f>
        <v/>
      </c>
      <c r="E681" s="43"/>
      <c r="F681" s="200"/>
      <c r="G681" s="32"/>
      <c r="H681" s="32"/>
      <c r="I681" s="50" t="str">
        <f t="shared" si="10"/>
        <v/>
      </c>
    </row>
    <row r="682" spans="1:9">
      <c r="A682" s="275" t="str">
        <f>IF(B682="","",DATE(IF(INT(B682)&gt;=4,予算!$L$1,予算!$L$2),INT(B682),ROUND(MOD(B682,1)*100,0)))</f>
        <v/>
      </c>
      <c r="B682" s="68"/>
      <c r="C682" s="43"/>
      <c r="D682" s="11" t="str">
        <f>IF(C682="","",VLOOKUP(C682,予算!$B$7:$C$66,2))</f>
        <v/>
      </c>
      <c r="E682" s="43"/>
      <c r="F682" s="200"/>
      <c r="G682" s="32"/>
      <c r="H682" s="32"/>
      <c r="I682" s="50" t="str">
        <f t="shared" si="10"/>
        <v/>
      </c>
    </row>
    <row r="683" spans="1:9">
      <c r="A683" s="275" t="str">
        <f>IF(B683="","",DATE(IF(INT(B683)&gt;=4,予算!$L$1,予算!$L$2),INT(B683),ROUND(MOD(B683,1)*100,0)))</f>
        <v/>
      </c>
      <c r="B683" s="68"/>
      <c r="C683" s="43"/>
      <c r="D683" s="11" t="str">
        <f>IF(C683="","",VLOOKUP(C683,予算!$B$7:$C$66,2))</f>
        <v/>
      </c>
      <c r="E683" s="43"/>
      <c r="F683" s="200"/>
      <c r="G683" s="32"/>
      <c r="H683" s="32"/>
      <c r="I683" s="50" t="str">
        <f t="shared" si="10"/>
        <v/>
      </c>
    </row>
    <row r="684" spans="1:9">
      <c r="A684" s="275" t="str">
        <f>IF(B684="","",DATE(IF(INT(B684)&gt;=4,予算!$L$1,予算!$L$2),INT(B684),ROUND(MOD(B684,1)*100,0)))</f>
        <v/>
      </c>
      <c r="B684" s="68"/>
      <c r="C684" s="43"/>
      <c r="D684" s="11" t="str">
        <f>IF(C684="","",VLOOKUP(C684,予算!$B$7:$C$66,2))</f>
        <v/>
      </c>
      <c r="E684" s="43"/>
      <c r="F684" s="200"/>
      <c r="G684" s="32"/>
      <c r="H684" s="32"/>
      <c r="I684" s="50" t="str">
        <f t="shared" si="10"/>
        <v/>
      </c>
    </row>
    <row r="685" spans="1:9">
      <c r="A685" s="275" t="str">
        <f>IF(B685="","",DATE(IF(INT(B685)&gt;=4,予算!$L$1,予算!$L$2),INT(B685),ROUND(MOD(B685,1)*100,0)))</f>
        <v/>
      </c>
      <c r="B685" s="68"/>
      <c r="C685" s="43"/>
      <c r="D685" s="11" t="str">
        <f>IF(C685="","",VLOOKUP(C685,予算!$B$7:$C$66,2))</f>
        <v/>
      </c>
      <c r="E685" s="43"/>
      <c r="F685" s="200"/>
      <c r="G685" s="32"/>
      <c r="H685" s="32"/>
      <c r="I685" s="50" t="str">
        <f t="shared" si="10"/>
        <v/>
      </c>
    </row>
    <row r="686" spans="1:9">
      <c r="A686" s="275" t="str">
        <f>IF(B686="","",DATE(IF(INT(B686)&gt;=4,予算!$L$1,予算!$L$2),INT(B686),ROUND(MOD(B686,1)*100,0)))</f>
        <v/>
      </c>
      <c r="B686" s="68"/>
      <c r="C686" s="43"/>
      <c r="D686" s="11" t="str">
        <f>IF(C686="","",VLOOKUP(C686,予算!$B$7:$C$66,2))</f>
        <v/>
      </c>
      <c r="E686" s="43"/>
      <c r="F686" s="200"/>
      <c r="G686" s="32"/>
      <c r="H686" s="32"/>
      <c r="I686" s="50" t="str">
        <f t="shared" si="10"/>
        <v/>
      </c>
    </row>
    <row r="687" spans="1:9">
      <c r="A687" s="275" t="str">
        <f>IF(B687="","",DATE(IF(INT(B687)&gt;=4,予算!$L$1,予算!$L$2),INT(B687),ROUND(MOD(B687,1)*100,0)))</f>
        <v/>
      </c>
      <c r="B687" s="68"/>
      <c r="C687" s="43"/>
      <c r="D687" s="11" t="str">
        <f>IF(C687="","",VLOOKUP(C687,予算!$B$7:$C$66,2))</f>
        <v/>
      </c>
      <c r="E687" s="43"/>
      <c r="F687" s="200"/>
      <c r="G687" s="32"/>
      <c r="H687" s="32"/>
      <c r="I687" s="50" t="str">
        <f t="shared" si="10"/>
        <v/>
      </c>
    </row>
    <row r="688" spans="1:9">
      <c r="A688" s="275" t="str">
        <f>IF(B688="","",DATE(IF(INT(B688)&gt;=4,予算!$L$1,予算!$L$2),INT(B688),ROUND(MOD(B688,1)*100,0)))</f>
        <v/>
      </c>
      <c r="B688" s="68"/>
      <c r="C688" s="43"/>
      <c r="D688" s="11" t="str">
        <f>IF(C688="","",VLOOKUP(C688,予算!$B$7:$C$66,2))</f>
        <v/>
      </c>
      <c r="E688" s="43"/>
      <c r="F688" s="200"/>
      <c r="G688" s="32"/>
      <c r="H688" s="32"/>
      <c r="I688" s="50" t="str">
        <f t="shared" si="10"/>
        <v/>
      </c>
    </row>
    <row r="689" spans="1:9">
      <c r="A689" s="275" t="str">
        <f>IF(B689="","",DATE(IF(INT(B689)&gt;=4,予算!$L$1,予算!$L$2),INT(B689),ROUND(MOD(B689,1)*100,0)))</f>
        <v/>
      </c>
      <c r="B689" s="68"/>
      <c r="C689" s="43"/>
      <c r="D689" s="11" t="str">
        <f>IF(C689="","",VLOOKUP(C689,予算!$B$7:$C$66,2))</f>
        <v/>
      </c>
      <c r="E689" s="43"/>
      <c r="F689" s="200"/>
      <c r="G689" s="32"/>
      <c r="H689" s="32"/>
      <c r="I689" s="50" t="str">
        <f t="shared" si="10"/>
        <v/>
      </c>
    </row>
    <row r="690" spans="1:9">
      <c r="A690" s="275" t="str">
        <f>IF(B690="","",DATE(IF(INT(B690)&gt;=4,予算!$L$1,予算!$L$2),INT(B690),ROUND(MOD(B690,1)*100,0)))</f>
        <v/>
      </c>
      <c r="B690" s="68"/>
      <c r="C690" s="43"/>
      <c r="D690" s="11" t="str">
        <f>IF(C690="","",VLOOKUP(C690,予算!$B$7:$C$66,2))</f>
        <v/>
      </c>
      <c r="E690" s="43"/>
      <c r="F690" s="200"/>
      <c r="G690" s="32"/>
      <c r="H690" s="32"/>
      <c r="I690" s="50" t="str">
        <f t="shared" si="10"/>
        <v/>
      </c>
    </row>
    <row r="691" spans="1:9">
      <c r="A691" s="275" t="str">
        <f>IF(B691="","",DATE(IF(INT(B691)&gt;=4,予算!$L$1,予算!$L$2),INT(B691),ROUND(MOD(B691,1)*100,0)))</f>
        <v/>
      </c>
      <c r="B691" s="68"/>
      <c r="C691" s="43"/>
      <c r="D691" s="11" t="str">
        <f>IF(C691="","",VLOOKUP(C691,予算!$B$7:$C$66,2))</f>
        <v/>
      </c>
      <c r="E691" s="43"/>
      <c r="F691" s="200"/>
      <c r="G691" s="32"/>
      <c r="H691" s="32"/>
      <c r="I691" s="50" t="str">
        <f t="shared" si="10"/>
        <v/>
      </c>
    </row>
    <row r="692" spans="1:9">
      <c r="A692" s="275" t="str">
        <f>IF(B692="","",DATE(IF(INT(B692)&gt;=4,予算!$L$1,予算!$L$2),INT(B692),ROUND(MOD(B692,1)*100,0)))</f>
        <v/>
      </c>
      <c r="B692" s="68"/>
      <c r="C692" s="43"/>
      <c r="D692" s="11" t="str">
        <f>IF(C692="","",VLOOKUP(C692,予算!$B$7:$C$66,2))</f>
        <v/>
      </c>
      <c r="E692" s="43"/>
      <c r="F692" s="200"/>
      <c r="G692" s="32"/>
      <c r="H692" s="32"/>
      <c r="I692" s="50" t="str">
        <f t="shared" si="10"/>
        <v/>
      </c>
    </row>
    <row r="693" spans="1:9">
      <c r="A693" s="275" t="str">
        <f>IF(B693="","",DATE(IF(INT(B693)&gt;=4,予算!$L$1,予算!$L$2),INT(B693),ROUND(MOD(B693,1)*100,0)))</f>
        <v/>
      </c>
      <c r="B693" s="68"/>
      <c r="C693" s="43"/>
      <c r="D693" s="11" t="str">
        <f>IF(C693="","",VLOOKUP(C693,予算!$B$7:$C$66,2))</f>
        <v/>
      </c>
      <c r="E693" s="43"/>
      <c r="F693" s="200"/>
      <c r="G693" s="32"/>
      <c r="H693" s="32"/>
      <c r="I693" s="50" t="str">
        <f t="shared" si="10"/>
        <v/>
      </c>
    </row>
    <row r="694" spans="1:9">
      <c r="A694" s="275" t="str">
        <f>IF(B694="","",DATE(IF(INT(B694)&gt;=4,予算!$L$1,予算!$L$2),INT(B694),ROUND(MOD(B694,1)*100,0)))</f>
        <v/>
      </c>
      <c r="B694" s="68"/>
      <c r="C694" s="43"/>
      <c r="D694" s="11" t="str">
        <f>IF(C694="","",VLOOKUP(C694,予算!$B$7:$C$66,2))</f>
        <v/>
      </c>
      <c r="E694" s="43"/>
      <c r="F694" s="200"/>
      <c r="G694" s="32"/>
      <c r="H694" s="32"/>
      <c r="I694" s="50" t="str">
        <f t="shared" si="10"/>
        <v/>
      </c>
    </row>
    <row r="695" spans="1:9">
      <c r="A695" s="275" t="str">
        <f>IF(B695="","",DATE(IF(INT(B695)&gt;=4,予算!$L$1,予算!$L$2),INT(B695),ROUND(MOD(B695,1)*100,0)))</f>
        <v/>
      </c>
      <c r="B695" s="68"/>
      <c r="C695" s="43"/>
      <c r="D695" s="11" t="str">
        <f>IF(C695="","",VLOOKUP(C695,予算!$B$7:$C$66,2))</f>
        <v/>
      </c>
      <c r="E695" s="43"/>
      <c r="F695" s="200"/>
      <c r="G695" s="32"/>
      <c r="H695" s="32"/>
      <c r="I695" s="50" t="str">
        <f t="shared" si="10"/>
        <v/>
      </c>
    </row>
    <row r="696" spans="1:9">
      <c r="A696" s="275" t="str">
        <f>IF(B696="","",DATE(IF(INT(B696)&gt;=4,予算!$L$1,予算!$L$2),INT(B696),ROUND(MOD(B696,1)*100,0)))</f>
        <v/>
      </c>
      <c r="B696" s="68"/>
      <c r="C696" s="43"/>
      <c r="D696" s="11" t="str">
        <f>IF(C696="","",VLOOKUP(C696,予算!$B$7:$C$66,2))</f>
        <v/>
      </c>
      <c r="E696" s="43"/>
      <c r="F696" s="200"/>
      <c r="G696" s="32"/>
      <c r="H696" s="32"/>
      <c r="I696" s="50" t="str">
        <f t="shared" si="10"/>
        <v/>
      </c>
    </row>
    <row r="697" spans="1:9">
      <c r="A697" s="275" t="str">
        <f>IF(B697="","",DATE(IF(INT(B697)&gt;=4,予算!$L$1,予算!$L$2),INT(B697),ROUND(MOD(B697,1)*100,0)))</f>
        <v/>
      </c>
      <c r="B697" s="68"/>
      <c r="C697" s="43"/>
      <c r="D697" s="11" t="str">
        <f>IF(C697="","",VLOOKUP(C697,予算!$B$7:$C$66,2))</f>
        <v/>
      </c>
      <c r="E697" s="43"/>
      <c r="F697" s="200"/>
      <c r="G697" s="32"/>
      <c r="H697" s="32"/>
      <c r="I697" s="50" t="str">
        <f t="shared" si="10"/>
        <v/>
      </c>
    </row>
    <row r="698" spans="1:9">
      <c r="A698" s="275" t="str">
        <f>IF(B698="","",DATE(IF(INT(B698)&gt;=4,予算!$L$1,予算!$L$2),INT(B698),ROUND(MOD(B698,1)*100,0)))</f>
        <v/>
      </c>
      <c r="B698" s="68"/>
      <c r="C698" s="43"/>
      <c r="D698" s="11" t="str">
        <f>IF(C698="","",VLOOKUP(C698,予算!$B$7:$C$66,2))</f>
        <v/>
      </c>
      <c r="E698" s="43"/>
      <c r="F698" s="200"/>
      <c r="G698" s="32"/>
      <c r="H698" s="32"/>
      <c r="I698" s="50" t="str">
        <f t="shared" si="10"/>
        <v/>
      </c>
    </row>
    <row r="699" spans="1:9">
      <c r="A699" s="275" t="str">
        <f>IF(B699="","",DATE(IF(INT(B699)&gt;=4,予算!$L$1,予算!$L$2),INT(B699),ROUND(MOD(B699,1)*100,0)))</f>
        <v/>
      </c>
      <c r="B699" s="68"/>
      <c r="C699" s="43"/>
      <c r="D699" s="11" t="str">
        <f>IF(C699="","",VLOOKUP(C699,予算!$B$7:$C$66,2))</f>
        <v/>
      </c>
      <c r="E699" s="43"/>
      <c r="F699" s="200"/>
      <c r="G699" s="32"/>
      <c r="H699" s="32"/>
      <c r="I699" s="50" t="str">
        <f t="shared" si="10"/>
        <v/>
      </c>
    </row>
    <row r="700" spans="1:9">
      <c r="A700" s="275" t="str">
        <f>IF(B700="","",DATE(IF(INT(B700)&gt;=4,予算!$L$1,予算!$L$2),INT(B700),ROUND(MOD(B700,1)*100,0)))</f>
        <v/>
      </c>
      <c r="B700" s="68"/>
      <c r="C700" s="43"/>
      <c r="D700" s="11" t="str">
        <f>IF(C700="","",VLOOKUP(C700,予算!$B$7:$C$66,2))</f>
        <v/>
      </c>
      <c r="E700" s="43"/>
      <c r="F700" s="200"/>
      <c r="G700" s="32"/>
      <c r="H700" s="32"/>
      <c r="I700" s="50" t="str">
        <f t="shared" si="10"/>
        <v/>
      </c>
    </row>
    <row r="701" spans="1:9">
      <c r="A701" s="275" t="str">
        <f>IF(B701="","",DATE(IF(INT(B701)&gt;=4,予算!$L$1,予算!$L$2),INT(B701),ROUND(MOD(B701,1)*100,0)))</f>
        <v/>
      </c>
      <c r="B701" s="68"/>
      <c r="C701" s="43"/>
      <c r="D701" s="11" t="str">
        <f>IF(C701="","",VLOOKUP(C701,予算!$B$7:$C$66,2))</f>
        <v/>
      </c>
      <c r="E701" s="43"/>
      <c r="F701" s="200"/>
      <c r="G701" s="32"/>
      <c r="H701" s="32"/>
      <c r="I701" s="50" t="str">
        <f t="shared" si="10"/>
        <v/>
      </c>
    </row>
    <row r="702" spans="1:9">
      <c r="A702" s="275" t="str">
        <f>IF(B702="","",DATE(IF(INT(B702)&gt;=4,予算!$L$1,予算!$L$2),INT(B702),ROUND(MOD(B702,1)*100,0)))</f>
        <v/>
      </c>
      <c r="B702" s="68"/>
      <c r="C702" s="43"/>
      <c r="D702" s="11" t="str">
        <f>IF(C702="","",VLOOKUP(C702,予算!$B$7:$C$66,2))</f>
        <v/>
      </c>
      <c r="E702" s="43"/>
      <c r="F702" s="200"/>
      <c r="G702" s="32"/>
      <c r="H702" s="32"/>
      <c r="I702" s="50" t="str">
        <f t="shared" si="10"/>
        <v/>
      </c>
    </row>
    <row r="703" spans="1:9">
      <c r="A703" s="275" t="str">
        <f>IF(B703="","",DATE(IF(INT(B703)&gt;=4,予算!$L$1,予算!$L$2),INT(B703),ROUND(MOD(B703,1)*100,0)))</f>
        <v/>
      </c>
      <c r="B703" s="68"/>
      <c r="C703" s="43"/>
      <c r="D703" s="11" t="str">
        <f>IF(C703="","",VLOOKUP(C703,予算!$B$7:$C$66,2))</f>
        <v/>
      </c>
      <c r="E703" s="43"/>
      <c r="F703" s="200"/>
      <c r="G703" s="32"/>
      <c r="H703" s="32"/>
      <c r="I703" s="50" t="str">
        <f t="shared" si="10"/>
        <v/>
      </c>
    </row>
    <row r="704" spans="1:9">
      <c r="A704" s="275" t="str">
        <f>IF(B704="","",DATE(IF(INT(B704)&gt;=4,予算!$L$1,予算!$L$2),INT(B704),ROUND(MOD(B704,1)*100,0)))</f>
        <v/>
      </c>
      <c r="B704" s="68"/>
      <c r="C704" s="43"/>
      <c r="D704" s="11" t="str">
        <f>IF(C704="","",VLOOKUP(C704,予算!$B$7:$C$66,2))</f>
        <v/>
      </c>
      <c r="E704" s="43"/>
      <c r="F704" s="200"/>
      <c r="G704" s="32"/>
      <c r="H704" s="32"/>
      <c r="I704" s="50" t="str">
        <f t="shared" si="10"/>
        <v/>
      </c>
    </row>
    <row r="705" spans="1:9">
      <c r="A705" s="275" t="str">
        <f>IF(B705="","",DATE(IF(INT(B705)&gt;=4,予算!$L$1,予算!$L$2),INT(B705),ROUND(MOD(B705,1)*100,0)))</f>
        <v/>
      </c>
      <c r="B705" s="68"/>
      <c r="C705" s="43"/>
      <c r="D705" s="11" t="str">
        <f>IF(C705="","",VLOOKUP(C705,予算!$B$7:$C$66,2))</f>
        <v/>
      </c>
      <c r="E705" s="43"/>
      <c r="F705" s="200"/>
      <c r="G705" s="32"/>
      <c r="H705" s="32"/>
      <c r="I705" s="50" t="str">
        <f t="shared" si="10"/>
        <v/>
      </c>
    </row>
    <row r="706" spans="1:9">
      <c r="A706" s="275" t="str">
        <f>IF(B706="","",DATE(IF(INT(B706)&gt;=4,予算!$L$1,予算!$L$2),INT(B706),ROUND(MOD(B706,1)*100,0)))</f>
        <v/>
      </c>
      <c r="B706" s="68"/>
      <c r="C706" s="43"/>
      <c r="D706" s="11" t="str">
        <f>IF(C706="","",VLOOKUP(C706,予算!$B$7:$C$66,2))</f>
        <v/>
      </c>
      <c r="E706" s="43"/>
      <c r="F706" s="200"/>
      <c r="G706" s="32"/>
      <c r="H706" s="32"/>
      <c r="I706" s="50" t="str">
        <f t="shared" si="10"/>
        <v/>
      </c>
    </row>
    <row r="707" spans="1:9">
      <c r="A707" s="275" t="str">
        <f>IF(B707="","",DATE(IF(INT(B707)&gt;=4,予算!$L$1,予算!$L$2),INT(B707),ROUND(MOD(B707,1)*100,0)))</f>
        <v/>
      </c>
      <c r="B707" s="68"/>
      <c r="C707" s="43"/>
      <c r="D707" s="11" t="str">
        <f>IF(C707="","",VLOOKUP(C707,予算!$B$7:$C$66,2))</f>
        <v/>
      </c>
      <c r="E707" s="43"/>
      <c r="F707" s="200"/>
      <c r="G707" s="32"/>
      <c r="H707" s="32"/>
      <c r="I707" s="50" t="str">
        <f t="shared" si="10"/>
        <v/>
      </c>
    </row>
    <row r="708" spans="1:9">
      <c r="A708" s="275" t="str">
        <f>IF(B708="","",DATE(IF(INT(B708)&gt;=4,予算!$L$1,予算!$L$2),INT(B708),ROUND(MOD(B708,1)*100,0)))</f>
        <v/>
      </c>
      <c r="B708" s="68"/>
      <c r="C708" s="43"/>
      <c r="D708" s="11" t="str">
        <f>IF(C708="","",VLOOKUP(C708,予算!$B$7:$C$66,2))</f>
        <v/>
      </c>
      <c r="E708" s="43"/>
      <c r="F708" s="200"/>
      <c r="G708" s="32"/>
      <c r="H708" s="32"/>
      <c r="I708" s="50" t="str">
        <f t="shared" si="10"/>
        <v/>
      </c>
    </row>
    <row r="709" spans="1:9">
      <c r="A709" s="275" t="str">
        <f>IF(B709="","",DATE(IF(INT(B709)&gt;=4,予算!$L$1,予算!$L$2),INT(B709),ROUND(MOD(B709,1)*100,0)))</f>
        <v/>
      </c>
      <c r="B709" s="68"/>
      <c r="C709" s="43"/>
      <c r="D709" s="11" t="str">
        <f>IF(C709="","",VLOOKUP(C709,予算!$B$7:$C$66,2))</f>
        <v/>
      </c>
      <c r="E709" s="43"/>
      <c r="F709" s="200"/>
      <c r="G709" s="32"/>
      <c r="H709" s="32"/>
      <c r="I709" s="50" t="str">
        <f t="shared" si="10"/>
        <v/>
      </c>
    </row>
    <row r="710" spans="1:9">
      <c r="A710" s="275" t="str">
        <f>IF(B710="","",DATE(IF(INT(B710)&gt;=4,予算!$L$1,予算!$L$2),INT(B710),ROUND(MOD(B710,1)*100,0)))</f>
        <v/>
      </c>
      <c r="B710" s="68"/>
      <c r="C710" s="43"/>
      <c r="D710" s="11" t="str">
        <f>IF(C710="","",VLOOKUP(C710,予算!$B$7:$C$66,2))</f>
        <v/>
      </c>
      <c r="E710" s="43"/>
      <c r="F710" s="200"/>
      <c r="G710" s="32"/>
      <c r="H710" s="32"/>
      <c r="I710" s="50" t="str">
        <f t="shared" si="10"/>
        <v/>
      </c>
    </row>
    <row r="711" spans="1:9">
      <c r="A711" s="275" t="str">
        <f>IF(B711="","",DATE(IF(INT(B711)&gt;=4,予算!$L$1,予算!$L$2),INT(B711),ROUND(MOD(B711,1)*100,0)))</f>
        <v/>
      </c>
      <c r="B711" s="68"/>
      <c r="C711" s="43"/>
      <c r="D711" s="11" t="str">
        <f>IF(C711="","",VLOOKUP(C711,予算!$B$7:$C$66,2))</f>
        <v/>
      </c>
      <c r="E711" s="43"/>
      <c r="F711" s="200"/>
      <c r="G711" s="32"/>
      <c r="H711" s="32"/>
      <c r="I711" s="50" t="str">
        <f t="shared" si="10"/>
        <v/>
      </c>
    </row>
    <row r="712" spans="1:9">
      <c r="A712" s="275" t="str">
        <f>IF(B712="","",DATE(IF(INT(B712)&gt;=4,予算!$L$1,予算!$L$2),INT(B712),ROUND(MOD(B712,1)*100,0)))</f>
        <v/>
      </c>
      <c r="B712" s="68"/>
      <c r="C712" s="43"/>
      <c r="D712" s="11" t="str">
        <f>IF(C712="","",VLOOKUP(C712,予算!$B$7:$C$66,2))</f>
        <v/>
      </c>
      <c r="E712" s="43"/>
      <c r="F712" s="200"/>
      <c r="G712" s="32"/>
      <c r="H712" s="32"/>
      <c r="I712" s="50" t="str">
        <f t="shared" si="10"/>
        <v/>
      </c>
    </row>
    <row r="713" spans="1:9">
      <c r="A713" s="275" t="str">
        <f>IF(B713="","",DATE(IF(INT(B713)&gt;=4,予算!$L$1,予算!$L$2),INT(B713),ROUND(MOD(B713,1)*100,0)))</f>
        <v/>
      </c>
      <c r="B713" s="68"/>
      <c r="C713" s="43"/>
      <c r="D713" s="11" t="str">
        <f>IF(C713="","",VLOOKUP(C713,予算!$B$7:$C$66,2))</f>
        <v/>
      </c>
      <c r="E713" s="43"/>
      <c r="F713" s="200"/>
      <c r="G713" s="32"/>
      <c r="H713" s="32"/>
      <c r="I713" s="50" t="str">
        <f t="shared" ref="I713:I776" si="11">IF(C713="","",I712+G713-H713)</f>
        <v/>
      </c>
    </row>
    <row r="714" spans="1:9">
      <c r="A714" s="275" t="str">
        <f>IF(B714="","",DATE(IF(INT(B714)&gt;=4,予算!$L$1,予算!$L$2),INT(B714),ROUND(MOD(B714,1)*100,0)))</f>
        <v/>
      </c>
      <c r="B714" s="68"/>
      <c r="C714" s="43"/>
      <c r="D714" s="11" t="str">
        <f>IF(C714="","",VLOOKUP(C714,予算!$B$7:$C$66,2))</f>
        <v/>
      </c>
      <c r="E714" s="43"/>
      <c r="F714" s="200"/>
      <c r="G714" s="32"/>
      <c r="H714" s="32"/>
      <c r="I714" s="50" t="str">
        <f t="shared" si="11"/>
        <v/>
      </c>
    </row>
    <row r="715" spans="1:9">
      <c r="A715" s="275" t="str">
        <f>IF(B715="","",DATE(IF(INT(B715)&gt;=4,予算!$L$1,予算!$L$2),INT(B715),ROUND(MOD(B715,1)*100,0)))</f>
        <v/>
      </c>
      <c r="B715" s="68"/>
      <c r="C715" s="43"/>
      <c r="D715" s="11" t="str">
        <f>IF(C715="","",VLOOKUP(C715,予算!$B$7:$C$66,2))</f>
        <v/>
      </c>
      <c r="E715" s="43"/>
      <c r="F715" s="200"/>
      <c r="G715" s="32"/>
      <c r="H715" s="32"/>
      <c r="I715" s="50" t="str">
        <f t="shared" si="11"/>
        <v/>
      </c>
    </row>
    <row r="716" spans="1:9">
      <c r="A716" s="275" t="str">
        <f>IF(B716="","",DATE(IF(INT(B716)&gt;=4,予算!$L$1,予算!$L$2),INT(B716),ROUND(MOD(B716,1)*100,0)))</f>
        <v/>
      </c>
      <c r="B716" s="68"/>
      <c r="C716" s="43"/>
      <c r="D716" s="11" t="str">
        <f>IF(C716="","",VLOOKUP(C716,予算!$B$7:$C$66,2))</f>
        <v/>
      </c>
      <c r="E716" s="43"/>
      <c r="F716" s="200"/>
      <c r="G716" s="32"/>
      <c r="H716" s="32"/>
      <c r="I716" s="50" t="str">
        <f t="shared" si="11"/>
        <v/>
      </c>
    </row>
    <row r="717" spans="1:9">
      <c r="A717" s="275" t="str">
        <f>IF(B717="","",DATE(IF(INT(B717)&gt;=4,予算!$L$1,予算!$L$2),INT(B717),ROUND(MOD(B717,1)*100,0)))</f>
        <v/>
      </c>
      <c r="B717" s="68"/>
      <c r="C717" s="43"/>
      <c r="D717" s="11" t="str">
        <f>IF(C717="","",VLOOKUP(C717,予算!$B$7:$C$66,2))</f>
        <v/>
      </c>
      <c r="E717" s="43"/>
      <c r="F717" s="200"/>
      <c r="G717" s="32"/>
      <c r="H717" s="32"/>
      <c r="I717" s="50" t="str">
        <f t="shared" si="11"/>
        <v/>
      </c>
    </row>
    <row r="718" spans="1:9">
      <c r="A718" s="275" t="str">
        <f>IF(B718="","",DATE(IF(INT(B718)&gt;=4,予算!$L$1,予算!$L$2),INT(B718),ROUND(MOD(B718,1)*100,0)))</f>
        <v/>
      </c>
      <c r="B718" s="68"/>
      <c r="C718" s="43"/>
      <c r="D718" s="11" t="str">
        <f>IF(C718="","",VLOOKUP(C718,予算!$B$7:$C$66,2))</f>
        <v/>
      </c>
      <c r="E718" s="43"/>
      <c r="F718" s="200"/>
      <c r="G718" s="32"/>
      <c r="H718" s="32"/>
      <c r="I718" s="50" t="str">
        <f t="shared" si="11"/>
        <v/>
      </c>
    </row>
    <row r="719" spans="1:9">
      <c r="A719" s="275" t="str">
        <f>IF(B719="","",DATE(IF(INT(B719)&gt;=4,予算!$L$1,予算!$L$2),INT(B719),ROUND(MOD(B719,1)*100,0)))</f>
        <v/>
      </c>
      <c r="B719" s="68"/>
      <c r="C719" s="43"/>
      <c r="D719" s="11" t="str">
        <f>IF(C719="","",VLOOKUP(C719,予算!$B$7:$C$66,2))</f>
        <v/>
      </c>
      <c r="E719" s="43"/>
      <c r="F719" s="200"/>
      <c r="G719" s="32"/>
      <c r="H719" s="32"/>
      <c r="I719" s="50" t="str">
        <f t="shared" si="11"/>
        <v/>
      </c>
    </row>
    <row r="720" spans="1:9">
      <c r="A720" s="275" t="str">
        <f>IF(B720="","",DATE(IF(INT(B720)&gt;=4,予算!$L$1,予算!$L$2),INT(B720),ROUND(MOD(B720,1)*100,0)))</f>
        <v/>
      </c>
      <c r="B720" s="68"/>
      <c r="C720" s="43"/>
      <c r="D720" s="11" t="str">
        <f>IF(C720="","",VLOOKUP(C720,予算!$B$7:$C$66,2))</f>
        <v/>
      </c>
      <c r="E720" s="43"/>
      <c r="F720" s="200"/>
      <c r="G720" s="32"/>
      <c r="H720" s="32"/>
      <c r="I720" s="50" t="str">
        <f t="shared" si="11"/>
        <v/>
      </c>
    </row>
    <row r="721" spans="1:9">
      <c r="A721" s="275" t="str">
        <f>IF(B721="","",DATE(IF(INT(B721)&gt;=4,予算!$L$1,予算!$L$2),INT(B721),ROUND(MOD(B721,1)*100,0)))</f>
        <v/>
      </c>
      <c r="B721" s="68"/>
      <c r="C721" s="43"/>
      <c r="D721" s="11" t="str">
        <f>IF(C721="","",VLOOKUP(C721,予算!$B$7:$C$66,2))</f>
        <v/>
      </c>
      <c r="E721" s="43"/>
      <c r="F721" s="200"/>
      <c r="G721" s="32"/>
      <c r="H721" s="32"/>
      <c r="I721" s="50" t="str">
        <f t="shared" si="11"/>
        <v/>
      </c>
    </row>
    <row r="722" spans="1:9">
      <c r="A722" s="275" t="str">
        <f>IF(B722="","",DATE(IF(INT(B722)&gt;=4,予算!$L$1,予算!$L$2),INT(B722),ROUND(MOD(B722,1)*100,0)))</f>
        <v/>
      </c>
      <c r="B722" s="68"/>
      <c r="C722" s="43"/>
      <c r="D722" s="11" t="str">
        <f>IF(C722="","",VLOOKUP(C722,予算!$B$7:$C$66,2))</f>
        <v/>
      </c>
      <c r="E722" s="43"/>
      <c r="F722" s="200"/>
      <c r="G722" s="32"/>
      <c r="H722" s="32"/>
      <c r="I722" s="50" t="str">
        <f t="shared" si="11"/>
        <v/>
      </c>
    </row>
    <row r="723" spans="1:9">
      <c r="A723" s="275" t="str">
        <f>IF(B723="","",DATE(IF(INT(B723)&gt;=4,予算!$L$1,予算!$L$2),INT(B723),ROUND(MOD(B723,1)*100,0)))</f>
        <v/>
      </c>
      <c r="B723" s="68"/>
      <c r="C723" s="43"/>
      <c r="D723" s="11" t="str">
        <f>IF(C723="","",VLOOKUP(C723,予算!$B$7:$C$66,2))</f>
        <v/>
      </c>
      <c r="E723" s="43"/>
      <c r="F723" s="200"/>
      <c r="G723" s="32"/>
      <c r="H723" s="32"/>
      <c r="I723" s="50" t="str">
        <f t="shared" si="11"/>
        <v/>
      </c>
    </row>
    <row r="724" spans="1:9">
      <c r="A724" s="275" t="str">
        <f>IF(B724="","",DATE(IF(INT(B724)&gt;=4,予算!$L$1,予算!$L$2),INT(B724),ROUND(MOD(B724,1)*100,0)))</f>
        <v/>
      </c>
      <c r="B724" s="68"/>
      <c r="C724" s="43"/>
      <c r="D724" s="11" t="str">
        <f>IF(C724="","",VLOOKUP(C724,予算!$B$7:$C$66,2))</f>
        <v/>
      </c>
      <c r="E724" s="43"/>
      <c r="F724" s="200"/>
      <c r="G724" s="32"/>
      <c r="H724" s="32"/>
      <c r="I724" s="50" t="str">
        <f t="shared" si="11"/>
        <v/>
      </c>
    </row>
    <row r="725" spans="1:9">
      <c r="A725" s="275" t="str">
        <f>IF(B725="","",DATE(IF(INT(B725)&gt;=4,予算!$L$1,予算!$L$2),INT(B725),ROUND(MOD(B725,1)*100,0)))</f>
        <v/>
      </c>
      <c r="B725" s="68"/>
      <c r="C725" s="43"/>
      <c r="D725" s="11" t="str">
        <f>IF(C725="","",VLOOKUP(C725,予算!$B$7:$C$66,2))</f>
        <v/>
      </c>
      <c r="E725" s="43"/>
      <c r="F725" s="200"/>
      <c r="G725" s="32"/>
      <c r="H725" s="32"/>
      <c r="I725" s="50" t="str">
        <f t="shared" si="11"/>
        <v/>
      </c>
    </row>
    <row r="726" spans="1:9">
      <c r="A726" s="275" t="str">
        <f>IF(B726="","",DATE(IF(INT(B726)&gt;=4,予算!$L$1,予算!$L$2),INT(B726),ROUND(MOD(B726,1)*100,0)))</f>
        <v/>
      </c>
      <c r="B726" s="68"/>
      <c r="C726" s="43"/>
      <c r="D726" s="11" t="str">
        <f>IF(C726="","",VLOOKUP(C726,予算!$B$7:$C$66,2))</f>
        <v/>
      </c>
      <c r="E726" s="43"/>
      <c r="F726" s="200"/>
      <c r="G726" s="32"/>
      <c r="H726" s="32"/>
      <c r="I726" s="50" t="str">
        <f t="shared" si="11"/>
        <v/>
      </c>
    </row>
    <row r="727" spans="1:9">
      <c r="A727" s="275" t="str">
        <f>IF(B727="","",DATE(IF(INT(B727)&gt;=4,予算!$L$1,予算!$L$2),INT(B727),ROUND(MOD(B727,1)*100,0)))</f>
        <v/>
      </c>
      <c r="B727" s="68"/>
      <c r="C727" s="43"/>
      <c r="D727" s="11" t="str">
        <f>IF(C727="","",VLOOKUP(C727,予算!$B$7:$C$66,2))</f>
        <v/>
      </c>
      <c r="E727" s="43"/>
      <c r="F727" s="200"/>
      <c r="G727" s="32"/>
      <c r="H727" s="32"/>
      <c r="I727" s="50" t="str">
        <f t="shared" si="11"/>
        <v/>
      </c>
    </row>
    <row r="728" spans="1:9">
      <c r="A728" s="275" t="str">
        <f>IF(B728="","",DATE(IF(INT(B728)&gt;=4,予算!$L$1,予算!$L$2),INT(B728),ROUND(MOD(B728,1)*100,0)))</f>
        <v/>
      </c>
      <c r="B728" s="68"/>
      <c r="C728" s="43"/>
      <c r="D728" s="11" t="str">
        <f>IF(C728="","",VLOOKUP(C728,予算!$B$7:$C$66,2))</f>
        <v/>
      </c>
      <c r="E728" s="43"/>
      <c r="F728" s="200"/>
      <c r="G728" s="32"/>
      <c r="H728" s="32"/>
      <c r="I728" s="50" t="str">
        <f t="shared" si="11"/>
        <v/>
      </c>
    </row>
    <row r="729" spans="1:9">
      <c r="A729" s="275" t="str">
        <f>IF(B729="","",DATE(IF(INT(B729)&gt;=4,予算!$L$1,予算!$L$2),INT(B729),ROUND(MOD(B729,1)*100,0)))</f>
        <v/>
      </c>
      <c r="B729" s="68"/>
      <c r="C729" s="43"/>
      <c r="D729" s="11" t="str">
        <f>IF(C729="","",VLOOKUP(C729,予算!$B$7:$C$66,2))</f>
        <v/>
      </c>
      <c r="E729" s="43"/>
      <c r="F729" s="200"/>
      <c r="G729" s="32"/>
      <c r="H729" s="32"/>
      <c r="I729" s="50" t="str">
        <f t="shared" si="11"/>
        <v/>
      </c>
    </row>
    <row r="730" spans="1:9">
      <c r="A730" s="275" t="str">
        <f>IF(B730="","",DATE(IF(INT(B730)&gt;=4,予算!$L$1,予算!$L$2),INT(B730),ROUND(MOD(B730,1)*100,0)))</f>
        <v/>
      </c>
      <c r="B730" s="68"/>
      <c r="C730" s="43"/>
      <c r="D730" s="11" t="str">
        <f>IF(C730="","",VLOOKUP(C730,予算!$B$7:$C$66,2))</f>
        <v/>
      </c>
      <c r="E730" s="43"/>
      <c r="F730" s="200"/>
      <c r="G730" s="32"/>
      <c r="H730" s="32"/>
      <c r="I730" s="50" t="str">
        <f t="shared" si="11"/>
        <v/>
      </c>
    </row>
    <row r="731" spans="1:9">
      <c r="A731" s="275" t="str">
        <f>IF(B731="","",DATE(IF(INT(B731)&gt;=4,予算!$L$1,予算!$L$2),INT(B731),ROUND(MOD(B731,1)*100,0)))</f>
        <v/>
      </c>
      <c r="B731" s="68"/>
      <c r="C731" s="43"/>
      <c r="D731" s="11" t="str">
        <f>IF(C731="","",VLOOKUP(C731,予算!$B$7:$C$66,2))</f>
        <v/>
      </c>
      <c r="E731" s="43"/>
      <c r="F731" s="200"/>
      <c r="G731" s="32"/>
      <c r="H731" s="32"/>
      <c r="I731" s="50" t="str">
        <f t="shared" si="11"/>
        <v/>
      </c>
    </row>
    <row r="732" spans="1:9">
      <c r="A732" s="275" t="str">
        <f>IF(B732="","",DATE(IF(INT(B732)&gt;=4,予算!$L$1,予算!$L$2),INT(B732),ROUND(MOD(B732,1)*100,0)))</f>
        <v/>
      </c>
      <c r="B732" s="68"/>
      <c r="C732" s="43"/>
      <c r="D732" s="11" t="str">
        <f>IF(C732="","",VLOOKUP(C732,予算!$B$7:$C$66,2))</f>
        <v/>
      </c>
      <c r="E732" s="43"/>
      <c r="F732" s="200"/>
      <c r="G732" s="32"/>
      <c r="H732" s="32"/>
      <c r="I732" s="50" t="str">
        <f t="shared" si="11"/>
        <v/>
      </c>
    </row>
    <row r="733" spans="1:9">
      <c r="A733" s="275" t="str">
        <f>IF(B733="","",DATE(IF(INT(B733)&gt;=4,予算!$L$1,予算!$L$2),INT(B733),ROUND(MOD(B733,1)*100,0)))</f>
        <v/>
      </c>
      <c r="B733" s="68"/>
      <c r="C733" s="43"/>
      <c r="D733" s="11" t="str">
        <f>IF(C733="","",VLOOKUP(C733,予算!$B$7:$C$66,2))</f>
        <v/>
      </c>
      <c r="E733" s="43"/>
      <c r="F733" s="200"/>
      <c r="G733" s="32"/>
      <c r="H733" s="32"/>
      <c r="I733" s="50" t="str">
        <f t="shared" si="11"/>
        <v/>
      </c>
    </row>
    <row r="734" spans="1:9">
      <c r="A734" s="275" t="str">
        <f>IF(B734="","",DATE(IF(INT(B734)&gt;=4,予算!$L$1,予算!$L$2),INT(B734),ROUND(MOD(B734,1)*100,0)))</f>
        <v/>
      </c>
      <c r="B734" s="68"/>
      <c r="C734" s="43"/>
      <c r="D734" s="11" t="str">
        <f>IF(C734="","",VLOOKUP(C734,予算!$B$7:$C$66,2))</f>
        <v/>
      </c>
      <c r="E734" s="43"/>
      <c r="F734" s="200"/>
      <c r="G734" s="32"/>
      <c r="H734" s="32"/>
      <c r="I734" s="50" t="str">
        <f t="shared" si="11"/>
        <v/>
      </c>
    </row>
    <row r="735" spans="1:9">
      <c r="A735" s="275" t="str">
        <f>IF(B735="","",DATE(IF(INT(B735)&gt;=4,予算!$L$1,予算!$L$2),INT(B735),ROUND(MOD(B735,1)*100,0)))</f>
        <v/>
      </c>
      <c r="B735" s="68"/>
      <c r="C735" s="43"/>
      <c r="D735" s="11" t="str">
        <f>IF(C735="","",VLOOKUP(C735,予算!$B$7:$C$66,2))</f>
        <v/>
      </c>
      <c r="E735" s="43"/>
      <c r="F735" s="200"/>
      <c r="G735" s="32"/>
      <c r="H735" s="32"/>
      <c r="I735" s="50" t="str">
        <f t="shared" si="11"/>
        <v/>
      </c>
    </row>
    <row r="736" spans="1:9">
      <c r="A736" s="275" t="str">
        <f>IF(B736="","",DATE(IF(INT(B736)&gt;=4,予算!$L$1,予算!$L$2),INT(B736),ROUND(MOD(B736,1)*100,0)))</f>
        <v/>
      </c>
      <c r="B736" s="68"/>
      <c r="C736" s="43"/>
      <c r="D736" s="11" t="str">
        <f>IF(C736="","",VLOOKUP(C736,予算!$B$7:$C$66,2))</f>
        <v/>
      </c>
      <c r="E736" s="43"/>
      <c r="F736" s="200"/>
      <c r="G736" s="32"/>
      <c r="H736" s="32"/>
      <c r="I736" s="50" t="str">
        <f t="shared" si="11"/>
        <v/>
      </c>
    </row>
    <row r="737" spans="1:9">
      <c r="A737" s="275" t="str">
        <f>IF(B737="","",DATE(IF(INT(B737)&gt;=4,予算!$L$1,予算!$L$2),INT(B737),ROUND(MOD(B737,1)*100,0)))</f>
        <v/>
      </c>
      <c r="B737" s="68"/>
      <c r="C737" s="43"/>
      <c r="D737" s="11" t="str">
        <f>IF(C737="","",VLOOKUP(C737,予算!$B$7:$C$66,2))</f>
        <v/>
      </c>
      <c r="E737" s="43"/>
      <c r="F737" s="200"/>
      <c r="G737" s="32"/>
      <c r="H737" s="32"/>
      <c r="I737" s="50" t="str">
        <f t="shared" si="11"/>
        <v/>
      </c>
    </row>
    <row r="738" spans="1:9">
      <c r="A738" s="275" t="str">
        <f>IF(B738="","",DATE(IF(INT(B738)&gt;=4,予算!$L$1,予算!$L$2),INT(B738),ROUND(MOD(B738,1)*100,0)))</f>
        <v/>
      </c>
      <c r="B738" s="68"/>
      <c r="C738" s="43"/>
      <c r="D738" s="11" t="str">
        <f>IF(C738="","",VLOOKUP(C738,予算!$B$7:$C$66,2))</f>
        <v/>
      </c>
      <c r="E738" s="43"/>
      <c r="F738" s="200"/>
      <c r="G738" s="32"/>
      <c r="H738" s="32"/>
      <c r="I738" s="50" t="str">
        <f t="shared" si="11"/>
        <v/>
      </c>
    </row>
    <row r="739" spans="1:9">
      <c r="A739" s="275" t="str">
        <f>IF(B739="","",DATE(IF(INT(B739)&gt;=4,予算!$L$1,予算!$L$2),INT(B739),ROUND(MOD(B739,1)*100,0)))</f>
        <v/>
      </c>
      <c r="B739" s="68"/>
      <c r="C739" s="43"/>
      <c r="D739" s="11" t="str">
        <f>IF(C739="","",VLOOKUP(C739,予算!$B$7:$C$66,2))</f>
        <v/>
      </c>
      <c r="E739" s="43"/>
      <c r="F739" s="200"/>
      <c r="G739" s="32"/>
      <c r="H739" s="32"/>
      <c r="I739" s="50" t="str">
        <f t="shared" si="11"/>
        <v/>
      </c>
    </row>
    <row r="740" spans="1:9">
      <c r="A740" s="275" t="str">
        <f>IF(B740="","",DATE(IF(INT(B740)&gt;=4,予算!$L$1,予算!$L$2),INT(B740),ROUND(MOD(B740,1)*100,0)))</f>
        <v/>
      </c>
      <c r="B740" s="68"/>
      <c r="C740" s="43"/>
      <c r="D740" s="11" t="str">
        <f>IF(C740="","",VLOOKUP(C740,予算!$B$7:$C$66,2))</f>
        <v/>
      </c>
      <c r="E740" s="43"/>
      <c r="F740" s="200"/>
      <c r="G740" s="32"/>
      <c r="H740" s="32"/>
      <c r="I740" s="50" t="str">
        <f t="shared" si="11"/>
        <v/>
      </c>
    </row>
    <row r="741" spans="1:9">
      <c r="A741" s="275" t="str">
        <f>IF(B741="","",DATE(IF(INT(B741)&gt;=4,予算!$L$1,予算!$L$2),INT(B741),ROUND(MOD(B741,1)*100,0)))</f>
        <v/>
      </c>
      <c r="B741" s="68"/>
      <c r="C741" s="43"/>
      <c r="D741" s="11" t="str">
        <f>IF(C741="","",VLOOKUP(C741,予算!$B$7:$C$66,2))</f>
        <v/>
      </c>
      <c r="E741" s="43"/>
      <c r="F741" s="200"/>
      <c r="G741" s="32"/>
      <c r="H741" s="32"/>
      <c r="I741" s="50" t="str">
        <f t="shared" si="11"/>
        <v/>
      </c>
    </row>
    <row r="742" spans="1:9">
      <c r="A742" s="275" t="str">
        <f>IF(B742="","",DATE(IF(INT(B742)&gt;=4,予算!$L$1,予算!$L$2),INT(B742),ROUND(MOD(B742,1)*100,0)))</f>
        <v/>
      </c>
      <c r="B742" s="68"/>
      <c r="C742" s="43"/>
      <c r="D742" s="11" t="str">
        <f>IF(C742="","",VLOOKUP(C742,予算!$B$7:$C$66,2))</f>
        <v/>
      </c>
      <c r="E742" s="43"/>
      <c r="F742" s="200"/>
      <c r="G742" s="32"/>
      <c r="H742" s="32"/>
      <c r="I742" s="50" t="str">
        <f t="shared" si="11"/>
        <v/>
      </c>
    </row>
    <row r="743" spans="1:9">
      <c r="A743" s="275" t="str">
        <f>IF(B743="","",DATE(IF(INT(B743)&gt;=4,予算!$L$1,予算!$L$2),INT(B743),ROUND(MOD(B743,1)*100,0)))</f>
        <v/>
      </c>
      <c r="B743" s="68"/>
      <c r="C743" s="43"/>
      <c r="D743" s="11" t="str">
        <f>IF(C743="","",VLOOKUP(C743,予算!$B$7:$C$66,2))</f>
        <v/>
      </c>
      <c r="E743" s="43"/>
      <c r="F743" s="200"/>
      <c r="G743" s="32"/>
      <c r="H743" s="32"/>
      <c r="I743" s="50" t="str">
        <f t="shared" si="11"/>
        <v/>
      </c>
    </row>
    <row r="744" spans="1:9">
      <c r="A744" s="275" t="str">
        <f>IF(B744="","",DATE(IF(INT(B744)&gt;=4,予算!$L$1,予算!$L$2),INT(B744),ROUND(MOD(B744,1)*100,0)))</f>
        <v/>
      </c>
      <c r="B744" s="68"/>
      <c r="C744" s="43"/>
      <c r="D744" s="11" t="str">
        <f>IF(C744="","",VLOOKUP(C744,予算!$B$7:$C$66,2))</f>
        <v/>
      </c>
      <c r="E744" s="43"/>
      <c r="F744" s="200"/>
      <c r="G744" s="32"/>
      <c r="H744" s="32"/>
      <c r="I744" s="50" t="str">
        <f t="shared" si="11"/>
        <v/>
      </c>
    </row>
    <row r="745" spans="1:9">
      <c r="A745" s="275" t="str">
        <f>IF(B745="","",DATE(IF(INT(B745)&gt;=4,予算!$L$1,予算!$L$2),INT(B745),ROUND(MOD(B745,1)*100,0)))</f>
        <v/>
      </c>
      <c r="B745" s="68"/>
      <c r="C745" s="43"/>
      <c r="D745" s="11" t="str">
        <f>IF(C745="","",VLOOKUP(C745,予算!$B$7:$C$66,2))</f>
        <v/>
      </c>
      <c r="E745" s="43"/>
      <c r="F745" s="200"/>
      <c r="G745" s="32"/>
      <c r="H745" s="32"/>
      <c r="I745" s="50" t="str">
        <f t="shared" si="11"/>
        <v/>
      </c>
    </row>
    <row r="746" spans="1:9">
      <c r="A746" s="275" t="str">
        <f>IF(B746="","",DATE(IF(INT(B746)&gt;=4,予算!$L$1,予算!$L$2),INT(B746),ROUND(MOD(B746,1)*100,0)))</f>
        <v/>
      </c>
      <c r="B746" s="68"/>
      <c r="C746" s="43"/>
      <c r="D746" s="11" t="str">
        <f>IF(C746="","",VLOOKUP(C746,予算!$B$7:$C$66,2))</f>
        <v/>
      </c>
      <c r="E746" s="43"/>
      <c r="F746" s="200"/>
      <c r="G746" s="32"/>
      <c r="H746" s="32"/>
      <c r="I746" s="50" t="str">
        <f t="shared" si="11"/>
        <v/>
      </c>
    </row>
    <row r="747" spans="1:9">
      <c r="A747" s="275" t="str">
        <f>IF(B747="","",DATE(IF(INT(B747)&gt;=4,予算!$L$1,予算!$L$2),INT(B747),ROUND(MOD(B747,1)*100,0)))</f>
        <v/>
      </c>
      <c r="B747" s="68"/>
      <c r="C747" s="43"/>
      <c r="D747" s="11" t="str">
        <f>IF(C747="","",VLOOKUP(C747,予算!$B$7:$C$66,2))</f>
        <v/>
      </c>
      <c r="E747" s="43"/>
      <c r="F747" s="200"/>
      <c r="G747" s="32"/>
      <c r="H747" s="32"/>
      <c r="I747" s="50" t="str">
        <f t="shared" si="11"/>
        <v/>
      </c>
    </row>
    <row r="748" spans="1:9">
      <c r="A748" s="275" t="str">
        <f>IF(B748="","",DATE(IF(INT(B748)&gt;=4,予算!$L$1,予算!$L$2),INT(B748),ROUND(MOD(B748,1)*100,0)))</f>
        <v/>
      </c>
      <c r="B748" s="68"/>
      <c r="C748" s="43"/>
      <c r="D748" s="11" t="str">
        <f>IF(C748="","",VLOOKUP(C748,予算!$B$7:$C$66,2))</f>
        <v/>
      </c>
      <c r="E748" s="43"/>
      <c r="F748" s="200"/>
      <c r="G748" s="32"/>
      <c r="H748" s="32"/>
      <c r="I748" s="50" t="str">
        <f t="shared" si="11"/>
        <v/>
      </c>
    </row>
    <row r="749" spans="1:9">
      <c r="A749" s="275" t="str">
        <f>IF(B749="","",DATE(IF(INT(B749)&gt;=4,予算!$L$1,予算!$L$2),INT(B749),ROUND(MOD(B749,1)*100,0)))</f>
        <v/>
      </c>
      <c r="B749" s="68"/>
      <c r="C749" s="43"/>
      <c r="D749" s="11" t="str">
        <f>IF(C749="","",VLOOKUP(C749,予算!$B$7:$C$66,2))</f>
        <v/>
      </c>
      <c r="E749" s="43"/>
      <c r="F749" s="200"/>
      <c r="G749" s="32"/>
      <c r="H749" s="32"/>
      <c r="I749" s="50" t="str">
        <f t="shared" si="11"/>
        <v/>
      </c>
    </row>
    <row r="750" spans="1:9">
      <c r="A750" s="275" t="str">
        <f>IF(B750="","",DATE(IF(INT(B750)&gt;=4,予算!$L$1,予算!$L$2),INT(B750),ROUND(MOD(B750,1)*100,0)))</f>
        <v/>
      </c>
      <c r="B750" s="68"/>
      <c r="C750" s="43"/>
      <c r="D750" s="11" t="str">
        <f>IF(C750="","",VLOOKUP(C750,予算!$B$7:$C$66,2))</f>
        <v/>
      </c>
      <c r="E750" s="43"/>
      <c r="F750" s="200"/>
      <c r="G750" s="32"/>
      <c r="H750" s="32"/>
      <c r="I750" s="50" t="str">
        <f t="shared" si="11"/>
        <v/>
      </c>
    </row>
    <row r="751" spans="1:9">
      <c r="A751" s="275" t="str">
        <f>IF(B751="","",DATE(IF(INT(B751)&gt;=4,予算!$L$1,予算!$L$2),INT(B751),ROUND(MOD(B751,1)*100,0)))</f>
        <v/>
      </c>
      <c r="B751" s="68"/>
      <c r="C751" s="43"/>
      <c r="D751" s="11" t="str">
        <f>IF(C751="","",VLOOKUP(C751,予算!$B$7:$C$66,2))</f>
        <v/>
      </c>
      <c r="E751" s="43"/>
      <c r="F751" s="200"/>
      <c r="G751" s="32"/>
      <c r="H751" s="32"/>
      <c r="I751" s="50" t="str">
        <f t="shared" si="11"/>
        <v/>
      </c>
    </row>
    <row r="752" spans="1:9">
      <c r="A752" s="275" t="str">
        <f>IF(B752="","",DATE(IF(INT(B752)&gt;=4,予算!$L$1,予算!$L$2),INT(B752),ROUND(MOD(B752,1)*100,0)))</f>
        <v/>
      </c>
      <c r="B752" s="68"/>
      <c r="C752" s="43"/>
      <c r="D752" s="11" t="str">
        <f>IF(C752="","",VLOOKUP(C752,予算!$B$7:$C$66,2))</f>
        <v/>
      </c>
      <c r="E752" s="43"/>
      <c r="F752" s="200"/>
      <c r="G752" s="32"/>
      <c r="H752" s="32"/>
      <c r="I752" s="50" t="str">
        <f t="shared" si="11"/>
        <v/>
      </c>
    </row>
    <row r="753" spans="1:9">
      <c r="A753" s="275" t="str">
        <f>IF(B753="","",DATE(IF(INT(B753)&gt;=4,予算!$L$1,予算!$L$2),INT(B753),ROUND(MOD(B753,1)*100,0)))</f>
        <v/>
      </c>
      <c r="B753" s="68"/>
      <c r="C753" s="43"/>
      <c r="D753" s="11" t="str">
        <f>IF(C753="","",VLOOKUP(C753,予算!$B$7:$C$66,2))</f>
        <v/>
      </c>
      <c r="E753" s="43"/>
      <c r="F753" s="200"/>
      <c r="G753" s="32"/>
      <c r="H753" s="32"/>
      <c r="I753" s="50" t="str">
        <f t="shared" si="11"/>
        <v/>
      </c>
    </row>
    <row r="754" spans="1:9">
      <c r="A754" s="275" t="str">
        <f>IF(B754="","",DATE(IF(INT(B754)&gt;=4,予算!$L$1,予算!$L$2),INT(B754),ROUND(MOD(B754,1)*100,0)))</f>
        <v/>
      </c>
      <c r="B754" s="68"/>
      <c r="C754" s="43"/>
      <c r="D754" s="11" t="str">
        <f>IF(C754="","",VLOOKUP(C754,予算!$B$7:$C$66,2))</f>
        <v/>
      </c>
      <c r="E754" s="43"/>
      <c r="F754" s="200"/>
      <c r="G754" s="32"/>
      <c r="H754" s="32"/>
      <c r="I754" s="50" t="str">
        <f t="shared" si="11"/>
        <v/>
      </c>
    </row>
    <row r="755" spans="1:9">
      <c r="A755" s="275" t="str">
        <f>IF(B755="","",DATE(IF(INT(B755)&gt;=4,予算!$L$1,予算!$L$2),INT(B755),ROUND(MOD(B755,1)*100,0)))</f>
        <v/>
      </c>
      <c r="B755" s="68"/>
      <c r="C755" s="43"/>
      <c r="D755" s="11" t="str">
        <f>IF(C755="","",VLOOKUP(C755,予算!$B$7:$C$66,2))</f>
        <v/>
      </c>
      <c r="E755" s="43"/>
      <c r="F755" s="200"/>
      <c r="G755" s="32"/>
      <c r="H755" s="32"/>
      <c r="I755" s="50" t="str">
        <f t="shared" si="11"/>
        <v/>
      </c>
    </row>
    <row r="756" spans="1:9">
      <c r="A756" s="275" t="str">
        <f>IF(B756="","",DATE(IF(INT(B756)&gt;=4,予算!$L$1,予算!$L$2),INT(B756),ROUND(MOD(B756,1)*100,0)))</f>
        <v/>
      </c>
      <c r="B756" s="68"/>
      <c r="C756" s="43"/>
      <c r="D756" s="11" t="str">
        <f>IF(C756="","",VLOOKUP(C756,予算!$B$7:$C$66,2))</f>
        <v/>
      </c>
      <c r="E756" s="43"/>
      <c r="F756" s="200"/>
      <c r="G756" s="32"/>
      <c r="H756" s="32"/>
      <c r="I756" s="50" t="str">
        <f t="shared" si="11"/>
        <v/>
      </c>
    </row>
    <row r="757" spans="1:9">
      <c r="A757" s="275" t="str">
        <f>IF(B757="","",DATE(IF(INT(B757)&gt;=4,予算!$L$1,予算!$L$2),INT(B757),ROUND(MOD(B757,1)*100,0)))</f>
        <v/>
      </c>
      <c r="B757" s="68"/>
      <c r="C757" s="43"/>
      <c r="D757" s="11" t="str">
        <f>IF(C757="","",VLOOKUP(C757,予算!$B$7:$C$66,2))</f>
        <v/>
      </c>
      <c r="E757" s="43"/>
      <c r="F757" s="200"/>
      <c r="G757" s="32"/>
      <c r="H757" s="32"/>
      <c r="I757" s="50" t="str">
        <f t="shared" si="11"/>
        <v/>
      </c>
    </row>
    <row r="758" spans="1:9">
      <c r="A758" s="275" t="str">
        <f>IF(B758="","",DATE(IF(INT(B758)&gt;=4,予算!$L$1,予算!$L$2),INT(B758),ROUND(MOD(B758,1)*100,0)))</f>
        <v/>
      </c>
      <c r="B758" s="68"/>
      <c r="C758" s="43"/>
      <c r="D758" s="11" t="str">
        <f>IF(C758="","",VLOOKUP(C758,予算!$B$7:$C$66,2))</f>
        <v/>
      </c>
      <c r="E758" s="43"/>
      <c r="F758" s="200"/>
      <c r="G758" s="32"/>
      <c r="H758" s="32"/>
      <c r="I758" s="50" t="str">
        <f t="shared" si="11"/>
        <v/>
      </c>
    </row>
    <row r="759" spans="1:9">
      <c r="A759" s="275" t="str">
        <f>IF(B759="","",DATE(IF(INT(B759)&gt;=4,予算!$L$1,予算!$L$2),INT(B759),ROUND(MOD(B759,1)*100,0)))</f>
        <v/>
      </c>
      <c r="B759" s="68"/>
      <c r="C759" s="43"/>
      <c r="D759" s="11" t="str">
        <f>IF(C759="","",VLOOKUP(C759,予算!$B$7:$C$66,2))</f>
        <v/>
      </c>
      <c r="E759" s="43"/>
      <c r="F759" s="200"/>
      <c r="G759" s="32"/>
      <c r="H759" s="32"/>
      <c r="I759" s="50" t="str">
        <f t="shared" si="11"/>
        <v/>
      </c>
    </row>
    <row r="760" spans="1:9">
      <c r="A760" s="275" t="str">
        <f>IF(B760="","",DATE(IF(INT(B760)&gt;=4,予算!$L$1,予算!$L$2),INT(B760),ROUND(MOD(B760,1)*100,0)))</f>
        <v/>
      </c>
      <c r="B760" s="68"/>
      <c r="C760" s="43"/>
      <c r="D760" s="11" t="str">
        <f>IF(C760="","",VLOOKUP(C760,予算!$B$7:$C$66,2))</f>
        <v/>
      </c>
      <c r="E760" s="43"/>
      <c r="F760" s="200"/>
      <c r="G760" s="32"/>
      <c r="H760" s="32"/>
      <c r="I760" s="50" t="str">
        <f t="shared" si="11"/>
        <v/>
      </c>
    </row>
    <row r="761" spans="1:9">
      <c r="A761" s="275" t="str">
        <f>IF(B761="","",DATE(IF(INT(B761)&gt;=4,予算!$L$1,予算!$L$2),INT(B761),ROUND(MOD(B761,1)*100,0)))</f>
        <v/>
      </c>
      <c r="B761" s="68"/>
      <c r="C761" s="43"/>
      <c r="D761" s="11" t="str">
        <f>IF(C761="","",VLOOKUP(C761,予算!$B$7:$C$66,2))</f>
        <v/>
      </c>
      <c r="E761" s="43"/>
      <c r="F761" s="200"/>
      <c r="G761" s="32"/>
      <c r="H761" s="32"/>
      <c r="I761" s="50" t="str">
        <f t="shared" si="11"/>
        <v/>
      </c>
    </row>
    <row r="762" spans="1:9">
      <c r="A762" s="275" t="str">
        <f>IF(B762="","",DATE(IF(INT(B762)&gt;=4,予算!$L$1,予算!$L$2),INT(B762),ROUND(MOD(B762,1)*100,0)))</f>
        <v/>
      </c>
      <c r="B762" s="68"/>
      <c r="C762" s="43"/>
      <c r="D762" s="11" t="str">
        <f>IF(C762="","",VLOOKUP(C762,予算!$B$7:$C$66,2))</f>
        <v/>
      </c>
      <c r="E762" s="43"/>
      <c r="F762" s="200"/>
      <c r="G762" s="32"/>
      <c r="H762" s="32"/>
      <c r="I762" s="50" t="str">
        <f t="shared" si="11"/>
        <v/>
      </c>
    </row>
    <row r="763" spans="1:9">
      <c r="A763" s="275" t="str">
        <f>IF(B763="","",DATE(IF(INT(B763)&gt;=4,予算!$L$1,予算!$L$2),INT(B763),ROUND(MOD(B763,1)*100,0)))</f>
        <v/>
      </c>
      <c r="B763" s="68"/>
      <c r="C763" s="43"/>
      <c r="D763" s="11" t="str">
        <f>IF(C763="","",VLOOKUP(C763,予算!$B$7:$C$66,2))</f>
        <v/>
      </c>
      <c r="E763" s="43"/>
      <c r="F763" s="200"/>
      <c r="G763" s="32"/>
      <c r="H763" s="32"/>
      <c r="I763" s="50" t="str">
        <f t="shared" si="11"/>
        <v/>
      </c>
    </row>
    <row r="764" spans="1:9">
      <c r="A764" s="275" t="str">
        <f>IF(B764="","",DATE(IF(INT(B764)&gt;=4,予算!$L$1,予算!$L$2),INT(B764),ROUND(MOD(B764,1)*100,0)))</f>
        <v/>
      </c>
      <c r="B764" s="68"/>
      <c r="C764" s="43"/>
      <c r="D764" s="11" t="str">
        <f>IF(C764="","",VLOOKUP(C764,予算!$B$7:$C$66,2))</f>
        <v/>
      </c>
      <c r="E764" s="43"/>
      <c r="F764" s="200"/>
      <c r="G764" s="32"/>
      <c r="H764" s="32"/>
      <c r="I764" s="50" t="str">
        <f t="shared" si="11"/>
        <v/>
      </c>
    </row>
    <row r="765" spans="1:9">
      <c r="A765" s="275" t="str">
        <f>IF(B765="","",DATE(IF(INT(B765)&gt;=4,予算!$L$1,予算!$L$2),INT(B765),ROUND(MOD(B765,1)*100,0)))</f>
        <v/>
      </c>
      <c r="B765" s="68"/>
      <c r="C765" s="43"/>
      <c r="D765" s="11" t="str">
        <f>IF(C765="","",VLOOKUP(C765,予算!$B$7:$C$66,2))</f>
        <v/>
      </c>
      <c r="E765" s="43"/>
      <c r="F765" s="200"/>
      <c r="G765" s="32"/>
      <c r="H765" s="32"/>
      <c r="I765" s="50" t="str">
        <f t="shared" si="11"/>
        <v/>
      </c>
    </row>
    <row r="766" spans="1:9">
      <c r="A766" s="275" t="str">
        <f>IF(B766="","",DATE(IF(INT(B766)&gt;=4,予算!$L$1,予算!$L$2),INT(B766),ROUND(MOD(B766,1)*100,0)))</f>
        <v/>
      </c>
      <c r="B766" s="68"/>
      <c r="C766" s="43"/>
      <c r="D766" s="11" t="str">
        <f>IF(C766="","",VLOOKUP(C766,予算!$B$7:$C$66,2))</f>
        <v/>
      </c>
      <c r="E766" s="43"/>
      <c r="F766" s="200"/>
      <c r="G766" s="32"/>
      <c r="H766" s="32"/>
      <c r="I766" s="50" t="str">
        <f t="shared" si="11"/>
        <v/>
      </c>
    </row>
    <row r="767" spans="1:9">
      <c r="A767" s="275" t="str">
        <f>IF(B767="","",DATE(IF(INT(B767)&gt;=4,予算!$L$1,予算!$L$2),INT(B767),ROUND(MOD(B767,1)*100,0)))</f>
        <v/>
      </c>
      <c r="B767" s="68"/>
      <c r="C767" s="43"/>
      <c r="D767" s="11" t="str">
        <f>IF(C767="","",VLOOKUP(C767,予算!$B$7:$C$66,2))</f>
        <v/>
      </c>
      <c r="E767" s="43"/>
      <c r="F767" s="200"/>
      <c r="G767" s="32"/>
      <c r="H767" s="32"/>
      <c r="I767" s="50" t="str">
        <f t="shared" si="11"/>
        <v/>
      </c>
    </row>
    <row r="768" spans="1:9">
      <c r="A768" s="275" t="str">
        <f>IF(B768="","",DATE(IF(INT(B768)&gt;=4,予算!$L$1,予算!$L$2),INT(B768),ROUND(MOD(B768,1)*100,0)))</f>
        <v/>
      </c>
      <c r="B768" s="68"/>
      <c r="C768" s="43"/>
      <c r="D768" s="11" t="str">
        <f>IF(C768="","",VLOOKUP(C768,予算!$B$7:$C$66,2))</f>
        <v/>
      </c>
      <c r="E768" s="43"/>
      <c r="F768" s="200"/>
      <c r="G768" s="32"/>
      <c r="H768" s="32"/>
      <c r="I768" s="50" t="str">
        <f t="shared" si="11"/>
        <v/>
      </c>
    </row>
    <row r="769" spans="1:9">
      <c r="A769" s="275" t="str">
        <f>IF(B769="","",DATE(IF(INT(B769)&gt;=4,予算!$L$1,予算!$L$2),INT(B769),ROUND(MOD(B769,1)*100,0)))</f>
        <v/>
      </c>
      <c r="B769" s="68"/>
      <c r="C769" s="43"/>
      <c r="D769" s="11" t="str">
        <f>IF(C769="","",VLOOKUP(C769,予算!$B$7:$C$66,2))</f>
        <v/>
      </c>
      <c r="E769" s="43"/>
      <c r="F769" s="200"/>
      <c r="G769" s="32"/>
      <c r="H769" s="32"/>
      <c r="I769" s="50" t="str">
        <f t="shared" si="11"/>
        <v/>
      </c>
    </row>
    <row r="770" spans="1:9">
      <c r="A770" s="275" t="str">
        <f>IF(B770="","",DATE(IF(INT(B770)&gt;=4,予算!$L$1,予算!$L$2),INT(B770),ROUND(MOD(B770,1)*100,0)))</f>
        <v/>
      </c>
      <c r="B770" s="68"/>
      <c r="C770" s="43"/>
      <c r="D770" s="11" t="str">
        <f>IF(C770="","",VLOOKUP(C770,予算!$B$7:$C$66,2))</f>
        <v/>
      </c>
      <c r="E770" s="43"/>
      <c r="F770" s="200"/>
      <c r="G770" s="32"/>
      <c r="H770" s="32"/>
      <c r="I770" s="50" t="str">
        <f t="shared" si="11"/>
        <v/>
      </c>
    </row>
    <row r="771" spans="1:9">
      <c r="A771" s="275" t="str">
        <f>IF(B771="","",DATE(IF(INT(B771)&gt;=4,予算!$L$1,予算!$L$2),INT(B771),ROUND(MOD(B771,1)*100,0)))</f>
        <v/>
      </c>
      <c r="B771" s="68"/>
      <c r="C771" s="43"/>
      <c r="D771" s="11" t="str">
        <f>IF(C771="","",VLOOKUP(C771,予算!$B$7:$C$66,2))</f>
        <v/>
      </c>
      <c r="E771" s="43"/>
      <c r="F771" s="200"/>
      <c r="G771" s="32"/>
      <c r="H771" s="32"/>
      <c r="I771" s="50" t="str">
        <f t="shared" si="11"/>
        <v/>
      </c>
    </row>
    <row r="772" spans="1:9">
      <c r="A772" s="275" t="str">
        <f>IF(B772="","",DATE(IF(INT(B772)&gt;=4,予算!$L$1,予算!$L$2),INT(B772),ROUND(MOD(B772,1)*100,0)))</f>
        <v/>
      </c>
      <c r="B772" s="68"/>
      <c r="C772" s="43"/>
      <c r="D772" s="11" t="str">
        <f>IF(C772="","",VLOOKUP(C772,予算!$B$7:$C$66,2))</f>
        <v/>
      </c>
      <c r="E772" s="43"/>
      <c r="F772" s="200"/>
      <c r="G772" s="32"/>
      <c r="H772" s="32"/>
      <c r="I772" s="50" t="str">
        <f t="shared" si="11"/>
        <v/>
      </c>
    </row>
    <row r="773" spans="1:9">
      <c r="A773" s="275" t="str">
        <f>IF(B773="","",DATE(IF(INT(B773)&gt;=4,予算!$L$1,予算!$L$2),INT(B773),ROUND(MOD(B773,1)*100,0)))</f>
        <v/>
      </c>
      <c r="B773" s="68"/>
      <c r="C773" s="43"/>
      <c r="D773" s="11" t="str">
        <f>IF(C773="","",VLOOKUP(C773,予算!$B$7:$C$66,2))</f>
        <v/>
      </c>
      <c r="E773" s="43"/>
      <c r="F773" s="200"/>
      <c r="G773" s="32"/>
      <c r="H773" s="32"/>
      <c r="I773" s="50" t="str">
        <f t="shared" si="11"/>
        <v/>
      </c>
    </row>
    <row r="774" spans="1:9">
      <c r="A774" s="275" t="str">
        <f>IF(B774="","",DATE(IF(INT(B774)&gt;=4,予算!$L$1,予算!$L$2),INT(B774),ROUND(MOD(B774,1)*100,0)))</f>
        <v/>
      </c>
      <c r="B774" s="68"/>
      <c r="C774" s="43"/>
      <c r="D774" s="11" t="str">
        <f>IF(C774="","",VLOOKUP(C774,予算!$B$7:$C$66,2))</f>
        <v/>
      </c>
      <c r="E774" s="43"/>
      <c r="F774" s="200"/>
      <c r="G774" s="32"/>
      <c r="H774" s="32"/>
      <c r="I774" s="50" t="str">
        <f t="shared" si="11"/>
        <v/>
      </c>
    </row>
    <row r="775" spans="1:9">
      <c r="A775" s="275" t="str">
        <f>IF(B775="","",DATE(IF(INT(B775)&gt;=4,予算!$L$1,予算!$L$2),INT(B775),ROUND(MOD(B775,1)*100,0)))</f>
        <v/>
      </c>
      <c r="B775" s="68"/>
      <c r="C775" s="43"/>
      <c r="D775" s="11" t="str">
        <f>IF(C775="","",VLOOKUP(C775,予算!$B$7:$C$66,2))</f>
        <v/>
      </c>
      <c r="E775" s="43"/>
      <c r="F775" s="200"/>
      <c r="G775" s="32"/>
      <c r="H775" s="32"/>
      <c r="I775" s="50" t="str">
        <f t="shared" si="11"/>
        <v/>
      </c>
    </row>
    <row r="776" spans="1:9">
      <c r="A776" s="275" t="str">
        <f>IF(B776="","",DATE(IF(INT(B776)&gt;=4,予算!$L$1,予算!$L$2),INT(B776),ROUND(MOD(B776,1)*100,0)))</f>
        <v/>
      </c>
      <c r="B776" s="68"/>
      <c r="C776" s="43"/>
      <c r="D776" s="11" t="str">
        <f>IF(C776="","",VLOOKUP(C776,予算!$B$7:$C$66,2))</f>
        <v/>
      </c>
      <c r="E776" s="43"/>
      <c r="F776" s="200"/>
      <c r="G776" s="32"/>
      <c r="H776" s="32"/>
      <c r="I776" s="50" t="str">
        <f t="shared" si="11"/>
        <v/>
      </c>
    </row>
    <row r="777" spans="1:9">
      <c r="A777" s="275" t="str">
        <f>IF(B777="","",DATE(IF(INT(B777)&gt;=4,予算!$L$1,予算!$L$2),INT(B777),ROUND(MOD(B777,1)*100,0)))</f>
        <v/>
      </c>
      <c r="B777" s="68"/>
      <c r="C777" s="43"/>
      <c r="D777" s="11" t="str">
        <f>IF(C777="","",VLOOKUP(C777,予算!$B$7:$C$66,2))</f>
        <v/>
      </c>
      <c r="E777" s="43"/>
      <c r="F777" s="200"/>
      <c r="G777" s="32"/>
      <c r="H777" s="32"/>
      <c r="I777" s="50" t="str">
        <f t="shared" ref="I777:I840" si="12">IF(C777="","",I776+G777-H777)</f>
        <v/>
      </c>
    </row>
    <row r="778" spans="1:9">
      <c r="A778" s="275" t="str">
        <f>IF(B778="","",DATE(IF(INT(B778)&gt;=4,予算!$L$1,予算!$L$2),INT(B778),ROUND(MOD(B778,1)*100,0)))</f>
        <v/>
      </c>
      <c r="B778" s="68"/>
      <c r="C778" s="43"/>
      <c r="D778" s="11" t="str">
        <f>IF(C778="","",VLOOKUP(C778,予算!$B$7:$C$66,2))</f>
        <v/>
      </c>
      <c r="E778" s="43"/>
      <c r="F778" s="200"/>
      <c r="G778" s="32"/>
      <c r="H778" s="32"/>
      <c r="I778" s="50" t="str">
        <f t="shared" si="12"/>
        <v/>
      </c>
    </row>
    <row r="779" spans="1:9">
      <c r="A779" s="275" t="str">
        <f>IF(B779="","",DATE(IF(INT(B779)&gt;=4,予算!$L$1,予算!$L$2),INT(B779),ROUND(MOD(B779,1)*100,0)))</f>
        <v/>
      </c>
      <c r="B779" s="68"/>
      <c r="C779" s="43"/>
      <c r="D779" s="11" t="str">
        <f>IF(C779="","",VLOOKUP(C779,予算!$B$7:$C$66,2))</f>
        <v/>
      </c>
      <c r="E779" s="43"/>
      <c r="F779" s="200"/>
      <c r="G779" s="32"/>
      <c r="H779" s="32"/>
      <c r="I779" s="50" t="str">
        <f t="shared" si="12"/>
        <v/>
      </c>
    </row>
    <row r="780" spans="1:9">
      <c r="A780" s="275" t="str">
        <f>IF(B780="","",DATE(IF(INT(B780)&gt;=4,予算!$L$1,予算!$L$2),INT(B780),ROUND(MOD(B780,1)*100,0)))</f>
        <v/>
      </c>
      <c r="B780" s="68"/>
      <c r="C780" s="43"/>
      <c r="D780" s="11" t="str">
        <f>IF(C780="","",VLOOKUP(C780,予算!$B$7:$C$66,2))</f>
        <v/>
      </c>
      <c r="E780" s="43"/>
      <c r="F780" s="200"/>
      <c r="G780" s="32"/>
      <c r="H780" s="32"/>
      <c r="I780" s="50" t="str">
        <f t="shared" si="12"/>
        <v/>
      </c>
    </row>
    <row r="781" spans="1:9">
      <c r="A781" s="275" t="str">
        <f>IF(B781="","",DATE(IF(INT(B781)&gt;=4,予算!$L$1,予算!$L$2),INT(B781),ROUND(MOD(B781,1)*100,0)))</f>
        <v/>
      </c>
      <c r="B781" s="68"/>
      <c r="C781" s="43"/>
      <c r="D781" s="11" t="str">
        <f>IF(C781="","",VLOOKUP(C781,予算!$B$7:$C$66,2))</f>
        <v/>
      </c>
      <c r="E781" s="43"/>
      <c r="F781" s="200"/>
      <c r="G781" s="32"/>
      <c r="H781" s="32"/>
      <c r="I781" s="50" t="str">
        <f t="shared" si="12"/>
        <v/>
      </c>
    </row>
    <row r="782" spans="1:9">
      <c r="A782" s="275" t="str">
        <f>IF(B782="","",DATE(IF(INT(B782)&gt;=4,予算!$L$1,予算!$L$2),INT(B782),ROUND(MOD(B782,1)*100,0)))</f>
        <v/>
      </c>
      <c r="B782" s="68"/>
      <c r="C782" s="43"/>
      <c r="D782" s="11" t="str">
        <f>IF(C782="","",VLOOKUP(C782,予算!$B$7:$C$66,2))</f>
        <v/>
      </c>
      <c r="E782" s="43"/>
      <c r="F782" s="200"/>
      <c r="G782" s="32"/>
      <c r="H782" s="32"/>
      <c r="I782" s="50" t="str">
        <f t="shared" si="12"/>
        <v/>
      </c>
    </row>
    <row r="783" spans="1:9">
      <c r="A783" s="275" t="str">
        <f>IF(B783="","",DATE(IF(INT(B783)&gt;=4,予算!$L$1,予算!$L$2),INT(B783),ROUND(MOD(B783,1)*100,0)))</f>
        <v/>
      </c>
      <c r="B783" s="68"/>
      <c r="C783" s="43"/>
      <c r="D783" s="11" t="str">
        <f>IF(C783="","",VLOOKUP(C783,予算!$B$7:$C$66,2))</f>
        <v/>
      </c>
      <c r="E783" s="43"/>
      <c r="F783" s="200"/>
      <c r="G783" s="32"/>
      <c r="H783" s="32"/>
      <c r="I783" s="50" t="str">
        <f t="shared" si="12"/>
        <v/>
      </c>
    </row>
    <row r="784" spans="1:9">
      <c r="A784" s="275" t="str">
        <f>IF(B784="","",DATE(IF(INT(B784)&gt;=4,予算!$L$1,予算!$L$2),INT(B784),ROUND(MOD(B784,1)*100,0)))</f>
        <v/>
      </c>
      <c r="B784" s="68"/>
      <c r="C784" s="43"/>
      <c r="D784" s="11" t="str">
        <f>IF(C784="","",VLOOKUP(C784,予算!$B$7:$C$66,2))</f>
        <v/>
      </c>
      <c r="E784" s="43"/>
      <c r="F784" s="200"/>
      <c r="G784" s="32"/>
      <c r="H784" s="32"/>
      <c r="I784" s="50" t="str">
        <f t="shared" si="12"/>
        <v/>
      </c>
    </row>
    <row r="785" spans="1:9">
      <c r="A785" s="275" t="str">
        <f>IF(B785="","",DATE(IF(INT(B785)&gt;=4,予算!$L$1,予算!$L$2),INT(B785),ROUND(MOD(B785,1)*100,0)))</f>
        <v/>
      </c>
      <c r="B785" s="68"/>
      <c r="C785" s="43"/>
      <c r="D785" s="11" t="str">
        <f>IF(C785="","",VLOOKUP(C785,予算!$B$7:$C$66,2))</f>
        <v/>
      </c>
      <c r="E785" s="43"/>
      <c r="F785" s="200"/>
      <c r="G785" s="32"/>
      <c r="H785" s="32"/>
      <c r="I785" s="50" t="str">
        <f t="shared" si="12"/>
        <v/>
      </c>
    </row>
    <row r="786" spans="1:9">
      <c r="A786" s="275" t="str">
        <f>IF(B786="","",DATE(IF(INT(B786)&gt;=4,予算!$L$1,予算!$L$2),INT(B786),ROUND(MOD(B786,1)*100,0)))</f>
        <v/>
      </c>
      <c r="B786" s="68"/>
      <c r="C786" s="43"/>
      <c r="D786" s="11" t="str">
        <f>IF(C786="","",VLOOKUP(C786,予算!$B$7:$C$66,2))</f>
        <v/>
      </c>
      <c r="E786" s="43"/>
      <c r="F786" s="200"/>
      <c r="G786" s="32"/>
      <c r="H786" s="32"/>
      <c r="I786" s="50" t="str">
        <f t="shared" si="12"/>
        <v/>
      </c>
    </row>
    <row r="787" spans="1:9">
      <c r="A787" s="275" t="str">
        <f>IF(B787="","",DATE(IF(INT(B787)&gt;=4,予算!$L$1,予算!$L$2),INT(B787),ROUND(MOD(B787,1)*100,0)))</f>
        <v/>
      </c>
      <c r="B787" s="68"/>
      <c r="C787" s="43"/>
      <c r="D787" s="11" t="str">
        <f>IF(C787="","",VLOOKUP(C787,予算!$B$7:$C$66,2))</f>
        <v/>
      </c>
      <c r="E787" s="43"/>
      <c r="F787" s="200"/>
      <c r="G787" s="32"/>
      <c r="H787" s="32"/>
      <c r="I787" s="50" t="str">
        <f t="shared" si="12"/>
        <v/>
      </c>
    </row>
    <row r="788" spans="1:9">
      <c r="A788" s="275" t="str">
        <f>IF(B788="","",DATE(IF(INT(B788)&gt;=4,予算!$L$1,予算!$L$2),INT(B788),ROUND(MOD(B788,1)*100,0)))</f>
        <v/>
      </c>
      <c r="B788" s="68"/>
      <c r="C788" s="43"/>
      <c r="D788" s="11" t="str">
        <f>IF(C788="","",VLOOKUP(C788,予算!$B$7:$C$66,2))</f>
        <v/>
      </c>
      <c r="E788" s="43"/>
      <c r="F788" s="200"/>
      <c r="G788" s="32"/>
      <c r="H788" s="32"/>
      <c r="I788" s="50" t="str">
        <f t="shared" si="12"/>
        <v/>
      </c>
    </row>
    <row r="789" spans="1:9">
      <c r="A789" s="275" t="str">
        <f>IF(B789="","",DATE(IF(INT(B789)&gt;=4,予算!$L$1,予算!$L$2),INT(B789),ROUND(MOD(B789,1)*100,0)))</f>
        <v/>
      </c>
      <c r="B789" s="68"/>
      <c r="C789" s="43"/>
      <c r="D789" s="11" t="str">
        <f>IF(C789="","",VLOOKUP(C789,予算!$B$7:$C$66,2))</f>
        <v/>
      </c>
      <c r="E789" s="43"/>
      <c r="F789" s="200"/>
      <c r="G789" s="32"/>
      <c r="H789" s="32"/>
      <c r="I789" s="50" t="str">
        <f t="shared" si="12"/>
        <v/>
      </c>
    </row>
    <row r="790" spans="1:9">
      <c r="A790" s="275" t="str">
        <f>IF(B790="","",DATE(IF(INT(B790)&gt;=4,予算!$L$1,予算!$L$2),INT(B790),ROUND(MOD(B790,1)*100,0)))</f>
        <v/>
      </c>
      <c r="B790" s="68"/>
      <c r="C790" s="43"/>
      <c r="D790" s="11" t="str">
        <f>IF(C790="","",VLOOKUP(C790,予算!$B$7:$C$66,2))</f>
        <v/>
      </c>
      <c r="E790" s="43"/>
      <c r="F790" s="200"/>
      <c r="G790" s="32"/>
      <c r="H790" s="32"/>
      <c r="I790" s="50" t="str">
        <f t="shared" si="12"/>
        <v/>
      </c>
    </row>
    <row r="791" spans="1:9">
      <c r="A791" s="275" t="str">
        <f>IF(B791="","",DATE(IF(INT(B791)&gt;=4,予算!$L$1,予算!$L$2),INT(B791),ROUND(MOD(B791,1)*100,0)))</f>
        <v/>
      </c>
      <c r="B791" s="68"/>
      <c r="C791" s="43"/>
      <c r="D791" s="11" t="str">
        <f>IF(C791="","",VLOOKUP(C791,予算!$B$7:$C$66,2))</f>
        <v/>
      </c>
      <c r="E791" s="43"/>
      <c r="F791" s="200"/>
      <c r="G791" s="32"/>
      <c r="H791" s="32"/>
      <c r="I791" s="50" t="str">
        <f t="shared" si="12"/>
        <v/>
      </c>
    </row>
    <row r="792" spans="1:9">
      <c r="A792" s="275" t="str">
        <f>IF(B792="","",DATE(IF(INT(B792)&gt;=4,予算!$L$1,予算!$L$2),INT(B792),ROUND(MOD(B792,1)*100,0)))</f>
        <v/>
      </c>
      <c r="B792" s="68"/>
      <c r="C792" s="43"/>
      <c r="D792" s="11" t="str">
        <f>IF(C792="","",VLOOKUP(C792,予算!$B$7:$C$66,2))</f>
        <v/>
      </c>
      <c r="E792" s="43"/>
      <c r="F792" s="200"/>
      <c r="G792" s="32"/>
      <c r="H792" s="32"/>
      <c r="I792" s="50" t="str">
        <f t="shared" si="12"/>
        <v/>
      </c>
    </row>
    <row r="793" spans="1:9">
      <c r="A793" s="275" t="str">
        <f>IF(B793="","",DATE(IF(INT(B793)&gt;=4,予算!$L$1,予算!$L$2),INT(B793),ROUND(MOD(B793,1)*100,0)))</f>
        <v/>
      </c>
      <c r="B793" s="68"/>
      <c r="C793" s="43"/>
      <c r="D793" s="11" t="str">
        <f>IF(C793="","",VLOOKUP(C793,予算!$B$7:$C$66,2))</f>
        <v/>
      </c>
      <c r="E793" s="43"/>
      <c r="F793" s="200"/>
      <c r="G793" s="32"/>
      <c r="H793" s="32"/>
      <c r="I793" s="50" t="str">
        <f t="shared" si="12"/>
        <v/>
      </c>
    </row>
    <row r="794" spans="1:9">
      <c r="A794" s="275" t="str">
        <f>IF(B794="","",DATE(IF(INT(B794)&gt;=4,予算!$L$1,予算!$L$2),INT(B794),ROUND(MOD(B794,1)*100,0)))</f>
        <v/>
      </c>
      <c r="B794" s="68"/>
      <c r="C794" s="43"/>
      <c r="D794" s="11" t="str">
        <f>IF(C794="","",VLOOKUP(C794,予算!$B$7:$C$66,2))</f>
        <v/>
      </c>
      <c r="E794" s="43"/>
      <c r="F794" s="200"/>
      <c r="G794" s="32"/>
      <c r="H794" s="32"/>
      <c r="I794" s="50" t="str">
        <f t="shared" si="12"/>
        <v/>
      </c>
    </row>
    <row r="795" spans="1:9">
      <c r="A795" s="275" t="str">
        <f>IF(B795="","",DATE(IF(INT(B795)&gt;=4,予算!$L$1,予算!$L$2),INT(B795),ROUND(MOD(B795,1)*100,0)))</f>
        <v/>
      </c>
      <c r="B795" s="68"/>
      <c r="C795" s="43"/>
      <c r="D795" s="11" t="str">
        <f>IF(C795="","",VLOOKUP(C795,予算!$B$7:$C$66,2))</f>
        <v/>
      </c>
      <c r="E795" s="43"/>
      <c r="F795" s="200"/>
      <c r="G795" s="32"/>
      <c r="H795" s="32"/>
      <c r="I795" s="50" t="str">
        <f t="shared" si="12"/>
        <v/>
      </c>
    </row>
    <row r="796" spans="1:9">
      <c r="A796" s="275" t="str">
        <f>IF(B796="","",DATE(IF(INT(B796)&gt;=4,予算!$L$1,予算!$L$2),INT(B796),ROUND(MOD(B796,1)*100,0)))</f>
        <v/>
      </c>
      <c r="B796" s="68"/>
      <c r="C796" s="43"/>
      <c r="D796" s="11" t="str">
        <f>IF(C796="","",VLOOKUP(C796,予算!$B$7:$C$66,2))</f>
        <v/>
      </c>
      <c r="E796" s="43"/>
      <c r="F796" s="200"/>
      <c r="G796" s="32"/>
      <c r="H796" s="32"/>
      <c r="I796" s="50" t="str">
        <f t="shared" si="12"/>
        <v/>
      </c>
    </row>
    <row r="797" spans="1:9">
      <c r="A797" s="275" t="str">
        <f>IF(B797="","",DATE(IF(INT(B797)&gt;=4,予算!$L$1,予算!$L$2),INT(B797),ROUND(MOD(B797,1)*100,0)))</f>
        <v/>
      </c>
      <c r="B797" s="68"/>
      <c r="C797" s="43"/>
      <c r="D797" s="11" t="str">
        <f>IF(C797="","",VLOOKUP(C797,予算!$B$7:$C$66,2))</f>
        <v/>
      </c>
      <c r="E797" s="43"/>
      <c r="F797" s="200"/>
      <c r="G797" s="32"/>
      <c r="H797" s="32"/>
      <c r="I797" s="50" t="str">
        <f t="shared" si="12"/>
        <v/>
      </c>
    </row>
    <row r="798" spans="1:9">
      <c r="A798" s="275" t="str">
        <f>IF(B798="","",DATE(IF(INT(B798)&gt;=4,予算!$L$1,予算!$L$2),INT(B798),ROUND(MOD(B798,1)*100,0)))</f>
        <v/>
      </c>
      <c r="B798" s="68"/>
      <c r="C798" s="43"/>
      <c r="D798" s="11" t="str">
        <f>IF(C798="","",VLOOKUP(C798,予算!$B$7:$C$66,2))</f>
        <v/>
      </c>
      <c r="E798" s="43"/>
      <c r="F798" s="200"/>
      <c r="G798" s="32"/>
      <c r="H798" s="32"/>
      <c r="I798" s="50" t="str">
        <f t="shared" si="12"/>
        <v/>
      </c>
    </row>
    <row r="799" spans="1:9">
      <c r="A799" s="275" t="str">
        <f>IF(B799="","",DATE(IF(INT(B799)&gt;=4,予算!$L$1,予算!$L$2),INT(B799),ROUND(MOD(B799,1)*100,0)))</f>
        <v/>
      </c>
      <c r="B799" s="68"/>
      <c r="C799" s="43"/>
      <c r="D799" s="11" t="str">
        <f>IF(C799="","",VLOOKUP(C799,予算!$B$7:$C$66,2))</f>
        <v/>
      </c>
      <c r="E799" s="43"/>
      <c r="F799" s="200"/>
      <c r="G799" s="32"/>
      <c r="H799" s="32"/>
      <c r="I799" s="50" t="str">
        <f t="shared" si="12"/>
        <v/>
      </c>
    </row>
    <row r="800" spans="1:9">
      <c r="A800" s="275" t="str">
        <f>IF(B800="","",DATE(IF(INT(B800)&gt;=4,予算!$L$1,予算!$L$2),INT(B800),ROUND(MOD(B800,1)*100,0)))</f>
        <v/>
      </c>
      <c r="B800" s="68"/>
      <c r="C800" s="43"/>
      <c r="D800" s="11" t="str">
        <f>IF(C800="","",VLOOKUP(C800,予算!$B$7:$C$66,2))</f>
        <v/>
      </c>
      <c r="E800" s="43"/>
      <c r="F800" s="200"/>
      <c r="G800" s="32"/>
      <c r="H800" s="32"/>
      <c r="I800" s="50" t="str">
        <f t="shared" si="12"/>
        <v/>
      </c>
    </row>
    <row r="801" spans="1:9">
      <c r="A801" s="275" t="str">
        <f>IF(B801="","",DATE(IF(INT(B801)&gt;=4,予算!$L$1,予算!$L$2),INT(B801),ROUND(MOD(B801,1)*100,0)))</f>
        <v/>
      </c>
      <c r="B801" s="68"/>
      <c r="C801" s="43"/>
      <c r="D801" s="11" t="str">
        <f>IF(C801="","",VLOOKUP(C801,予算!$B$7:$C$66,2))</f>
        <v/>
      </c>
      <c r="E801" s="43"/>
      <c r="F801" s="200"/>
      <c r="G801" s="32"/>
      <c r="H801" s="32"/>
      <c r="I801" s="50" t="str">
        <f t="shared" si="12"/>
        <v/>
      </c>
    </row>
    <row r="802" spans="1:9">
      <c r="A802" s="275" t="str">
        <f>IF(B802="","",DATE(IF(INT(B802)&gt;=4,予算!$L$1,予算!$L$2),INT(B802),ROUND(MOD(B802,1)*100,0)))</f>
        <v/>
      </c>
      <c r="B802" s="68"/>
      <c r="C802" s="43"/>
      <c r="D802" s="11" t="str">
        <f>IF(C802="","",VLOOKUP(C802,予算!$B$7:$C$66,2))</f>
        <v/>
      </c>
      <c r="E802" s="43"/>
      <c r="F802" s="200"/>
      <c r="G802" s="32"/>
      <c r="H802" s="32"/>
      <c r="I802" s="50" t="str">
        <f t="shared" si="12"/>
        <v/>
      </c>
    </row>
    <row r="803" spans="1:9">
      <c r="A803" s="275" t="str">
        <f>IF(B803="","",DATE(IF(INT(B803)&gt;=4,予算!$L$1,予算!$L$2),INT(B803),ROUND(MOD(B803,1)*100,0)))</f>
        <v/>
      </c>
      <c r="B803" s="68"/>
      <c r="C803" s="43"/>
      <c r="D803" s="11" t="str">
        <f>IF(C803="","",VLOOKUP(C803,予算!$B$7:$C$66,2))</f>
        <v/>
      </c>
      <c r="E803" s="43"/>
      <c r="F803" s="200"/>
      <c r="G803" s="32"/>
      <c r="H803" s="32"/>
      <c r="I803" s="50" t="str">
        <f t="shared" si="12"/>
        <v/>
      </c>
    </row>
    <row r="804" spans="1:9">
      <c r="A804" s="275" t="str">
        <f>IF(B804="","",DATE(IF(INT(B804)&gt;=4,予算!$L$1,予算!$L$2),INT(B804),ROUND(MOD(B804,1)*100,0)))</f>
        <v/>
      </c>
      <c r="B804" s="68"/>
      <c r="C804" s="43"/>
      <c r="D804" s="11" t="str">
        <f>IF(C804="","",VLOOKUP(C804,予算!$B$7:$C$66,2))</f>
        <v/>
      </c>
      <c r="E804" s="43"/>
      <c r="F804" s="200"/>
      <c r="G804" s="32"/>
      <c r="H804" s="32"/>
      <c r="I804" s="50" t="str">
        <f t="shared" si="12"/>
        <v/>
      </c>
    </row>
    <row r="805" spans="1:9">
      <c r="A805" s="275" t="str">
        <f>IF(B805="","",DATE(IF(INT(B805)&gt;=4,予算!$L$1,予算!$L$2),INT(B805),ROUND(MOD(B805,1)*100,0)))</f>
        <v/>
      </c>
      <c r="B805" s="68"/>
      <c r="C805" s="43"/>
      <c r="D805" s="11" t="str">
        <f>IF(C805="","",VLOOKUP(C805,予算!$B$7:$C$66,2))</f>
        <v/>
      </c>
      <c r="E805" s="43"/>
      <c r="F805" s="200"/>
      <c r="G805" s="32"/>
      <c r="H805" s="32"/>
      <c r="I805" s="50" t="str">
        <f t="shared" si="12"/>
        <v/>
      </c>
    </row>
    <row r="806" spans="1:9">
      <c r="A806" s="275" t="str">
        <f>IF(B806="","",DATE(IF(INT(B806)&gt;=4,予算!$L$1,予算!$L$2),INT(B806),ROUND(MOD(B806,1)*100,0)))</f>
        <v/>
      </c>
      <c r="B806" s="68"/>
      <c r="C806" s="43"/>
      <c r="D806" s="11" t="str">
        <f>IF(C806="","",VLOOKUP(C806,予算!$B$7:$C$66,2))</f>
        <v/>
      </c>
      <c r="E806" s="43"/>
      <c r="F806" s="200"/>
      <c r="G806" s="32"/>
      <c r="H806" s="32"/>
      <c r="I806" s="50" t="str">
        <f t="shared" si="12"/>
        <v/>
      </c>
    </row>
    <row r="807" spans="1:9">
      <c r="A807" s="275" t="str">
        <f>IF(B807="","",DATE(IF(INT(B807)&gt;=4,予算!$L$1,予算!$L$2),INT(B807),ROUND(MOD(B807,1)*100,0)))</f>
        <v/>
      </c>
      <c r="B807" s="68"/>
      <c r="C807" s="43"/>
      <c r="D807" s="11" t="str">
        <f>IF(C807="","",VLOOKUP(C807,予算!$B$7:$C$66,2))</f>
        <v/>
      </c>
      <c r="E807" s="43"/>
      <c r="F807" s="200"/>
      <c r="G807" s="32"/>
      <c r="H807" s="32"/>
      <c r="I807" s="50" t="str">
        <f t="shared" si="12"/>
        <v/>
      </c>
    </row>
    <row r="808" spans="1:9">
      <c r="A808" s="275" t="str">
        <f>IF(B808="","",DATE(IF(INT(B808)&gt;=4,予算!$L$1,予算!$L$2),INT(B808),ROUND(MOD(B808,1)*100,0)))</f>
        <v/>
      </c>
      <c r="B808" s="68"/>
      <c r="C808" s="43"/>
      <c r="D808" s="11" t="str">
        <f>IF(C808="","",VLOOKUP(C808,予算!$B$7:$C$66,2))</f>
        <v/>
      </c>
      <c r="E808" s="43"/>
      <c r="F808" s="200"/>
      <c r="G808" s="32"/>
      <c r="H808" s="32"/>
      <c r="I808" s="50" t="str">
        <f t="shared" si="12"/>
        <v/>
      </c>
    </row>
    <row r="809" spans="1:9">
      <c r="A809" s="275" t="str">
        <f>IF(B809="","",DATE(IF(INT(B809)&gt;=4,予算!$L$1,予算!$L$2),INT(B809),ROUND(MOD(B809,1)*100,0)))</f>
        <v/>
      </c>
      <c r="B809" s="68"/>
      <c r="C809" s="43"/>
      <c r="D809" s="11" t="str">
        <f>IF(C809="","",VLOOKUP(C809,予算!$B$7:$C$66,2))</f>
        <v/>
      </c>
      <c r="E809" s="43"/>
      <c r="F809" s="200"/>
      <c r="G809" s="32"/>
      <c r="H809" s="32"/>
      <c r="I809" s="50" t="str">
        <f t="shared" si="12"/>
        <v/>
      </c>
    </row>
    <row r="810" spans="1:9">
      <c r="A810" s="275" t="str">
        <f>IF(B810="","",DATE(IF(INT(B810)&gt;=4,予算!$L$1,予算!$L$2),INT(B810),ROUND(MOD(B810,1)*100,0)))</f>
        <v/>
      </c>
      <c r="B810" s="68"/>
      <c r="C810" s="43"/>
      <c r="D810" s="11" t="str">
        <f>IF(C810="","",VLOOKUP(C810,予算!$B$7:$C$66,2))</f>
        <v/>
      </c>
      <c r="E810" s="43"/>
      <c r="F810" s="200"/>
      <c r="G810" s="32"/>
      <c r="H810" s="32"/>
      <c r="I810" s="50" t="str">
        <f t="shared" si="12"/>
        <v/>
      </c>
    </row>
    <row r="811" spans="1:9">
      <c r="A811" s="275" t="str">
        <f>IF(B811="","",DATE(IF(INT(B811)&gt;=4,予算!$L$1,予算!$L$2),INT(B811),ROUND(MOD(B811,1)*100,0)))</f>
        <v/>
      </c>
      <c r="B811" s="68"/>
      <c r="C811" s="43"/>
      <c r="D811" s="11" t="str">
        <f>IF(C811="","",VLOOKUP(C811,予算!$B$7:$C$66,2))</f>
        <v/>
      </c>
      <c r="E811" s="43"/>
      <c r="F811" s="200"/>
      <c r="G811" s="32"/>
      <c r="H811" s="32"/>
      <c r="I811" s="50" t="str">
        <f t="shared" si="12"/>
        <v/>
      </c>
    </row>
    <row r="812" spans="1:9">
      <c r="A812" s="275" t="str">
        <f>IF(B812="","",DATE(IF(INT(B812)&gt;=4,予算!$L$1,予算!$L$2),INT(B812),ROUND(MOD(B812,1)*100,0)))</f>
        <v/>
      </c>
      <c r="B812" s="68"/>
      <c r="C812" s="43"/>
      <c r="D812" s="11" t="str">
        <f>IF(C812="","",VLOOKUP(C812,予算!$B$7:$C$66,2))</f>
        <v/>
      </c>
      <c r="E812" s="43"/>
      <c r="F812" s="200"/>
      <c r="G812" s="32"/>
      <c r="H812" s="32"/>
      <c r="I812" s="50" t="str">
        <f t="shared" si="12"/>
        <v/>
      </c>
    </row>
    <row r="813" spans="1:9">
      <c r="A813" s="275" t="str">
        <f>IF(B813="","",DATE(IF(INT(B813)&gt;=4,予算!$L$1,予算!$L$2),INT(B813),ROUND(MOD(B813,1)*100,0)))</f>
        <v/>
      </c>
      <c r="B813" s="68"/>
      <c r="C813" s="43"/>
      <c r="D813" s="11" t="str">
        <f>IF(C813="","",VLOOKUP(C813,予算!$B$7:$C$66,2))</f>
        <v/>
      </c>
      <c r="E813" s="43"/>
      <c r="F813" s="200"/>
      <c r="G813" s="32"/>
      <c r="H813" s="32"/>
      <c r="I813" s="50" t="str">
        <f t="shared" si="12"/>
        <v/>
      </c>
    </row>
    <row r="814" spans="1:9">
      <c r="A814" s="275" t="str">
        <f>IF(B814="","",DATE(IF(INT(B814)&gt;=4,予算!$L$1,予算!$L$2),INT(B814),ROUND(MOD(B814,1)*100,0)))</f>
        <v/>
      </c>
      <c r="B814" s="68"/>
      <c r="C814" s="43"/>
      <c r="D814" s="11" t="str">
        <f>IF(C814="","",VLOOKUP(C814,予算!$B$7:$C$66,2))</f>
        <v/>
      </c>
      <c r="E814" s="43"/>
      <c r="F814" s="200"/>
      <c r="G814" s="32"/>
      <c r="H814" s="32"/>
      <c r="I814" s="50" t="str">
        <f t="shared" si="12"/>
        <v/>
      </c>
    </row>
    <row r="815" spans="1:9">
      <c r="A815" s="275" t="str">
        <f>IF(B815="","",DATE(IF(INT(B815)&gt;=4,予算!$L$1,予算!$L$2),INT(B815),ROUND(MOD(B815,1)*100,0)))</f>
        <v/>
      </c>
      <c r="B815" s="68"/>
      <c r="C815" s="43"/>
      <c r="D815" s="11" t="str">
        <f>IF(C815="","",VLOOKUP(C815,予算!$B$7:$C$66,2))</f>
        <v/>
      </c>
      <c r="E815" s="43"/>
      <c r="F815" s="200"/>
      <c r="G815" s="32"/>
      <c r="H815" s="32"/>
      <c r="I815" s="50" t="str">
        <f t="shared" si="12"/>
        <v/>
      </c>
    </row>
    <row r="816" spans="1:9">
      <c r="A816" s="275" t="str">
        <f>IF(B816="","",DATE(IF(INT(B816)&gt;=4,予算!$L$1,予算!$L$2),INT(B816),ROUND(MOD(B816,1)*100,0)))</f>
        <v/>
      </c>
      <c r="B816" s="68"/>
      <c r="C816" s="43"/>
      <c r="D816" s="11" t="str">
        <f>IF(C816="","",VLOOKUP(C816,予算!$B$7:$C$66,2))</f>
        <v/>
      </c>
      <c r="E816" s="43"/>
      <c r="F816" s="200"/>
      <c r="G816" s="32"/>
      <c r="H816" s="32"/>
      <c r="I816" s="50" t="str">
        <f t="shared" si="12"/>
        <v/>
      </c>
    </row>
    <row r="817" spans="1:9">
      <c r="A817" s="275" t="str">
        <f>IF(B817="","",DATE(IF(INT(B817)&gt;=4,予算!$L$1,予算!$L$2),INT(B817),ROUND(MOD(B817,1)*100,0)))</f>
        <v/>
      </c>
      <c r="B817" s="68"/>
      <c r="C817" s="43"/>
      <c r="D817" s="11" t="str">
        <f>IF(C817="","",VLOOKUP(C817,予算!$B$7:$C$66,2))</f>
        <v/>
      </c>
      <c r="E817" s="43"/>
      <c r="F817" s="200"/>
      <c r="G817" s="32"/>
      <c r="H817" s="32"/>
      <c r="I817" s="50" t="str">
        <f t="shared" si="12"/>
        <v/>
      </c>
    </row>
    <row r="818" spans="1:9">
      <c r="A818" s="275" t="str">
        <f>IF(B818="","",DATE(IF(INT(B818)&gt;=4,予算!$L$1,予算!$L$2),INT(B818),ROUND(MOD(B818,1)*100,0)))</f>
        <v/>
      </c>
      <c r="B818" s="68"/>
      <c r="C818" s="43"/>
      <c r="D818" s="11" t="str">
        <f>IF(C818="","",VLOOKUP(C818,予算!$B$7:$C$66,2))</f>
        <v/>
      </c>
      <c r="E818" s="43"/>
      <c r="F818" s="200"/>
      <c r="G818" s="32"/>
      <c r="H818" s="32"/>
      <c r="I818" s="50" t="str">
        <f t="shared" si="12"/>
        <v/>
      </c>
    </row>
    <row r="819" spans="1:9">
      <c r="A819" s="275" t="str">
        <f>IF(B819="","",DATE(IF(INT(B819)&gt;=4,予算!$L$1,予算!$L$2),INT(B819),ROUND(MOD(B819,1)*100,0)))</f>
        <v/>
      </c>
      <c r="B819" s="68"/>
      <c r="C819" s="43"/>
      <c r="D819" s="11" t="str">
        <f>IF(C819="","",VLOOKUP(C819,予算!$B$7:$C$66,2))</f>
        <v/>
      </c>
      <c r="E819" s="43"/>
      <c r="F819" s="200"/>
      <c r="G819" s="32"/>
      <c r="H819" s="32"/>
      <c r="I819" s="50" t="str">
        <f t="shared" si="12"/>
        <v/>
      </c>
    </row>
    <row r="820" spans="1:9">
      <c r="A820" s="275" t="str">
        <f>IF(B820="","",DATE(IF(INT(B820)&gt;=4,予算!$L$1,予算!$L$2),INT(B820),ROUND(MOD(B820,1)*100,0)))</f>
        <v/>
      </c>
      <c r="B820" s="68"/>
      <c r="C820" s="43"/>
      <c r="D820" s="11" t="str">
        <f>IF(C820="","",VLOOKUP(C820,予算!$B$7:$C$66,2))</f>
        <v/>
      </c>
      <c r="E820" s="43"/>
      <c r="F820" s="200"/>
      <c r="G820" s="32"/>
      <c r="H820" s="32"/>
      <c r="I820" s="50" t="str">
        <f t="shared" si="12"/>
        <v/>
      </c>
    </row>
    <row r="821" spans="1:9">
      <c r="A821" s="275" t="str">
        <f>IF(B821="","",DATE(IF(INT(B821)&gt;=4,予算!$L$1,予算!$L$2),INT(B821),ROUND(MOD(B821,1)*100,0)))</f>
        <v/>
      </c>
      <c r="B821" s="68"/>
      <c r="C821" s="43"/>
      <c r="D821" s="11" t="str">
        <f>IF(C821="","",VLOOKUP(C821,予算!$B$7:$C$66,2))</f>
        <v/>
      </c>
      <c r="E821" s="43"/>
      <c r="F821" s="200"/>
      <c r="G821" s="32"/>
      <c r="H821" s="32"/>
      <c r="I821" s="50" t="str">
        <f t="shared" si="12"/>
        <v/>
      </c>
    </row>
    <row r="822" spans="1:9">
      <c r="A822" s="275" t="str">
        <f>IF(B822="","",DATE(IF(INT(B822)&gt;=4,予算!$L$1,予算!$L$2),INT(B822),ROUND(MOD(B822,1)*100,0)))</f>
        <v/>
      </c>
      <c r="B822" s="68"/>
      <c r="C822" s="43"/>
      <c r="D822" s="11" t="str">
        <f>IF(C822="","",VLOOKUP(C822,予算!$B$7:$C$66,2))</f>
        <v/>
      </c>
      <c r="E822" s="43"/>
      <c r="F822" s="200"/>
      <c r="G822" s="32"/>
      <c r="H822" s="32"/>
      <c r="I822" s="50" t="str">
        <f t="shared" si="12"/>
        <v/>
      </c>
    </row>
    <row r="823" spans="1:9">
      <c r="A823" s="275" t="str">
        <f>IF(B823="","",DATE(IF(INT(B823)&gt;=4,予算!$L$1,予算!$L$2),INT(B823),ROUND(MOD(B823,1)*100,0)))</f>
        <v/>
      </c>
      <c r="B823" s="68"/>
      <c r="C823" s="43"/>
      <c r="D823" s="11" t="str">
        <f>IF(C823="","",VLOOKUP(C823,予算!$B$7:$C$66,2))</f>
        <v/>
      </c>
      <c r="E823" s="43"/>
      <c r="F823" s="200"/>
      <c r="G823" s="32"/>
      <c r="H823" s="32"/>
      <c r="I823" s="50" t="str">
        <f t="shared" si="12"/>
        <v/>
      </c>
    </row>
    <row r="824" spans="1:9">
      <c r="A824" s="275" t="str">
        <f>IF(B824="","",DATE(IF(INT(B824)&gt;=4,予算!$L$1,予算!$L$2),INT(B824),ROUND(MOD(B824,1)*100,0)))</f>
        <v/>
      </c>
      <c r="B824" s="68"/>
      <c r="C824" s="43"/>
      <c r="D824" s="11" t="str">
        <f>IF(C824="","",VLOOKUP(C824,予算!$B$7:$C$66,2))</f>
        <v/>
      </c>
      <c r="E824" s="43"/>
      <c r="F824" s="200"/>
      <c r="G824" s="32"/>
      <c r="H824" s="32"/>
      <c r="I824" s="50" t="str">
        <f t="shared" si="12"/>
        <v/>
      </c>
    </row>
    <row r="825" spans="1:9">
      <c r="A825" s="275" t="str">
        <f>IF(B825="","",DATE(IF(INT(B825)&gt;=4,予算!$L$1,予算!$L$2),INT(B825),ROUND(MOD(B825,1)*100,0)))</f>
        <v/>
      </c>
      <c r="B825" s="68"/>
      <c r="C825" s="43"/>
      <c r="D825" s="11" t="str">
        <f>IF(C825="","",VLOOKUP(C825,予算!$B$7:$C$66,2))</f>
        <v/>
      </c>
      <c r="E825" s="43"/>
      <c r="F825" s="200"/>
      <c r="G825" s="32"/>
      <c r="H825" s="32"/>
      <c r="I825" s="50" t="str">
        <f t="shared" si="12"/>
        <v/>
      </c>
    </row>
    <row r="826" spans="1:9">
      <c r="A826" s="275" t="str">
        <f>IF(B826="","",DATE(IF(INT(B826)&gt;=4,予算!$L$1,予算!$L$2),INT(B826),ROUND(MOD(B826,1)*100,0)))</f>
        <v/>
      </c>
      <c r="B826" s="68"/>
      <c r="C826" s="43"/>
      <c r="D826" s="11" t="str">
        <f>IF(C826="","",VLOOKUP(C826,予算!$B$7:$C$66,2))</f>
        <v/>
      </c>
      <c r="E826" s="43"/>
      <c r="F826" s="200"/>
      <c r="G826" s="32"/>
      <c r="H826" s="32"/>
      <c r="I826" s="50" t="str">
        <f t="shared" si="12"/>
        <v/>
      </c>
    </row>
    <row r="827" spans="1:9">
      <c r="A827" s="275" t="str">
        <f>IF(B827="","",DATE(IF(INT(B827)&gt;=4,予算!$L$1,予算!$L$2),INT(B827),ROUND(MOD(B827,1)*100,0)))</f>
        <v/>
      </c>
      <c r="B827" s="68"/>
      <c r="C827" s="43"/>
      <c r="D827" s="11" t="str">
        <f>IF(C827="","",VLOOKUP(C827,予算!$B$7:$C$66,2))</f>
        <v/>
      </c>
      <c r="E827" s="43"/>
      <c r="F827" s="200"/>
      <c r="G827" s="32"/>
      <c r="H827" s="32"/>
      <c r="I827" s="50" t="str">
        <f t="shared" si="12"/>
        <v/>
      </c>
    </row>
    <row r="828" spans="1:9">
      <c r="A828" s="275" t="str">
        <f>IF(B828="","",DATE(IF(INT(B828)&gt;=4,予算!$L$1,予算!$L$2),INT(B828),ROUND(MOD(B828,1)*100,0)))</f>
        <v/>
      </c>
      <c r="B828" s="68"/>
      <c r="C828" s="43"/>
      <c r="D828" s="11" t="str">
        <f>IF(C828="","",VLOOKUP(C828,予算!$B$7:$C$66,2))</f>
        <v/>
      </c>
      <c r="E828" s="43"/>
      <c r="F828" s="200"/>
      <c r="G828" s="32"/>
      <c r="H828" s="32"/>
      <c r="I828" s="50" t="str">
        <f t="shared" si="12"/>
        <v/>
      </c>
    </row>
    <row r="829" spans="1:9">
      <c r="A829" s="275" t="str">
        <f>IF(B829="","",DATE(IF(INT(B829)&gt;=4,予算!$L$1,予算!$L$2),INT(B829),ROUND(MOD(B829,1)*100,0)))</f>
        <v/>
      </c>
      <c r="B829" s="68"/>
      <c r="C829" s="43"/>
      <c r="D829" s="11" t="str">
        <f>IF(C829="","",VLOOKUP(C829,予算!$B$7:$C$66,2))</f>
        <v/>
      </c>
      <c r="E829" s="43"/>
      <c r="F829" s="200"/>
      <c r="G829" s="32"/>
      <c r="H829" s="32"/>
      <c r="I829" s="50" t="str">
        <f t="shared" si="12"/>
        <v/>
      </c>
    </row>
    <row r="830" spans="1:9">
      <c r="A830" s="275" t="str">
        <f>IF(B830="","",DATE(IF(INT(B830)&gt;=4,予算!$L$1,予算!$L$2),INT(B830),ROUND(MOD(B830,1)*100,0)))</f>
        <v/>
      </c>
      <c r="B830" s="68"/>
      <c r="C830" s="43"/>
      <c r="D830" s="11" t="str">
        <f>IF(C830="","",VLOOKUP(C830,予算!$B$7:$C$66,2))</f>
        <v/>
      </c>
      <c r="E830" s="43"/>
      <c r="F830" s="200"/>
      <c r="G830" s="32"/>
      <c r="H830" s="32"/>
      <c r="I830" s="50" t="str">
        <f t="shared" si="12"/>
        <v/>
      </c>
    </row>
    <row r="831" spans="1:9">
      <c r="A831" s="275" t="str">
        <f>IF(B831="","",DATE(IF(INT(B831)&gt;=4,予算!$L$1,予算!$L$2),INT(B831),ROUND(MOD(B831,1)*100,0)))</f>
        <v/>
      </c>
      <c r="B831" s="68"/>
      <c r="C831" s="43"/>
      <c r="D831" s="11" t="str">
        <f>IF(C831="","",VLOOKUP(C831,予算!$B$7:$C$66,2))</f>
        <v/>
      </c>
      <c r="E831" s="43"/>
      <c r="F831" s="200"/>
      <c r="G831" s="32"/>
      <c r="H831" s="32"/>
      <c r="I831" s="50" t="str">
        <f t="shared" si="12"/>
        <v/>
      </c>
    </row>
    <row r="832" spans="1:9">
      <c r="A832" s="275" t="str">
        <f>IF(B832="","",DATE(IF(INT(B832)&gt;=4,予算!$L$1,予算!$L$2),INT(B832),ROUND(MOD(B832,1)*100,0)))</f>
        <v/>
      </c>
      <c r="B832" s="68"/>
      <c r="C832" s="43"/>
      <c r="D832" s="11" t="str">
        <f>IF(C832="","",VLOOKUP(C832,予算!$B$7:$C$66,2))</f>
        <v/>
      </c>
      <c r="E832" s="43"/>
      <c r="F832" s="200"/>
      <c r="G832" s="32"/>
      <c r="H832" s="32"/>
      <c r="I832" s="50" t="str">
        <f t="shared" si="12"/>
        <v/>
      </c>
    </row>
    <row r="833" spans="1:9">
      <c r="A833" s="275" t="str">
        <f>IF(B833="","",DATE(IF(INT(B833)&gt;=4,予算!$L$1,予算!$L$2),INT(B833),ROUND(MOD(B833,1)*100,0)))</f>
        <v/>
      </c>
      <c r="B833" s="68"/>
      <c r="C833" s="43"/>
      <c r="D833" s="11" t="str">
        <f>IF(C833="","",VLOOKUP(C833,予算!$B$7:$C$66,2))</f>
        <v/>
      </c>
      <c r="E833" s="43"/>
      <c r="F833" s="200"/>
      <c r="G833" s="32"/>
      <c r="H833" s="32"/>
      <c r="I833" s="50" t="str">
        <f t="shared" si="12"/>
        <v/>
      </c>
    </row>
    <row r="834" spans="1:9">
      <c r="A834" s="275" t="str">
        <f>IF(B834="","",DATE(IF(INT(B834)&gt;=4,予算!$L$1,予算!$L$2),INT(B834),ROUND(MOD(B834,1)*100,0)))</f>
        <v/>
      </c>
      <c r="B834" s="68"/>
      <c r="C834" s="43"/>
      <c r="D834" s="11" t="str">
        <f>IF(C834="","",VLOOKUP(C834,予算!$B$7:$C$66,2))</f>
        <v/>
      </c>
      <c r="E834" s="43"/>
      <c r="F834" s="200"/>
      <c r="G834" s="32"/>
      <c r="H834" s="32"/>
      <c r="I834" s="50" t="str">
        <f t="shared" si="12"/>
        <v/>
      </c>
    </row>
    <row r="835" spans="1:9">
      <c r="A835" s="275" t="str">
        <f>IF(B835="","",DATE(IF(INT(B835)&gt;=4,予算!$L$1,予算!$L$2),INT(B835),ROUND(MOD(B835,1)*100,0)))</f>
        <v/>
      </c>
      <c r="B835" s="68"/>
      <c r="C835" s="43"/>
      <c r="D835" s="11" t="str">
        <f>IF(C835="","",VLOOKUP(C835,予算!$B$7:$C$66,2))</f>
        <v/>
      </c>
      <c r="E835" s="43"/>
      <c r="F835" s="200"/>
      <c r="G835" s="32"/>
      <c r="H835" s="32"/>
      <c r="I835" s="50" t="str">
        <f t="shared" si="12"/>
        <v/>
      </c>
    </row>
    <row r="836" spans="1:9">
      <c r="A836" s="275" t="str">
        <f>IF(B836="","",DATE(IF(INT(B836)&gt;=4,予算!$L$1,予算!$L$2),INT(B836),ROUND(MOD(B836,1)*100,0)))</f>
        <v/>
      </c>
      <c r="B836" s="68"/>
      <c r="C836" s="43"/>
      <c r="D836" s="11" t="str">
        <f>IF(C836="","",VLOOKUP(C836,予算!$B$7:$C$66,2))</f>
        <v/>
      </c>
      <c r="E836" s="43"/>
      <c r="F836" s="200"/>
      <c r="G836" s="32"/>
      <c r="H836" s="32"/>
      <c r="I836" s="50" t="str">
        <f t="shared" si="12"/>
        <v/>
      </c>
    </row>
    <row r="837" spans="1:9">
      <c r="A837" s="275" t="str">
        <f>IF(B837="","",DATE(IF(INT(B837)&gt;=4,予算!$L$1,予算!$L$2),INT(B837),ROUND(MOD(B837,1)*100,0)))</f>
        <v/>
      </c>
      <c r="B837" s="68"/>
      <c r="C837" s="43"/>
      <c r="D837" s="11" t="str">
        <f>IF(C837="","",VLOOKUP(C837,予算!$B$7:$C$66,2))</f>
        <v/>
      </c>
      <c r="E837" s="43"/>
      <c r="F837" s="200"/>
      <c r="G837" s="32"/>
      <c r="H837" s="32"/>
      <c r="I837" s="50" t="str">
        <f t="shared" si="12"/>
        <v/>
      </c>
    </row>
    <row r="838" spans="1:9">
      <c r="A838" s="275" t="str">
        <f>IF(B838="","",DATE(IF(INT(B838)&gt;=4,予算!$L$1,予算!$L$2),INT(B838),ROUND(MOD(B838,1)*100,0)))</f>
        <v/>
      </c>
      <c r="B838" s="68"/>
      <c r="C838" s="43"/>
      <c r="D838" s="11" t="str">
        <f>IF(C838="","",VLOOKUP(C838,予算!$B$7:$C$66,2))</f>
        <v/>
      </c>
      <c r="E838" s="43"/>
      <c r="F838" s="200"/>
      <c r="G838" s="32"/>
      <c r="H838" s="32"/>
      <c r="I838" s="50" t="str">
        <f t="shared" si="12"/>
        <v/>
      </c>
    </row>
    <row r="839" spans="1:9">
      <c r="A839" s="275" t="str">
        <f>IF(B839="","",DATE(IF(INT(B839)&gt;=4,予算!$L$1,予算!$L$2),INT(B839),ROUND(MOD(B839,1)*100,0)))</f>
        <v/>
      </c>
      <c r="B839" s="68"/>
      <c r="C839" s="43"/>
      <c r="D839" s="11" t="str">
        <f>IF(C839="","",VLOOKUP(C839,予算!$B$7:$C$66,2))</f>
        <v/>
      </c>
      <c r="E839" s="43"/>
      <c r="F839" s="200"/>
      <c r="G839" s="32"/>
      <c r="H839" s="32"/>
      <c r="I839" s="50" t="str">
        <f t="shared" si="12"/>
        <v/>
      </c>
    </row>
    <row r="840" spans="1:9">
      <c r="A840" s="275" t="str">
        <f>IF(B840="","",DATE(IF(INT(B840)&gt;=4,予算!$L$1,予算!$L$2),INT(B840),ROUND(MOD(B840,1)*100,0)))</f>
        <v/>
      </c>
      <c r="B840" s="68"/>
      <c r="C840" s="43"/>
      <c r="D840" s="11" t="str">
        <f>IF(C840="","",VLOOKUP(C840,予算!$B$7:$C$66,2))</f>
        <v/>
      </c>
      <c r="E840" s="43"/>
      <c r="F840" s="200"/>
      <c r="G840" s="32"/>
      <c r="H840" s="32"/>
      <c r="I840" s="50" t="str">
        <f t="shared" si="12"/>
        <v/>
      </c>
    </row>
    <row r="841" spans="1:9">
      <c r="A841" s="275" t="str">
        <f>IF(B841="","",DATE(IF(INT(B841)&gt;=4,予算!$L$1,予算!$L$2),INT(B841),ROUND(MOD(B841,1)*100,0)))</f>
        <v/>
      </c>
      <c r="B841" s="68"/>
      <c r="C841" s="43"/>
      <c r="D841" s="11" t="str">
        <f>IF(C841="","",VLOOKUP(C841,予算!$B$7:$C$66,2))</f>
        <v/>
      </c>
      <c r="E841" s="43"/>
      <c r="F841" s="200"/>
      <c r="G841" s="32"/>
      <c r="H841" s="32"/>
      <c r="I841" s="50" t="str">
        <f t="shared" ref="I841:I904" si="13">IF(C841="","",I840+G841-H841)</f>
        <v/>
      </c>
    </row>
    <row r="842" spans="1:9">
      <c r="A842" s="275" t="str">
        <f>IF(B842="","",DATE(IF(INT(B842)&gt;=4,予算!$L$1,予算!$L$2),INT(B842),ROUND(MOD(B842,1)*100,0)))</f>
        <v/>
      </c>
      <c r="B842" s="68"/>
      <c r="C842" s="43"/>
      <c r="D842" s="11" t="str">
        <f>IF(C842="","",VLOOKUP(C842,予算!$B$7:$C$66,2))</f>
        <v/>
      </c>
      <c r="E842" s="43"/>
      <c r="F842" s="200"/>
      <c r="G842" s="32"/>
      <c r="H842" s="32"/>
      <c r="I842" s="50" t="str">
        <f t="shared" si="13"/>
        <v/>
      </c>
    </row>
    <row r="843" spans="1:9">
      <c r="A843" s="275" t="str">
        <f>IF(B843="","",DATE(IF(INT(B843)&gt;=4,予算!$L$1,予算!$L$2),INT(B843),ROUND(MOD(B843,1)*100,0)))</f>
        <v/>
      </c>
      <c r="B843" s="68"/>
      <c r="C843" s="43"/>
      <c r="D843" s="11" t="str">
        <f>IF(C843="","",VLOOKUP(C843,予算!$B$7:$C$66,2))</f>
        <v/>
      </c>
      <c r="E843" s="43"/>
      <c r="F843" s="200"/>
      <c r="G843" s="32"/>
      <c r="H843" s="32"/>
      <c r="I843" s="50" t="str">
        <f t="shared" si="13"/>
        <v/>
      </c>
    </row>
    <row r="844" spans="1:9">
      <c r="A844" s="275" t="str">
        <f>IF(B844="","",DATE(IF(INT(B844)&gt;=4,予算!$L$1,予算!$L$2),INT(B844),ROUND(MOD(B844,1)*100,0)))</f>
        <v/>
      </c>
      <c r="B844" s="68"/>
      <c r="C844" s="43"/>
      <c r="D844" s="11" t="str">
        <f>IF(C844="","",VLOOKUP(C844,予算!$B$7:$C$66,2))</f>
        <v/>
      </c>
      <c r="E844" s="43"/>
      <c r="F844" s="200"/>
      <c r="G844" s="32"/>
      <c r="H844" s="32"/>
      <c r="I844" s="50" t="str">
        <f t="shared" si="13"/>
        <v/>
      </c>
    </row>
    <row r="845" spans="1:9">
      <c r="A845" s="275" t="str">
        <f>IF(B845="","",DATE(IF(INT(B845)&gt;=4,予算!$L$1,予算!$L$2),INT(B845),ROUND(MOD(B845,1)*100,0)))</f>
        <v/>
      </c>
      <c r="B845" s="68"/>
      <c r="C845" s="43"/>
      <c r="D845" s="11" t="str">
        <f>IF(C845="","",VLOOKUP(C845,予算!$B$7:$C$66,2))</f>
        <v/>
      </c>
      <c r="E845" s="43"/>
      <c r="F845" s="200"/>
      <c r="G845" s="32"/>
      <c r="H845" s="32"/>
      <c r="I845" s="50" t="str">
        <f t="shared" si="13"/>
        <v/>
      </c>
    </row>
    <row r="846" spans="1:9">
      <c r="A846" s="275" t="str">
        <f>IF(B846="","",DATE(IF(INT(B846)&gt;=4,予算!$L$1,予算!$L$2),INT(B846),ROUND(MOD(B846,1)*100,0)))</f>
        <v/>
      </c>
      <c r="B846" s="68"/>
      <c r="C846" s="43"/>
      <c r="D846" s="11" t="str">
        <f>IF(C846="","",VLOOKUP(C846,予算!$B$7:$C$66,2))</f>
        <v/>
      </c>
      <c r="E846" s="43"/>
      <c r="F846" s="200"/>
      <c r="G846" s="32"/>
      <c r="H846" s="32"/>
      <c r="I846" s="50" t="str">
        <f t="shared" si="13"/>
        <v/>
      </c>
    </row>
    <row r="847" spans="1:9">
      <c r="A847" s="275" t="str">
        <f>IF(B847="","",DATE(IF(INT(B847)&gt;=4,予算!$L$1,予算!$L$2),INT(B847),ROUND(MOD(B847,1)*100,0)))</f>
        <v/>
      </c>
      <c r="B847" s="68"/>
      <c r="C847" s="43"/>
      <c r="D847" s="11" t="str">
        <f>IF(C847="","",VLOOKUP(C847,予算!$B$7:$C$66,2))</f>
        <v/>
      </c>
      <c r="E847" s="43"/>
      <c r="F847" s="200"/>
      <c r="G847" s="32"/>
      <c r="H847" s="32"/>
      <c r="I847" s="50" t="str">
        <f t="shared" si="13"/>
        <v/>
      </c>
    </row>
    <row r="848" spans="1:9">
      <c r="A848" s="275" t="str">
        <f>IF(B848="","",DATE(IF(INT(B848)&gt;=4,予算!$L$1,予算!$L$2),INT(B848),ROUND(MOD(B848,1)*100,0)))</f>
        <v/>
      </c>
      <c r="B848" s="68"/>
      <c r="C848" s="43"/>
      <c r="D848" s="11" t="str">
        <f>IF(C848="","",VLOOKUP(C848,予算!$B$7:$C$66,2))</f>
        <v/>
      </c>
      <c r="E848" s="43"/>
      <c r="F848" s="200"/>
      <c r="G848" s="32"/>
      <c r="H848" s="32"/>
      <c r="I848" s="50" t="str">
        <f t="shared" si="13"/>
        <v/>
      </c>
    </row>
    <row r="849" spans="1:9">
      <c r="A849" s="275" t="str">
        <f>IF(B849="","",DATE(IF(INT(B849)&gt;=4,予算!$L$1,予算!$L$2),INT(B849),ROUND(MOD(B849,1)*100,0)))</f>
        <v/>
      </c>
      <c r="B849" s="68"/>
      <c r="C849" s="43"/>
      <c r="D849" s="11" t="str">
        <f>IF(C849="","",VLOOKUP(C849,予算!$B$7:$C$66,2))</f>
        <v/>
      </c>
      <c r="E849" s="43"/>
      <c r="F849" s="200"/>
      <c r="G849" s="32"/>
      <c r="H849" s="32"/>
      <c r="I849" s="50" t="str">
        <f t="shared" si="13"/>
        <v/>
      </c>
    </row>
    <row r="850" spans="1:9">
      <c r="A850" s="275" t="str">
        <f>IF(B850="","",DATE(IF(INT(B850)&gt;=4,予算!$L$1,予算!$L$2),INT(B850),ROUND(MOD(B850,1)*100,0)))</f>
        <v/>
      </c>
      <c r="B850" s="68"/>
      <c r="C850" s="43"/>
      <c r="D850" s="11" t="str">
        <f>IF(C850="","",VLOOKUP(C850,予算!$B$7:$C$66,2))</f>
        <v/>
      </c>
      <c r="E850" s="43"/>
      <c r="F850" s="200"/>
      <c r="G850" s="32"/>
      <c r="H850" s="32"/>
      <c r="I850" s="50" t="str">
        <f t="shared" si="13"/>
        <v/>
      </c>
    </row>
    <row r="851" spans="1:9">
      <c r="A851" s="275" t="str">
        <f>IF(B851="","",DATE(IF(INT(B851)&gt;=4,予算!$L$1,予算!$L$2),INT(B851),ROUND(MOD(B851,1)*100,0)))</f>
        <v/>
      </c>
      <c r="B851" s="68"/>
      <c r="C851" s="43"/>
      <c r="D851" s="11" t="str">
        <f>IF(C851="","",VLOOKUP(C851,予算!$B$7:$C$66,2))</f>
        <v/>
      </c>
      <c r="E851" s="43"/>
      <c r="F851" s="200"/>
      <c r="G851" s="32"/>
      <c r="H851" s="32"/>
      <c r="I851" s="50" t="str">
        <f t="shared" si="13"/>
        <v/>
      </c>
    </row>
    <row r="852" spans="1:9">
      <c r="A852" s="275" t="str">
        <f>IF(B852="","",DATE(IF(INT(B852)&gt;=4,予算!$L$1,予算!$L$2),INT(B852),ROUND(MOD(B852,1)*100,0)))</f>
        <v/>
      </c>
      <c r="B852" s="68"/>
      <c r="C852" s="43"/>
      <c r="D852" s="11" t="str">
        <f>IF(C852="","",VLOOKUP(C852,予算!$B$7:$C$66,2))</f>
        <v/>
      </c>
      <c r="E852" s="43"/>
      <c r="F852" s="200"/>
      <c r="G852" s="32"/>
      <c r="H852" s="32"/>
      <c r="I852" s="50" t="str">
        <f t="shared" si="13"/>
        <v/>
      </c>
    </row>
    <row r="853" spans="1:9">
      <c r="A853" s="275" t="str">
        <f>IF(B853="","",DATE(IF(INT(B853)&gt;=4,予算!$L$1,予算!$L$2),INT(B853),ROUND(MOD(B853,1)*100,0)))</f>
        <v/>
      </c>
      <c r="B853" s="68"/>
      <c r="C853" s="43"/>
      <c r="D853" s="11" t="str">
        <f>IF(C853="","",VLOOKUP(C853,予算!$B$7:$C$66,2))</f>
        <v/>
      </c>
      <c r="E853" s="43"/>
      <c r="F853" s="200"/>
      <c r="G853" s="32"/>
      <c r="H853" s="32"/>
      <c r="I853" s="50" t="str">
        <f t="shared" si="13"/>
        <v/>
      </c>
    </row>
    <row r="854" spans="1:9">
      <c r="A854" s="275" t="str">
        <f>IF(B854="","",DATE(IF(INT(B854)&gt;=4,予算!$L$1,予算!$L$2),INT(B854),ROUND(MOD(B854,1)*100,0)))</f>
        <v/>
      </c>
      <c r="B854" s="68"/>
      <c r="C854" s="43"/>
      <c r="D854" s="11" t="str">
        <f>IF(C854="","",VLOOKUP(C854,予算!$B$7:$C$66,2))</f>
        <v/>
      </c>
      <c r="E854" s="43"/>
      <c r="F854" s="200"/>
      <c r="G854" s="32"/>
      <c r="H854" s="32"/>
      <c r="I854" s="50" t="str">
        <f t="shared" si="13"/>
        <v/>
      </c>
    </row>
    <row r="855" spans="1:9">
      <c r="A855" s="275" t="str">
        <f>IF(B855="","",DATE(IF(INT(B855)&gt;=4,予算!$L$1,予算!$L$2),INT(B855),ROUND(MOD(B855,1)*100,0)))</f>
        <v/>
      </c>
      <c r="B855" s="68"/>
      <c r="C855" s="43"/>
      <c r="D855" s="11" t="str">
        <f>IF(C855="","",VLOOKUP(C855,予算!$B$7:$C$66,2))</f>
        <v/>
      </c>
      <c r="E855" s="43"/>
      <c r="F855" s="200"/>
      <c r="G855" s="32"/>
      <c r="H855" s="32"/>
      <c r="I855" s="50" t="str">
        <f t="shared" si="13"/>
        <v/>
      </c>
    </row>
    <row r="856" spans="1:9">
      <c r="A856" s="275" t="str">
        <f>IF(B856="","",DATE(IF(INT(B856)&gt;=4,予算!$L$1,予算!$L$2),INT(B856),ROUND(MOD(B856,1)*100,0)))</f>
        <v/>
      </c>
      <c r="B856" s="68"/>
      <c r="C856" s="43"/>
      <c r="D856" s="11" t="str">
        <f>IF(C856="","",VLOOKUP(C856,予算!$B$7:$C$66,2))</f>
        <v/>
      </c>
      <c r="E856" s="43"/>
      <c r="F856" s="200"/>
      <c r="G856" s="32"/>
      <c r="H856" s="32"/>
      <c r="I856" s="50" t="str">
        <f t="shared" si="13"/>
        <v/>
      </c>
    </row>
    <row r="857" spans="1:9">
      <c r="A857" s="275" t="str">
        <f>IF(B857="","",DATE(IF(INT(B857)&gt;=4,予算!$L$1,予算!$L$2),INT(B857),ROUND(MOD(B857,1)*100,0)))</f>
        <v/>
      </c>
      <c r="B857" s="68"/>
      <c r="C857" s="43"/>
      <c r="D857" s="11" t="str">
        <f>IF(C857="","",VLOOKUP(C857,予算!$B$7:$C$66,2))</f>
        <v/>
      </c>
      <c r="E857" s="43"/>
      <c r="F857" s="200"/>
      <c r="G857" s="32"/>
      <c r="H857" s="32"/>
      <c r="I857" s="50" t="str">
        <f t="shared" si="13"/>
        <v/>
      </c>
    </row>
    <row r="858" spans="1:9">
      <c r="A858" s="275" t="str">
        <f>IF(B858="","",DATE(IF(INT(B858)&gt;=4,予算!$L$1,予算!$L$2),INT(B858),ROUND(MOD(B858,1)*100,0)))</f>
        <v/>
      </c>
      <c r="B858" s="68"/>
      <c r="C858" s="43"/>
      <c r="D858" s="11" t="str">
        <f>IF(C858="","",VLOOKUP(C858,予算!$B$7:$C$66,2))</f>
        <v/>
      </c>
      <c r="E858" s="43"/>
      <c r="F858" s="200"/>
      <c r="G858" s="32"/>
      <c r="H858" s="32"/>
      <c r="I858" s="50" t="str">
        <f t="shared" si="13"/>
        <v/>
      </c>
    </row>
    <row r="859" spans="1:9">
      <c r="A859" s="275" t="str">
        <f>IF(B859="","",DATE(IF(INT(B859)&gt;=4,予算!$L$1,予算!$L$2),INT(B859),ROUND(MOD(B859,1)*100,0)))</f>
        <v/>
      </c>
      <c r="B859" s="68"/>
      <c r="C859" s="43"/>
      <c r="D859" s="11" t="str">
        <f>IF(C859="","",VLOOKUP(C859,予算!$B$7:$C$66,2))</f>
        <v/>
      </c>
      <c r="E859" s="43"/>
      <c r="F859" s="200"/>
      <c r="G859" s="32"/>
      <c r="H859" s="32"/>
      <c r="I859" s="50" t="str">
        <f t="shared" si="13"/>
        <v/>
      </c>
    </row>
    <row r="860" spans="1:9">
      <c r="A860" s="275" t="str">
        <f>IF(B860="","",DATE(IF(INT(B860)&gt;=4,予算!$L$1,予算!$L$2),INT(B860),ROUND(MOD(B860,1)*100,0)))</f>
        <v/>
      </c>
      <c r="B860" s="68"/>
      <c r="C860" s="43"/>
      <c r="D860" s="11" t="str">
        <f>IF(C860="","",VLOOKUP(C860,予算!$B$7:$C$66,2))</f>
        <v/>
      </c>
      <c r="E860" s="43"/>
      <c r="F860" s="200"/>
      <c r="G860" s="32"/>
      <c r="H860" s="32"/>
      <c r="I860" s="50" t="str">
        <f t="shared" si="13"/>
        <v/>
      </c>
    </row>
    <row r="861" spans="1:9">
      <c r="A861" s="275" t="str">
        <f>IF(B861="","",DATE(IF(INT(B861)&gt;=4,予算!$L$1,予算!$L$2),INT(B861),ROUND(MOD(B861,1)*100,0)))</f>
        <v/>
      </c>
      <c r="B861" s="68"/>
      <c r="C861" s="43"/>
      <c r="D861" s="11" t="str">
        <f>IF(C861="","",VLOOKUP(C861,予算!$B$7:$C$66,2))</f>
        <v/>
      </c>
      <c r="E861" s="43"/>
      <c r="F861" s="200"/>
      <c r="G861" s="32"/>
      <c r="H861" s="32"/>
      <c r="I861" s="50" t="str">
        <f t="shared" si="13"/>
        <v/>
      </c>
    </row>
    <row r="862" spans="1:9">
      <c r="A862" s="275" t="str">
        <f>IF(B862="","",DATE(IF(INT(B862)&gt;=4,予算!$L$1,予算!$L$2),INT(B862),ROUND(MOD(B862,1)*100,0)))</f>
        <v/>
      </c>
      <c r="B862" s="68"/>
      <c r="C862" s="43"/>
      <c r="D862" s="11" t="str">
        <f>IF(C862="","",VLOOKUP(C862,予算!$B$7:$C$66,2))</f>
        <v/>
      </c>
      <c r="E862" s="43"/>
      <c r="F862" s="200"/>
      <c r="G862" s="32"/>
      <c r="H862" s="32"/>
      <c r="I862" s="50" t="str">
        <f t="shared" si="13"/>
        <v/>
      </c>
    </row>
    <row r="863" spans="1:9">
      <c r="A863" s="275" t="str">
        <f>IF(B863="","",DATE(IF(INT(B863)&gt;=4,予算!$L$1,予算!$L$2),INT(B863),ROUND(MOD(B863,1)*100,0)))</f>
        <v/>
      </c>
      <c r="B863" s="68"/>
      <c r="C863" s="43"/>
      <c r="D863" s="11" t="str">
        <f>IF(C863="","",VLOOKUP(C863,予算!$B$7:$C$66,2))</f>
        <v/>
      </c>
      <c r="E863" s="43"/>
      <c r="F863" s="200"/>
      <c r="G863" s="32"/>
      <c r="H863" s="32"/>
      <c r="I863" s="50" t="str">
        <f t="shared" si="13"/>
        <v/>
      </c>
    </row>
    <row r="864" spans="1:9">
      <c r="A864" s="275" t="str">
        <f>IF(B864="","",DATE(IF(INT(B864)&gt;=4,予算!$L$1,予算!$L$2),INT(B864),ROUND(MOD(B864,1)*100,0)))</f>
        <v/>
      </c>
      <c r="B864" s="68"/>
      <c r="C864" s="43"/>
      <c r="D864" s="11" t="str">
        <f>IF(C864="","",VLOOKUP(C864,予算!$B$7:$C$66,2))</f>
        <v/>
      </c>
      <c r="E864" s="43"/>
      <c r="F864" s="200"/>
      <c r="G864" s="32"/>
      <c r="H864" s="32"/>
      <c r="I864" s="50" t="str">
        <f t="shared" si="13"/>
        <v/>
      </c>
    </row>
    <row r="865" spans="1:9">
      <c r="A865" s="275" t="str">
        <f>IF(B865="","",DATE(IF(INT(B865)&gt;=4,予算!$L$1,予算!$L$2),INT(B865),ROUND(MOD(B865,1)*100,0)))</f>
        <v/>
      </c>
      <c r="B865" s="68"/>
      <c r="C865" s="43"/>
      <c r="D865" s="11" t="str">
        <f>IF(C865="","",VLOOKUP(C865,予算!$B$7:$C$66,2))</f>
        <v/>
      </c>
      <c r="E865" s="43"/>
      <c r="F865" s="200"/>
      <c r="G865" s="32"/>
      <c r="H865" s="32"/>
      <c r="I865" s="50" t="str">
        <f t="shared" si="13"/>
        <v/>
      </c>
    </row>
    <row r="866" spans="1:9">
      <c r="A866" s="275" t="str">
        <f>IF(B866="","",DATE(IF(INT(B866)&gt;=4,予算!$L$1,予算!$L$2),INT(B866),ROUND(MOD(B866,1)*100,0)))</f>
        <v/>
      </c>
      <c r="B866" s="68"/>
      <c r="C866" s="43"/>
      <c r="D866" s="11" t="str">
        <f>IF(C866="","",VLOOKUP(C866,予算!$B$7:$C$66,2))</f>
        <v/>
      </c>
      <c r="E866" s="43"/>
      <c r="F866" s="200"/>
      <c r="G866" s="32"/>
      <c r="H866" s="32"/>
      <c r="I866" s="50" t="str">
        <f t="shared" si="13"/>
        <v/>
      </c>
    </row>
    <row r="867" spans="1:9">
      <c r="A867" s="275" t="str">
        <f>IF(B867="","",DATE(IF(INT(B867)&gt;=4,予算!$L$1,予算!$L$2),INT(B867),ROUND(MOD(B867,1)*100,0)))</f>
        <v/>
      </c>
      <c r="B867" s="68"/>
      <c r="C867" s="43"/>
      <c r="D867" s="11" t="str">
        <f>IF(C867="","",VLOOKUP(C867,予算!$B$7:$C$66,2))</f>
        <v/>
      </c>
      <c r="E867" s="43"/>
      <c r="F867" s="200"/>
      <c r="G867" s="32"/>
      <c r="H867" s="32"/>
      <c r="I867" s="50" t="str">
        <f t="shared" si="13"/>
        <v/>
      </c>
    </row>
    <row r="868" spans="1:9">
      <c r="A868" s="275" t="str">
        <f>IF(B868="","",DATE(IF(INT(B868)&gt;=4,予算!$L$1,予算!$L$2),INT(B868),ROUND(MOD(B868,1)*100,0)))</f>
        <v/>
      </c>
      <c r="B868" s="68"/>
      <c r="C868" s="43"/>
      <c r="D868" s="11" t="str">
        <f>IF(C868="","",VLOOKUP(C868,予算!$B$7:$C$66,2))</f>
        <v/>
      </c>
      <c r="E868" s="43"/>
      <c r="F868" s="200"/>
      <c r="G868" s="32"/>
      <c r="H868" s="32"/>
      <c r="I868" s="50" t="str">
        <f t="shared" si="13"/>
        <v/>
      </c>
    </row>
    <row r="869" spans="1:9">
      <c r="A869" s="275" t="str">
        <f>IF(B869="","",DATE(IF(INT(B869)&gt;=4,予算!$L$1,予算!$L$2),INT(B869),ROUND(MOD(B869,1)*100,0)))</f>
        <v/>
      </c>
      <c r="B869" s="68"/>
      <c r="C869" s="43"/>
      <c r="D869" s="11" t="str">
        <f>IF(C869="","",VLOOKUP(C869,予算!$B$7:$C$66,2))</f>
        <v/>
      </c>
      <c r="E869" s="43"/>
      <c r="F869" s="200"/>
      <c r="G869" s="32"/>
      <c r="H869" s="32"/>
      <c r="I869" s="50" t="str">
        <f t="shared" si="13"/>
        <v/>
      </c>
    </row>
    <row r="870" spans="1:9">
      <c r="A870" s="275" t="str">
        <f>IF(B870="","",DATE(IF(INT(B870)&gt;=4,予算!$L$1,予算!$L$2),INT(B870),ROUND(MOD(B870,1)*100,0)))</f>
        <v/>
      </c>
      <c r="B870" s="68"/>
      <c r="C870" s="43"/>
      <c r="D870" s="11" t="str">
        <f>IF(C870="","",VLOOKUP(C870,予算!$B$7:$C$66,2))</f>
        <v/>
      </c>
      <c r="E870" s="43"/>
      <c r="F870" s="200"/>
      <c r="G870" s="32"/>
      <c r="H870" s="32"/>
      <c r="I870" s="50" t="str">
        <f t="shared" si="13"/>
        <v/>
      </c>
    </row>
    <row r="871" spans="1:9">
      <c r="A871" s="275" t="str">
        <f>IF(B871="","",DATE(IF(INT(B871)&gt;=4,予算!$L$1,予算!$L$2),INT(B871),ROUND(MOD(B871,1)*100,0)))</f>
        <v/>
      </c>
      <c r="B871" s="68"/>
      <c r="C871" s="43"/>
      <c r="D871" s="11" t="str">
        <f>IF(C871="","",VLOOKUP(C871,予算!$B$7:$C$66,2))</f>
        <v/>
      </c>
      <c r="E871" s="43"/>
      <c r="F871" s="200"/>
      <c r="G871" s="32"/>
      <c r="H871" s="32"/>
      <c r="I871" s="50" t="str">
        <f t="shared" si="13"/>
        <v/>
      </c>
    </row>
    <row r="872" spans="1:9">
      <c r="A872" s="275" t="str">
        <f>IF(B872="","",DATE(IF(INT(B872)&gt;=4,予算!$L$1,予算!$L$2),INT(B872),ROUND(MOD(B872,1)*100,0)))</f>
        <v/>
      </c>
      <c r="B872" s="68"/>
      <c r="C872" s="43"/>
      <c r="D872" s="11" t="str">
        <f>IF(C872="","",VLOOKUP(C872,予算!$B$7:$C$66,2))</f>
        <v/>
      </c>
      <c r="E872" s="43"/>
      <c r="F872" s="200"/>
      <c r="G872" s="32"/>
      <c r="H872" s="32"/>
      <c r="I872" s="50" t="str">
        <f t="shared" si="13"/>
        <v/>
      </c>
    </row>
    <row r="873" spans="1:9">
      <c r="A873" s="275" t="str">
        <f>IF(B873="","",DATE(IF(INT(B873)&gt;=4,予算!$L$1,予算!$L$2),INT(B873),ROUND(MOD(B873,1)*100,0)))</f>
        <v/>
      </c>
      <c r="B873" s="68"/>
      <c r="C873" s="43"/>
      <c r="D873" s="11" t="str">
        <f>IF(C873="","",VLOOKUP(C873,予算!$B$7:$C$66,2))</f>
        <v/>
      </c>
      <c r="E873" s="43"/>
      <c r="F873" s="200"/>
      <c r="G873" s="32"/>
      <c r="H873" s="32"/>
      <c r="I873" s="50" t="str">
        <f t="shared" si="13"/>
        <v/>
      </c>
    </row>
    <row r="874" spans="1:9">
      <c r="A874" s="275" t="str">
        <f>IF(B874="","",DATE(IF(INT(B874)&gt;=4,予算!$L$1,予算!$L$2),INT(B874),ROUND(MOD(B874,1)*100,0)))</f>
        <v/>
      </c>
      <c r="B874" s="68"/>
      <c r="C874" s="43"/>
      <c r="D874" s="11" t="str">
        <f>IF(C874="","",VLOOKUP(C874,予算!$B$7:$C$66,2))</f>
        <v/>
      </c>
      <c r="E874" s="43"/>
      <c r="F874" s="200"/>
      <c r="G874" s="32"/>
      <c r="H874" s="32"/>
      <c r="I874" s="50" t="str">
        <f t="shared" si="13"/>
        <v/>
      </c>
    </row>
    <row r="875" spans="1:9">
      <c r="A875" s="275" t="str">
        <f>IF(B875="","",DATE(IF(INT(B875)&gt;=4,予算!$L$1,予算!$L$2),INT(B875),ROUND(MOD(B875,1)*100,0)))</f>
        <v/>
      </c>
      <c r="B875" s="68"/>
      <c r="C875" s="43"/>
      <c r="D875" s="11" t="str">
        <f>IF(C875="","",VLOOKUP(C875,予算!$B$7:$C$66,2))</f>
        <v/>
      </c>
      <c r="E875" s="43"/>
      <c r="F875" s="200"/>
      <c r="G875" s="32"/>
      <c r="H875" s="32"/>
      <c r="I875" s="50" t="str">
        <f t="shared" si="13"/>
        <v/>
      </c>
    </row>
    <row r="876" spans="1:9">
      <c r="A876" s="275" t="str">
        <f>IF(B876="","",DATE(IF(INT(B876)&gt;=4,予算!$L$1,予算!$L$2),INT(B876),ROUND(MOD(B876,1)*100,0)))</f>
        <v/>
      </c>
      <c r="B876" s="68"/>
      <c r="C876" s="43"/>
      <c r="D876" s="11" t="str">
        <f>IF(C876="","",VLOOKUP(C876,予算!$B$7:$C$66,2))</f>
        <v/>
      </c>
      <c r="E876" s="43"/>
      <c r="F876" s="200"/>
      <c r="G876" s="32"/>
      <c r="H876" s="32"/>
      <c r="I876" s="50" t="str">
        <f t="shared" si="13"/>
        <v/>
      </c>
    </row>
    <row r="877" spans="1:9">
      <c r="A877" s="275" t="str">
        <f>IF(B877="","",DATE(IF(INT(B877)&gt;=4,予算!$L$1,予算!$L$2),INT(B877),ROUND(MOD(B877,1)*100,0)))</f>
        <v/>
      </c>
      <c r="B877" s="68"/>
      <c r="C877" s="43"/>
      <c r="D877" s="11" t="str">
        <f>IF(C877="","",VLOOKUP(C877,予算!$B$7:$C$66,2))</f>
        <v/>
      </c>
      <c r="E877" s="43"/>
      <c r="F877" s="200"/>
      <c r="G877" s="32"/>
      <c r="H877" s="32"/>
      <c r="I877" s="50" t="str">
        <f t="shared" si="13"/>
        <v/>
      </c>
    </row>
    <row r="878" spans="1:9">
      <c r="A878" s="275" t="str">
        <f>IF(B878="","",DATE(IF(INT(B878)&gt;=4,予算!$L$1,予算!$L$2),INT(B878),ROUND(MOD(B878,1)*100,0)))</f>
        <v/>
      </c>
      <c r="B878" s="68"/>
      <c r="C878" s="43"/>
      <c r="D878" s="11" t="str">
        <f>IF(C878="","",VLOOKUP(C878,予算!$B$7:$C$66,2))</f>
        <v/>
      </c>
      <c r="E878" s="43"/>
      <c r="F878" s="200"/>
      <c r="G878" s="32"/>
      <c r="H878" s="32"/>
      <c r="I878" s="50" t="str">
        <f t="shared" si="13"/>
        <v/>
      </c>
    </row>
    <row r="879" spans="1:9">
      <c r="A879" s="275" t="str">
        <f>IF(B879="","",DATE(IF(INT(B879)&gt;=4,予算!$L$1,予算!$L$2),INT(B879),ROUND(MOD(B879,1)*100,0)))</f>
        <v/>
      </c>
      <c r="B879" s="68"/>
      <c r="C879" s="43"/>
      <c r="D879" s="11" t="str">
        <f>IF(C879="","",VLOOKUP(C879,予算!$B$7:$C$66,2))</f>
        <v/>
      </c>
      <c r="E879" s="43"/>
      <c r="F879" s="200"/>
      <c r="G879" s="32"/>
      <c r="H879" s="32"/>
      <c r="I879" s="50" t="str">
        <f t="shared" si="13"/>
        <v/>
      </c>
    </row>
    <row r="880" spans="1:9">
      <c r="A880" s="275" t="str">
        <f>IF(B880="","",DATE(IF(INT(B880)&gt;=4,予算!$L$1,予算!$L$2),INT(B880),ROUND(MOD(B880,1)*100,0)))</f>
        <v/>
      </c>
      <c r="B880" s="68"/>
      <c r="C880" s="43"/>
      <c r="D880" s="11" t="str">
        <f>IF(C880="","",VLOOKUP(C880,予算!$B$7:$C$66,2))</f>
        <v/>
      </c>
      <c r="E880" s="43"/>
      <c r="F880" s="200"/>
      <c r="G880" s="32"/>
      <c r="H880" s="32"/>
      <c r="I880" s="50" t="str">
        <f t="shared" si="13"/>
        <v/>
      </c>
    </row>
    <row r="881" spans="1:9">
      <c r="A881" s="275" t="str">
        <f>IF(B881="","",DATE(IF(INT(B881)&gt;=4,予算!$L$1,予算!$L$2),INT(B881),ROUND(MOD(B881,1)*100,0)))</f>
        <v/>
      </c>
      <c r="B881" s="68"/>
      <c r="C881" s="43"/>
      <c r="D881" s="11" t="str">
        <f>IF(C881="","",VLOOKUP(C881,予算!$B$7:$C$66,2))</f>
        <v/>
      </c>
      <c r="E881" s="43"/>
      <c r="F881" s="200"/>
      <c r="G881" s="32"/>
      <c r="H881" s="32"/>
      <c r="I881" s="50" t="str">
        <f t="shared" si="13"/>
        <v/>
      </c>
    </row>
    <row r="882" spans="1:9">
      <c r="A882" s="275" t="str">
        <f>IF(B882="","",DATE(IF(INT(B882)&gt;=4,予算!$L$1,予算!$L$2),INT(B882),ROUND(MOD(B882,1)*100,0)))</f>
        <v/>
      </c>
      <c r="B882" s="68"/>
      <c r="C882" s="43"/>
      <c r="D882" s="11" t="str">
        <f>IF(C882="","",VLOOKUP(C882,予算!$B$7:$C$66,2))</f>
        <v/>
      </c>
      <c r="E882" s="43"/>
      <c r="F882" s="200"/>
      <c r="G882" s="32"/>
      <c r="H882" s="32"/>
      <c r="I882" s="50" t="str">
        <f t="shared" si="13"/>
        <v/>
      </c>
    </row>
    <row r="883" spans="1:9">
      <c r="A883" s="275" t="str">
        <f>IF(B883="","",DATE(IF(INT(B883)&gt;=4,予算!$L$1,予算!$L$2),INT(B883),ROUND(MOD(B883,1)*100,0)))</f>
        <v/>
      </c>
      <c r="B883" s="68"/>
      <c r="C883" s="43"/>
      <c r="D883" s="11" t="str">
        <f>IF(C883="","",VLOOKUP(C883,予算!$B$7:$C$66,2))</f>
        <v/>
      </c>
      <c r="E883" s="43"/>
      <c r="F883" s="200"/>
      <c r="G883" s="32"/>
      <c r="H883" s="32"/>
      <c r="I883" s="50" t="str">
        <f t="shared" si="13"/>
        <v/>
      </c>
    </row>
    <row r="884" spans="1:9">
      <c r="A884" s="275" t="str">
        <f>IF(B884="","",DATE(IF(INT(B884)&gt;=4,予算!$L$1,予算!$L$2),INT(B884),ROUND(MOD(B884,1)*100,0)))</f>
        <v/>
      </c>
      <c r="B884" s="68"/>
      <c r="C884" s="43"/>
      <c r="D884" s="11" t="str">
        <f>IF(C884="","",VLOOKUP(C884,予算!$B$7:$C$66,2))</f>
        <v/>
      </c>
      <c r="E884" s="43"/>
      <c r="F884" s="200"/>
      <c r="G884" s="32"/>
      <c r="H884" s="32"/>
      <c r="I884" s="50" t="str">
        <f t="shared" si="13"/>
        <v/>
      </c>
    </row>
    <row r="885" spans="1:9">
      <c r="A885" s="275" t="str">
        <f>IF(B885="","",DATE(IF(INT(B885)&gt;=4,予算!$L$1,予算!$L$2),INT(B885),ROUND(MOD(B885,1)*100,0)))</f>
        <v/>
      </c>
      <c r="B885" s="68"/>
      <c r="C885" s="43"/>
      <c r="D885" s="11" t="str">
        <f>IF(C885="","",VLOOKUP(C885,予算!$B$7:$C$66,2))</f>
        <v/>
      </c>
      <c r="E885" s="43"/>
      <c r="F885" s="200"/>
      <c r="G885" s="32"/>
      <c r="H885" s="32"/>
      <c r="I885" s="50" t="str">
        <f t="shared" si="13"/>
        <v/>
      </c>
    </row>
    <row r="886" spans="1:9">
      <c r="A886" s="275" t="str">
        <f>IF(B886="","",DATE(IF(INT(B886)&gt;=4,予算!$L$1,予算!$L$2),INT(B886),ROUND(MOD(B886,1)*100,0)))</f>
        <v/>
      </c>
      <c r="B886" s="68"/>
      <c r="C886" s="43"/>
      <c r="D886" s="11" t="str">
        <f>IF(C886="","",VLOOKUP(C886,予算!$B$7:$C$66,2))</f>
        <v/>
      </c>
      <c r="E886" s="43"/>
      <c r="F886" s="200"/>
      <c r="G886" s="32"/>
      <c r="H886" s="32"/>
      <c r="I886" s="50" t="str">
        <f t="shared" si="13"/>
        <v/>
      </c>
    </row>
    <row r="887" spans="1:9">
      <c r="A887" s="275" t="str">
        <f>IF(B887="","",DATE(IF(INT(B887)&gt;=4,予算!$L$1,予算!$L$2),INT(B887),ROUND(MOD(B887,1)*100,0)))</f>
        <v/>
      </c>
      <c r="B887" s="68"/>
      <c r="C887" s="43"/>
      <c r="D887" s="11" t="str">
        <f>IF(C887="","",VLOOKUP(C887,予算!$B$7:$C$66,2))</f>
        <v/>
      </c>
      <c r="E887" s="43"/>
      <c r="F887" s="200"/>
      <c r="G887" s="32"/>
      <c r="H887" s="32"/>
      <c r="I887" s="50" t="str">
        <f t="shared" si="13"/>
        <v/>
      </c>
    </row>
    <row r="888" spans="1:9">
      <c r="A888" s="275" t="str">
        <f>IF(B888="","",DATE(IF(INT(B888)&gt;=4,予算!$L$1,予算!$L$2),INT(B888),ROUND(MOD(B888,1)*100,0)))</f>
        <v/>
      </c>
      <c r="B888" s="68"/>
      <c r="C888" s="43"/>
      <c r="D888" s="11" t="str">
        <f>IF(C888="","",VLOOKUP(C888,予算!$B$7:$C$66,2))</f>
        <v/>
      </c>
      <c r="E888" s="43"/>
      <c r="F888" s="200"/>
      <c r="G888" s="32"/>
      <c r="H888" s="32"/>
      <c r="I888" s="50" t="str">
        <f t="shared" si="13"/>
        <v/>
      </c>
    </row>
    <row r="889" spans="1:9">
      <c r="A889" s="275" t="str">
        <f>IF(B889="","",DATE(IF(INT(B889)&gt;=4,予算!$L$1,予算!$L$2),INT(B889),ROUND(MOD(B889,1)*100,0)))</f>
        <v/>
      </c>
      <c r="B889" s="68"/>
      <c r="C889" s="43"/>
      <c r="D889" s="11" t="str">
        <f>IF(C889="","",VLOOKUP(C889,予算!$B$7:$C$66,2))</f>
        <v/>
      </c>
      <c r="E889" s="43"/>
      <c r="F889" s="200"/>
      <c r="G889" s="32"/>
      <c r="H889" s="32"/>
      <c r="I889" s="50" t="str">
        <f t="shared" si="13"/>
        <v/>
      </c>
    </row>
    <row r="890" spans="1:9">
      <c r="A890" s="275" t="str">
        <f>IF(B890="","",DATE(IF(INT(B890)&gt;=4,予算!$L$1,予算!$L$2),INT(B890),ROUND(MOD(B890,1)*100,0)))</f>
        <v/>
      </c>
      <c r="B890" s="68"/>
      <c r="C890" s="43"/>
      <c r="D890" s="11" t="str">
        <f>IF(C890="","",VLOOKUP(C890,予算!$B$7:$C$66,2))</f>
        <v/>
      </c>
      <c r="E890" s="43"/>
      <c r="F890" s="200"/>
      <c r="G890" s="32"/>
      <c r="H890" s="32"/>
      <c r="I890" s="50" t="str">
        <f t="shared" si="13"/>
        <v/>
      </c>
    </row>
    <row r="891" spans="1:9">
      <c r="A891" s="275" t="str">
        <f>IF(B891="","",DATE(IF(INT(B891)&gt;=4,予算!$L$1,予算!$L$2),INT(B891),ROUND(MOD(B891,1)*100,0)))</f>
        <v/>
      </c>
      <c r="B891" s="68"/>
      <c r="C891" s="43"/>
      <c r="D891" s="11" t="str">
        <f>IF(C891="","",VLOOKUP(C891,予算!$B$7:$C$66,2))</f>
        <v/>
      </c>
      <c r="E891" s="43"/>
      <c r="F891" s="200"/>
      <c r="G891" s="32"/>
      <c r="H891" s="32"/>
      <c r="I891" s="50" t="str">
        <f t="shared" si="13"/>
        <v/>
      </c>
    </row>
    <row r="892" spans="1:9">
      <c r="A892" s="275" t="str">
        <f>IF(B892="","",DATE(IF(INT(B892)&gt;=4,予算!$L$1,予算!$L$2),INT(B892),ROUND(MOD(B892,1)*100,0)))</f>
        <v/>
      </c>
      <c r="B892" s="68"/>
      <c r="C892" s="43"/>
      <c r="D892" s="11" t="str">
        <f>IF(C892="","",VLOOKUP(C892,予算!$B$7:$C$66,2))</f>
        <v/>
      </c>
      <c r="E892" s="43"/>
      <c r="F892" s="200"/>
      <c r="G892" s="32"/>
      <c r="H892" s="32"/>
      <c r="I892" s="50" t="str">
        <f t="shared" si="13"/>
        <v/>
      </c>
    </row>
    <row r="893" spans="1:9">
      <c r="A893" s="275" t="str">
        <f>IF(B893="","",DATE(IF(INT(B893)&gt;=4,予算!$L$1,予算!$L$2),INT(B893),ROUND(MOD(B893,1)*100,0)))</f>
        <v/>
      </c>
      <c r="B893" s="68"/>
      <c r="C893" s="43"/>
      <c r="D893" s="11" t="str">
        <f>IF(C893="","",VLOOKUP(C893,予算!$B$7:$C$66,2))</f>
        <v/>
      </c>
      <c r="E893" s="43"/>
      <c r="F893" s="200"/>
      <c r="G893" s="32"/>
      <c r="H893" s="32"/>
      <c r="I893" s="50" t="str">
        <f t="shared" si="13"/>
        <v/>
      </c>
    </row>
    <row r="894" spans="1:9">
      <c r="A894" s="275" t="str">
        <f>IF(B894="","",DATE(IF(INT(B894)&gt;=4,予算!$L$1,予算!$L$2),INT(B894),ROUND(MOD(B894,1)*100,0)))</f>
        <v/>
      </c>
      <c r="B894" s="68"/>
      <c r="C894" s="43"/>
      <c r="D894" s="11" t="str">
        <f>IF(C894="","",VLOOKUP(C894,予算!$B$7:$C$66,2))</f>
        <v/>
      </c>
      <c r="E894" s="43"/>
      <c r="F894" s="200"/>
      <c r="G894" s="32"/>
      <c r="H894" s="32"/>
      <c r="I894" s="50" t="str">
        <f t="shared" si="13"/>
        <v/>
      </c>
    </row>
    <row r="895" spans="1:9">
      <c r="A895" s="275" t="str">
        <f>IF(B895="","",DATE(IF(INT(B895)&gt;=4,予算!$L$1,予算!$L$2),INT(B895),ROUND(MOD(B895,1)*100,0)))</f>
        <v/>
      </c>
      <c r="B895" s="68"/>
      <c r="C895" s="43"/>
      <c r="D895" s="11" t="str">
        <f>IF(C895="","",VLOOKUP(C895,予算!$B$7:$C$66,2))</f>
        <v/>
      </c>
      <c r="E895" s="43"/>
      <c r="F895" s="200"/>
      <c r="G895" s="32"/>
      <c r="H895" s="32"/>
      <c r="I895" s="50" t="str">
        <f t="shared" si="13"/>
        <v/>
      </c>
    </row>
    <row r="896" spans="1:9">
      <c r="A896" s="275" t="str">
        <f>IF(B896="","",DATE(IF(INT(B896)&gt;=4,予算!$L$1,予算!$L$2),INT(B896),ROUND(MOD(B896,1)*100,0)))</f>
        <v/>
      </c>
      <c r="B896" s="68"/>
      <c r="C896" s="43"/>
      <c r="D896" s="11" t="str">
        <f>IF(C896="","",VLOOKUP(C896,予算!$B$7:$C$66,2))</f>
        <v/>
      </c>
      <c r="E896" s="43"/>
      <c r="F896" s="200"/>
      <c r="G896" s="32"/>
      <c r="H896" s="32"/>
      <c r="I896" s="50" t="str">
        <f t="shared" si="13"/>
        <v/>
      </c>
    </row>
    <row r="897" spans="1:9">
      <c r="A897" s="275" t="str">
        <f>IF(B897="","",DATE(IF(INT(B897)&gt;=4,予算!$L$1,予算!$L$2),INT(B897),ROUND(MOD(B897,1)*100,0)))</f>
        <v/>
      </c>
      <c r="B897" s="68"/>
      <c r="C897" s="43"/>
      <c r="D897" s="11" t="str">
        <f>IF(C897="","",VLOOKUP(C897,予算!$B$7:$C$66,2))</f>
        <v/>
      </c>
      <c r="E897" s="43"/>
      <c r="F897" s="200"/>
      <c r="G897" s="32"/>
      <c r="H897" s="32"/>
      <c r="I897" s="50" t="str">
        <f t="shared" si="13"/>
        <v/>
      </c>
    </row>
    <row r="898" spans="1:9">
      <c r="A898" s="275" t="str">
        <f>IF(B898="","",DATE(IF(INT(B898)&gt;=4,予算!$L$1,予算!$L$2),INT(B898),ROUND(MOD(B898,1)*100,0)))</f>
        <v/>
      </c>
      <c r="B898" s="68"/>
      <c r="C898" s="43"/>
      <c r="D898" s="11" t="str">
        <f>IF(C898="","",VLOOKUP(C898,予算!$B$7:$C$66,2))</f>
        <v/>
      </c>
      <c r="E898" s="43"/>
      <c r="F898" s="200"/>
      <c r="G898" s="32"/>
      <c r="H898" s="32"/>
      <c r="I898" s="50" t="str">
        <f t="shared" si="13"/>
        <v/>
      </c>
    </row>
    <row r="899" spans="1:9">
      <c r="A899" s="275" t="str">
        <f>IF(B899="","",DATE(IF(INT(B899)&gt;=4,予算!$L$1,予算!$L$2),INT(B899),ROUND(MOD(B899,1)*100,0)))</f>
        <v/>
      </c>
      <c r="B899" s="68"/>
      <c r="C899" s="43"/>
      <c r="D899" s="11" t="str">
        <f>IF(C899="","",VLOOKUP(C899,予算!$B$7:$C$66,2))</f>
        <v/>
      </c>
      <c r="E899" s="43"/>
      <c r="F899" s="200"/>
      <c r="G899" s="32"/>
      <c r="H899" s="32"/>
      <c r="I899" s="50" t="str">
        <f t="shared" si="13"/>
        <v/>
      </c>
    </row>
    <row r="900" spans="1:9">
      <c r="A900" s="275" t="str">
        <f>IF(B900="","",DATE(IF(INT(B900)&gt;=4,予算!$L$1,予算!$L$2),INT(B900),ROUND(MOD(B900,1)*100,0)))</f>
        <v/>
      </c>
      <c r="B900" s="68"/>
      <c r="C900" s="43"/>
      <c r="D900" s="11" t="str">
        <f>IF(C900="","",VLOOKUP(C900,予算!$B$7:$C$66,2))</f>
        <v/>
      </c>
      <c r="E900" s="43"/>
      <c r="F900" s="200"/>
      <c r="G900" s="32"/>
      <c r="H900" s="32"/>
      <c r="I900" s="50" t="str">
        <f t="shared" si="13"/>
        <v/>
      </c>
    </row>
    <row r="901" spans="1:9">
      <c r="A901" s="275" t="str">
        <f>IF(B901="","",DATE(IF(INT(B901)&gt;=4,予算!$L$1,予算!$L$2),INT(B901),ROUND(MOD(B901,1)*100,0)))</f>
        <v/>
      </c>
      <c r="B901" s="68"/>
      <c r="C901" s="43"/>
      <c r="D901" s="11" t="str">
        <f>IF(C901="","",VLOOKUP(C901,予算!$B$7:$C$66,2))</f>
        <v/>
      </c>
      <c r="E901" s="43"/>
      <c r="F901" s="200"/>
      <c r="G901" s="32"/>
      <c r="H901" s="32"/>
      <c r="I901" s="50" t="str">
        <f t="shared" si="13"/>
        <v/>
      </c>
    </row>
    <row r="902" spans="1:9">
      <c r="A902" s="275" t="str">
        <f>IF(B902="","",DATE(IF(INT(B902)&gt;=4,予算!$L$1,予算!$L$2),INT(B902),ROUND(MOD(B902,1)*100,0)))</f>
        <v/>
      </c>
      <c r="B902" s="68"/>
      <c r="C902" s="43"/>
      <c r="D902" s="11" t="str">
        <f>IF(C902="","",VLOOKUP(C902,予算!$B$7:$C$66,2))</f>
        <v/>
      </c>
      <c r="E902" s="43"/>
      <c r="F902" s="200"/>
      <c r="G902" s="32"/>
      <c r="H902" s="32"/>
      <c r="I902" s="50" t="str">
        <f t="shared" si="13"/>
        <v/>
      </c>
    </row>
    <row r="903" spans="1:9">
      <c r="A903" s="275" t="str">
        <f>IF(B903="","",DATE(IF(INT(B903)&gt;=4,予算!$L$1,予算!$L$2),INT(B903),ROUND(MOD(B903,1)*100,0)))</f>
        <v/>
      </c>
      <c r="B903" s="68"/>
      <c r="C903" s="43"/>
      <c r="D903" s="11" t="str">
        <f>IF(C903="","",VLOOKUP(C903,予算!$B$7:$C$66,2))</f>
        <v/>
      </c>
      <c r="E903" s="43"/>
      <c r="F903" s="200"/>
      <c r="G903" s="32"/>
      <c r="H903" s="32"/>
      <c r="I903" s="50" t="str">
        <f t="shared" si="13"/>
        <v/>
      </c>
    </row>
    <row r="904" spans="1:9">
      <c r="A904" s="275" t="str">
        <f>IF(B904="","",DATE(IF(INT(B904)&gt;=4,予算!$L$1,予算!$L$2),INT(B904),ROUND(MOD(B904,1)*100,0)))</f>
        <v/>
      </c>
      <c r="B904" s="68"/>
      <c r="C904" s="43"/>
      <c r="D904" s="11" t="str">
        <f>IF(C904="","",VLOOKUP(C904,予算!$B$7:$C$66,2))</f>
        <v/>
      </c>
      <c r="E904" s="43"/>
      <c r="F904" s="200"/>
      <c r="G904" s="32"/>
      <c r="H904" s="32"/>
      <c r="I904" s="50" t="str">
        <f t="shared" si="13"/>
        <v/>
      </c>
    </row>
    <row r="905" spans="1:9">
      <c r="A905" s="275" t="str">
        <f>IF(B905="","",DATE(IF(INT(B905)&gt;=4,予算!$L$1,予算!$L$2),INT(B905),ROUND(MOD(B905,1)*100,0)))</f>
        <v/>
      </c>
      <c r="B905" s="68"/>
      <c r="C905" s="43"/>
      <c r="D905" s="11" t="str">
        <f>IF(C905="","",VLOOKUP(C905,予算!$B$7:$C$66,2))</f>
        <v/>
      </c>
      <c r="E905" s="43"/>
      <c r="F905" s="200"/>
      <c r="G905" s="32"/>
      <c r="H905" s="32"/>
      <c r="I905" s="50" t="str">
        <f t="shared" ref="I905:I968" si="14">IF(C905="","",I904+G905-H905)</f>
        <v/>
      </c>
    </row>
    <row r="906" spans="1:9">
      <c r="A906" s="275" t="str">
        <f>IF(B906="","",DATE(IF(INT(B906)&gt;=4,予算!$L$1,予算!$L$2),INT(B906),ROUND(MOD(B906,1)*100,0)))</f>
        <v/>
      </c>
      <c r="B906" s="68"/>
      <c r="C906" s="43"/>
      <c r="D906" s="11" t="str">
        <f>IF(C906="","",VLOOKUP(C906,予算!$B$7:$C$66,2))</f>
        <v/>
      </c>
      <c r="E906" s="43"/>
      <c r="F906" s="200"/>
      <c r="G906" s="32"/>
      <c r="H906" s="32"/>
      <c r="I906" s="50" t="str">
        <f t="shared" si="14"/>
        <v/>
      </c>
    </row>
    <row r="907" spans="1:9">
      <c r="A907" s="275" t="str">
        <f>IF(B907="","",DATE(IF(INT(B907)&gt;=4,予算!$L$1,予算!$L$2),INT(B907),ROUND(MOD(B907,1)*100,0)))</f>
        <v/>
      </c>
      <c r="B907" s="68"/>
      <c r="C907" s="43"/>
      <c r="D907" s="11" t="str">
        <f>IF(C907="","",VLOOKUP(C907,予算!$B$7:$C$66,2))</f>
        <v/>
      </c>
      <c r="E907" s="43"/>
      <c r="F907" s="200"/>
      <c r="G907" s="32"/>
      <c r="H907" s="32"/>
      <c r="I907" s="50" t="str">
        <f t="shared" si="14"/>
        <v/>
      </c>
    </row>
    <row r="908" spans="1:9">
      <c r="A908" s="275" t="str">
        <f>IF(B908="","",DATE(IF(INT(B908)&gt;=4,予算!$L$1,予算!$L$2),INT(B908),ROUND(MOD(B908,1)*100,0)))</f>
        <v/>
      </c>
      <c r="B908" s="68"/>
      <c r="C908" s="43"/>
      <c r="D908" s="11" t="str">
        <f>IF(C908="","",VLOOKUP(C908,予算!$B$7:$C$66,2))</f>
        <v/>
      </c>
      <c r="E908" s="43"/>
      <c r="F908" s="200"/>
      <c r="G908" s="32"/>
      <c r="H908" s="32"/>
      <c r="I908" s="50" t="str">
        <f t="shared" si="14"/>
        <v/>
      </c>
    </row>
    <row r="909" spans="1:9">
      <c r="A909" s="275" t="str">
        <f>IF(B909="","",DATE(IF(INT(B909)&gt;=4,予算!$L$1,予算!$L$2),INT(B909),ROUND(MOD(B909,1)*100,0)))</f>
        <v/>
      </c>
      <c r="B909" s="68"/>
      <c r="C909" s="43"/>
      <c r="D909" s="11" t="str">
        <f>IF(C909="","",VLOOKUP(C909,予算!$B$7:$C$66,2))</f>
        <v/>
      </c>
      <c r="E909" s="43"/>
      <c r="F909" s="200"/>
      <c r="G909" s="32"/>
      <c r="H909" s="32"/>
      <c r="I909" s="50" t="str">
        <f t="shared" si="14"/>
        <v/>
      </c>
    </row>
    <row r="910" spans="1:9">
      <c r="A910" s="275" t="str">
        <f>IF(B910="","",DATE(IF(INT(B910)&gt;=4,予算!$L$1,予算!$L$2),INT(B910),ROUND(MOD(B910,1)*100,0)))</f>
        <v/>
      </c>
      <c r="B910" s="68"/>
      <c r="C910" s="43"/>
      <c r="D910" s="11" t="str">
        <f>IF(C910="","",VLOOKUP(C910,予算!$B$7:$C$66,2))</f>
        <v/>
      </c>
      <c r="E910" s="43"/>
      <c r="F910" s="200"/>
      <c r="G910" s="32"/>
      <c r="H910" s="32"/>
      <c r="I910" s="50" t="str">
        <f t="shared" si="14"/>
        <v/>
      </c>
    </row>
    <row r="911" spans="1:9">
      <c r="A911" s="275" t="str">
        <f>IF(B911="","",DATE(IF(INT(B911)&gt;=4,予算!$L$1,予算!$L$2),INT(B911),ROUND(MOD(B911,1)*100,0)))</f>
        <v/>
      </c>
      <c r="B911" s="68"/>
      <c r="C911" s="43"/>
      <c r="D911" s="11" t="str">
        <f>IF(C911="","",VLOOKUP(C911,予算!$B$7:$C$66,2))</f>
        <v/>
      </c>
      <c r="E911" s="43"/>
      <c r="F911" s="200"/>
      <c r="G911" s="32"/>
      <c r="H911" s="32"/>
      <c r="I911" s="50" t="str">
        <f t="shared" si="14"/>
        <v/>
      </c>
    </row>
    <row r="912" spans="1:9">
      <c r="A912" s="275" t="str">
        <f>IF(B912="","",DATE(IF(INT(B912)&gt;=4,予算!$L$1,予算!$L$2),INT(B912),ROUND(MOD(B912,1)*100,0)))</f>
        <v/>
      </c>
      <c r="B912" s="68"/>
      <c r="C912" s="43"/>
      <c r="D912" s="11" t="str">
        <f>IF(C912="","",VLOOKUP(C912,予算!$B$7:$C$66,2))</f>
        <v/>
      </c>
      <c r="E912" s="43"/>
      <c r="F912" s="200"/>
      <c r="G912" s="32"/>
      <c r="H912" s="32"/>
      <c r="I912" s="50" t="str">
        <f t="shared" si="14"/>
        <v/>
      </c>
    </row>
    <row r="913" spans="1:9">
      <c r="A913" s="275" t="str">
        <f>IF(B913="","",DATE(IF(INT(B913)&gt;=4,予算!$L$1,予算!$L$2),INT(B913),ROUND(MOD(B913,1)*100,0)))</f>
        <v/>
      </c>
      <c r="B913" s="68"/>
      <c r="C913" s="43"/>
      <c r="D913" s="11" t="str">
        <f>IF(C913="","",VLOOKUP(C913,予算!$B$7:$C$66,2))</f>
        <v/>
      </c>
      <c r="E913" s="43"/>
      <c r="F913" s="200"/>
      <c r="G913" s="32"/>
      <c r="H913" s="32"/>
      <c r="I913" s="50" t="str">
        <f t="shared" si="14"/>
        <v/>
      </c>
    </row>
    <row r="914" spans="1:9">
      <c r="A914" s="275" t="str">
        <f>IF(B914="","",DATE(IF(INT(B914)&gt;=4,予算!$L$1,予算!$L$2),INT(B914),ROUND(MOD(B914,1)*100,0)))</f>
        <v/>
      </c>
      <c r="B914" s="68"/>
      <c r="C914" s="43"/>
      <c r="D914" s="11" t="str">
        <f>IF(C914="","",VLOOKUP(C914,予算!$B$7:$C$66,2))</f>
        <v/>
      </c>
      <c r="E914" s="43"/>
      <c r="F914" s="200"/>
      <c r="G914" s="32"/>
      <c r="H914" s="32"/>
      <c r="I914" s="50" t="str">
        <f t="shared" si="14"/>
        <v/>
      </c>
    </row>
    <row r="915" spans="1:9">
      <c r="A915" s="275" t="str">
        <f>IF(B915="","",DATE(IF(INT(B915)&gt;=4,予算!$L$1,予算!$L$2),INT(B915),ROUND(MOD(B915,1)*100,0)))</f>
        <v/>
      </c>
      <c r="B915" s="68"/>
      <c r="C915" s="43"/>
      <c r="D915" s="11" t="str">
        <f>IF(C915="","",VLOOKUP(C915,予算!$B$7:$C$66,2))</f>
        <v/>
      </c>
      <c r="E915" s="43"/>
      <c r="F915" s="200"/>
      <c r="G915" s="32"/>
      <c r="H915" s="32"/>
      <c r="I915" s="50" t="str">
        <f t="shared" si="14"/>
        <v/>
      </c>
    </row>
    <row r="916" spans="1:9">
      <c r="A916" s="275" t="str">
        <f>IF(B916="","",DATE(IF(INT(B916)&gt;=4,予算!$L$1,予算!$L$2),INT(B916),ROUND(MOD(B916,1)*100,0)))</f>
        <v/>
      </c>
      <c r="B916" s="68"/>
      <c r="C916" s="43"/>
      <c r="D916" s="11" t="str">
        <f>IF(C916="","",VLOOKUP(C916,予算!$B$7:$C$66,2))</f>
        <v/>
      </c>
      <c r="E916" s="43"/>
      <c r="F916" s="200"/>
      <c r="G916" s="32"/>
      <c r="H916" s="32"/>
      <c r="I916" s="50" t="str">
        <f t="shared" si="14"/>
        <v/>
      </c>
    </row>
    <row r="917" spans="1:9">
      <c r="A917" s="275" t="str">
        <f>IF(B917="","",DATE(IF(INT(B917)&gt;=4,予算!$L$1,予算!$L$2),INT(B917),ROUND(MOD(B917,1)*100,0)))</f>
        <v/>
      </c>
      <c r="B917" s="68"/>
      <c r="C917" s="43"/>
      <c r="D917" s="11" t="str">
        <f>IF(C917="","",VLOOKUP(C917,予算!$B$7:$C$66,2))</f>
        <v/>
      </c>
      <c r="E917" s="43"/>
      <c r="F917" s="200"/>
      <c r="G917" s="32"/>
      <c r="H917" s="32"/>
      <c r="I917" s="50" t="str">
        <f t="shared" si="14"/>
        <v/>
      </c>
    </row>
    <row r="918" spans="1:9">
      <c r="A918" s="275" t="str">
        <f>IF(B918="","",DATE(IF(INT(B918)&gt;=4,予算!$L$1,予算!$L$2),INT(B918),ROUND(MOD(B918,1)*100,0)))</f>
        <v/>
      </c>
      <c r="B918" s="68"/>
      <c r="C918" s="43"/>
      <c r="D918" s="11" t="str">
        <f>IF(C918="","",VLOOKUP(C918,予算!$B$7:$C$66,2))</f>
        <v/>
      </c>
      <c r="E918" s="43"/>
      <c r="F918" s="200"/>
      <c r="G918" s="32"/>
      <c r="H918" s="32"/>
      <c r="I918" s="50" t="str">
        <f t="shared" si="14"/>
        <v/>
      </c>
    </row>
    <row r="919" spans="1:9">
      <c r="A919" s="275" t="str">
        <f>IF(B919="","",DATE(IF(INT(B919)&gt;=4,予算!$L$1,予算!$L$2),INT(B919),ROUND(MOD(B919,1)*100,0)))</f>
        <v/>
      </c>
      <c r="B919" s="68"/>
      <c r="C919" s="43"/>
      <c r="D919" s="11" t="str">
        <f>IF(C919="","",VLOOKUP(C919,予算!$B$7:$C$66,2))</f>
        <v/>
      </c>
      <c r="E919" s="43"/>
      <c r="F919" s="200"/>
      <c r="G919" s="32"/>
      <c r="H919" s="32"/>
      <c r="I919" s="50" t="str">
        <f t="shared" si="14"/>
        <v/>
      </c>
    </row>
    <row r="920" spans="1:9">
      <c r="A920" s="275" t="str">
        <f>IF(B920="","",DATE(IF(INT(B920)&gt;=4,予算!$L$1,予算!$L$2),INT(B920),ROUND(MOD(B920,1)*100,0)))</f>
        <v/>
      </c>
      <c r="B920" s="68"/>
      <c r="C920" s="43"/>
      <c r="D920" s="11" t="str">
        <f>IF(C920="","",VLOOKUP(C920,予算!$B$7:$C$66,2))</f>
        <v/>
      </c>
      <c r="E920" s="43"/>
      <c r="F920" s="200"/>
      <c r="G920" s="32"/>
      <c r="H920" s="32"/>
      <c r="I920" s="50" t="str">
        <f t="shared" si="14"/>
        <v/>
      </c>
    </row>
    <row r="921" spans="1:9">
      <c r="A921" s="275" t="str">
        <f>IF(B921="","",DATE(IF(INT(B921)&gt;=4,予算!$L$1,予算!$L$2),INT(B921),ROUND(MOD(B921,1)*100,0)))</f>
        <v/>
      </c>
      <c r="B921" s="68"/>
      <c r="C921" s="43"/>
      <c r="D921" s="11" t="str">
        <f>IF(C921="","",VLOOKUP(C921,予算!$B$7:$C$66,2))</f>
        <v/>
      </c>
      <c r="E921" s="43"/>
      <c r="F921" s="200"/>
      <c r="G921" s="32"/>
      <c r="H921" s="32"/>
      <c r="I921" s="50" t="str">
        <f t="shared" si="14"/>
        <v/>
      </c>
    </row>
    <row r="922" spans="1:9">
      <c r="A922" s="275" t="str">
        <f>IF(B922="","",DATE(IF(INT(B922)&gt;=4,予算!$L$1,予算!$L$2),INT(B922),ROUND(MOD(B922,1)*100,0)))</f>
        <v/>
      </c>
      <c r="B922" s="68"/>
      <c r="C922" s="43"/>
      <c r="D922" s="11" t="str">
        <f>IF(C922="","",VLOOKUP(C922,予算!$B$7:$C$66,2))</f>
        <v/>
      </c>
      <c r="E922" s="43"/>
      <c r="F922" s="200"/>
      <c r="G922" s="32"/>
      <c r="H922" s="32"/>
      <c r="I922" s="50" t="str">
        <f t="shared" si="14"/>
        <v/>
      </c>
    </row>
    <row r="923" spans="1:9">
      <c r="A923" s="275" t="str">
        <f>IF(B923="","",DATE(IF(INT(B923)&gt;=4,予算!$L$1,予算!$L$2),INT(B923),ROUND(MOD(B923,1)*100,0)))</f>
        <v/>
      </c>
      <c r="B923" s="68"/>
      <c r="C923" s="43"/>
      <c r="D923" s="11" t="str">
        <f>IF(C923="","",VLOOKUP(C923,予算!$B$7:$C$66,2))</f>
        <v/>
      </c>
      <c r="E923" s="43"/>
      <c r="F923" s="200"/>
      <c r="G923" s="32"/>
      <c r="H923" s="32"/>
      <c r="I923" s="50" t="str">
        <f t="shared" si="14"/>
        <v/>
      </c>
    </row>
    <row r="924" spans="1:9">
      <c r="A924" s="275" t="str">
        <f>IF(B924="","",DATE(IF(INT(B924)&gt;=4,予算!$L$1,予算!$L$2),INT(B924),ROUND(MOD(B924,1)*100,0)))</f>
        <v/>
      </c>
      <c r="B924" s="68"/>
      <c r="C924" s="43"/>
      <c r="D924" s="11" t="str">
        <f>IF(C924="","",VLOOKUP(C924,予算!$B$7:$C$66,2))</f>
        <v/>
      </c>
      <c r="E924" s="43"/>
      <c r="F924" s="200"/>
      <c r="G924" s="32"/>
      <c r="H924" s="32"/>
      <c r="I924" s="50" t="str">
        <f t="shared" si="14"/>
        <v/>
      </c>
    </row>
    <row r="925" spans="1:9">
      <c r="A925" s="275" t="str">
        <f>IF(B925="","",DATE(IF(INT(B925)&gt;=4,予算!$L$1,予算!$L$2),INT(B925),ROUND(MOD(B925,1)*100,0)))</f>
        <v/>
      </c>
      <c r="B925" s="68"/>
      <c r="C925" s="43"/>
      <c r="D925" s="11" t="str">
        <f>IF(C925="","",VLOOKUP(C925,予算!$B$7:$C$66,2))</f>
        <v/>
      </c>
      <c r="E925" s="43"/>
      <c r="F925" s="200"/>
      <c r="G925" s="32"/>
      <c r="H925" s="32"/>
      <c r="I925" s="50" t="str">
        <f t="shared" si="14"/>
        <v/>
      </c>
    </row>
    <row r="926" spans="1:9">
      <c r="A926" s="275" t="str">
        <f>IF(B926="","",DATE(IF(INT(B926)&gt;=4,予算!$L$1,予算!$L$2),INT(B926),ROUND(MOD(B926,1)*100,0)))</f>
        <v/>
      </c>
      <c r="B926" s="68"/>
      <c r="C926" s="43"/>
      <c r="D926" s="11" t="str">
        <f>IF(C926="","",VLOOKUP(C926,予算!$B$7:$C$66,2))</f>
        <v/>
      </c>
      <c r="E926" s="43"/>
      <c r="F926" s="200"/>
      <c r="G926" s="32"/>
      <c r="H926" s="32"/>
      <c r="I926" s="50" t="str">
        <f t="shared" si="14"/>
        <v/>
      </c>
    </row>
    <row r="927" spans="1:9">
      <c r="A927" s="275" t="str">
        <f>IF(B927="","",DATE(IF(INT(B927)&gt;=4,予算!$L$1,予算!$L$2),INT(B927),ROUND(MOD(B927,1)*100,0)))</f>
        <v/>
      </c>
      <c r="B927" s="68"/>
      <c r="C927" s="43"/>
      <c r="D927" s="11" t="str">
        <f>IF(C927="","",VLOOKUP(C927,予算!$B$7:$C$66,2))</f>
        <v/>
      </c>
      <c r="E927" s="43"/>
      <c r="F927" s="200"/>
      <c r="G927" s="32"/>
      <c r="H927" s="32"/>
      <c r="I927" s="50" t="str">
        <f t="shared" si="14"/>
        <v/>
      </c>
    </row>
    <row r="928" spans="1:9">
      <c r="A928" s="275" t="str">
        <f>IF(B928="","",DATE(IF(INT(B928)&gt;=4,予算!$L$1,予算!$L$2),INT(B928),ROUND(MOD(B928,1)*100,0)))</f>
        <v/>
      </c>
      <c r="B928" s="68"/>
      <c r="C928" s="43"/>
      <c r="D928" s="11" t="str">
        <f>IF(C928="","",VLOOKUP(C928,予算!$B$7:$C$66,2))</f>
        <v/>
      </c>
      <c r="E928" s="43"/>
      <c r="F928" s="200"/>
      <c r="G928" s="32"/>
      <c r="H928" s="32"/>
      <c r="I928" s="50" t="str">
        <f t="shared" si="14"/>
        <v/>
      </c>
    </row>
    <row r="929" spans="1:9">
      <c r="A929" s="275" t="str">
        <f>IF(B929="","",DATE(IF(INT(B929)&gt;=4,予算!$L$1,予算!$L$2),INT(B929),ROUND(MOD(B929,1)*100,0)))</f>
        <v/>
      </c>
      <c r="B929" s="68"/>
      <c r="C929" s="43"/>
      <c r="D929" s="11" t="str">
        <f>IF(C929="","",VLOOKUP(C929,予算!$B$7:$C$66,2))</f>
        <v/>
      </c>
      <c r="E929" s="43"/>
      <c r="F929" s="200"/>
      <c r="G929" s="32"/>
      <c r="H929" s="32"/>
      <c r="I929" s="50" t="str">
        <f t="shared" si="14"/>
        <v/>
      </c>
    </row>
    <row r="930" spans="1:9">
      <c r="A930" s="275" t="str">
        <f>IF(B930="","",DATE(IF(INT(B930)&gt;=4,予算!$L$1,予算!$L$2),INT(B930),ROUND(MOD(B930,1)*100,0)))</f>
        <v/>
      </c>
      <c r="B930" s="68"/>
      <c r="C930" s="43"/>
      <c r="D930" s="11" t="str">
        <f>IF(C930="","",VLOOKUP(C930,予算!$B$7:$C$66,2))</f>
        <v/>
      </c>
      <c r="E930" s="43"/>
      <c r="F930" s="200"/>
      <c r="G930" s="32"/>
      <c r="H930" s="32"/>
      <c r="I930" s="50" t="str">
        <f t="shared" si="14"/>
        <v/>
      </c>
    </row>
    <row r="931" spans="1:9">
      <c r="A931" s="275" t="str">
        <f>IF(B931="","",DATE(IF(INT(B931)&gt;=4,予算!$L$1,予算!$L$2),INT(B931),ROUND(MOD(B931,1)*100,0)))</f>
        <v/>
      </c>
      <c r="B931" s="68"/>
      <c r="C931" s="43"/>
      <c r="D931" s="11" t="str">
        <f>IF(C931="","",VLOOKUP(C931,予算!$B$7:$C$66,2))</f>
        <v/>
      </c>
      <c r="E931" s="43"/>
      <c r="F931" s="200"/>
      <c r="G931" s="32"/>
      <c r="H931" s="32"/>
      <c r="I931" s="50" t="str">
        <f t="shared" si="14"/>
        <v/>
      </c>
    </row>
    <row r="932" spans="1:9">
      <c r="A932" s="275" t="str">
        <f>IF(B932="","",DATE(IF(INT(B932)&gt;=4,予算!$L$1,予算!$L$2),INT(B932),ROUND(MOD(B932,1)*100,0)))</f>
        <v/>
      </c>
      <c r="B932" s="68"/>
      <c r="C932" s="43"/>
      <c r="D932" s="11" t="str">
        <f>IF(C932="","",VLOOKUP(C932,予算!$B$7:$C$66,2))</f>
        <v/>
      </c>
      <c r="E932" s="43"/>
      <c r="F932" s="200"/>
      <c r="G932" s="32"/>
      <c r="H932" s="32"/>
      <c r="I932" s="50" t="str">
        <f t="shared" si="14"/>
        <v/>
      </c>
    </row>
    <row r="933" spans="1:9">
      <c r="A933" s="275" t="str">
        <f>IF(B933="","",DATE(IF(INT(B933)&gt;=4,予算!$L$1,予算!$L$2),INT(B933),ROUND(MOD(B933,1)*100,0)))</f>
        <v/>
      </c>
      <c r="B933" s="68"/>
      <c r="C933" s="43"/>
      <c r="D933" s="11" t="str">
        <f>IF(C933="","",VLOOKUP(C933,予算!$B$7:$C$66,2))</f>
        <v/>
      </c>
      <c r="E933" s="43"/>
      <c r="F933" s="200"/>
      <c r="G933" s="32"/>
      <c r="H933" s="32"/>
      <c r="I933" s="50" t="str">
        <f t="shared" si="14"/>
        <v/>
      </c>
    </row>
    <row r="934" spans="1:9">
      <c r="A934" s="275" t="str">
        <f>IF(B934="","",DATE(IF(INT(B934)&gt;=4,予算!$L$1,予算!$L$2),INT(B934),ROUND(MOD(B934,1)*100,0)))</f>
        <v/>
      </c>
      <c r="B934" s="68"/>
      <c r="C934" s="43"/>
      <c r="D934" s="11" t="str">
        <f>IF(C934="","",VLOOKUP(C934,予算!$B$7:$C$66,2))</f>
        <v/>
      </c>
      <c r="E934" s="43"/>
      <c r="F934" s="200"/>
      <c r="G934" s="32"/>
      <c r="H934" s="32"/>
      <c r="I934" s="50" t="str">
        <f t="shared" si="14"/>
        <v/>
      </c>
    </row>
    <row r="935" spans="1:9">
      <c r="A935" s="275" t="str">
        <f>IF(B935="","",DATE(IF(INT(B935)&gt;=4,予算!$L$1,予算!$L$2),INT(B935),ROUND(MOD(B935,1)*100,0)))</f>
        <v/>
      </c>
      <c r="B935" s="68"/>
      <c r="C935" s="43"/>
      <c r="D935" s="11" t="str">
        <f>IF(C935="","",VLOOKUP(C935,予算!$B$7:$C$66,2))</f>
        <v/>
      </c>
      <c r="E935" s="43"/>
      <c r="F935" s="200"/>
      <c r="G935" s="32"/>
      <c r="H935" s="32"/>
      <c r="I935" s="50" t="str">
        <f t="shared" si="14"/>
        <v/>
      </c>
    </row>
    <row r="936" spans="1:9">
      <c r="A936" s="275" t="str">
        <f>IF(B936="","",DATE(IF(INT(B936)&gt;=4,予算!$L$1,予算!$L$2),INT(B936),ROUND(MOD(B936,1)*100,0)))</f>
        <v/>
      </c>
      <c r="B936" s="68"/>
      <c r="C936" s="43"/>
      <c r="D936" s="11" t="str">
        <f>IF(C936="","",VLOOKUP(C936,予算!$B$7:$C$66,2))</f>
        <v/>
      </c>
      <c r="E936" s="43"/>
      <c r="F936" s="200"/>
      <c r="G936" s="32"/>
      <c r="H936" s="32"/>
      <c r="I936" s="50" t="str">
        <f t="shared" si="14"/>
        <v/>
      </c>
    </row>
    <row r="937" spans="1:9">
      <c r="A937" s="275" t="str">
        <f>IF(B937="","",DATE(IF(INT(B937)&gt;=4,予算!$L$1,予算!$L$2),INT(B937),ROUND(MOD(B937,1)*100,0)))</f>
        <v/>
      </c>
      <c r="B937" s="68"/>
      <c r="C937" s="43"/>
      <c r="D937" s="11" t="str">
        <f>IF(C937="","",VLOOKUP(C937,予算!$B$7:$C$66,2))</f>
        <v/>
      </c>
      <c r="E937" s="43"/>
      <c r="F937" s="200"/>
      <c r="G937" s="32"/>
      <c r="H937" s="32"/>
      <c r="I937" s="50" t="str">
        <f t="shared" si="14"/>
        <v/>
      </c>
    </row>
    <row r="938" spans="1:9">
      <c r="A938" s="275" t="str">
        <f>IF(B938="","",DATE(IF(INT(B938)&gt;=4,予算!$L$1,予算!$L$2),INT(B938),ROUND(MOD(B938,1)*100,0)))</f>
        <v/>
      </c>
      <c r="B938" s="68"/>
      <c r="C938" s="43"/>
      <c r="D938" s="11" t="str">
        <f>IF(C938="","",VLOOKUP(C938,予算!$B$7:$C$66,2))</f>
        <v/>
      </c>
      <c r="E938" s="43"/>
      <c r="F938" s="200"/>
      <c r="G938" s="32"/>
      <c r="H938" s="32"/>
      <c r="I938" s="50" t="str">
        <f t="shared" si="14"/>
        <v/>
      </c>
    </row>
    <row r="939" spans="1:9">
      <c r="A939" s="275" t="str">
        <f>IF(B939="","",DATE(IF(INT(B939)&gt;=4,予算!$L$1,予算!$L$2),INT(B939),ROUND(MOD(B939,1)*100,0)))</f>
        <v/>
      </c>
      <c r="B939" s="68"/>
      <c r="C939" s="43"/>
      <c r="D939" s="11" t="str">
        <f>IF(C939="","",VLOOKUP(C939,予算!$B$7:$C$66,2))</f>
        <v/>
      </c>
      <c r="E939" s="43"/>
      <c r="F939" s="200"/>
      <c r="G939" s="32"/>
      <c r="H939" s="32"/>
      <c r="I939" s="50" t="str">
        <f t="shared" si="14"/>
        <v/>
      </c>
    </row>
    <row r="940" spans="1:9">
      <c r="A940" s="275" t="str">
        <f>IF(B940="","",DATE(IF(INT(B940)&gt;=4,予算!$L$1,予算!$L$2),INT(B940),ROUND(MOD(B940,1)*100,0)))</f>
        <v/>
      </c>
      <c r="B940" s="68"/>
      <c r="C940" s="43"/>
      <c r="D940" s="11" t="str">
        <f>IF(C940="","",VLOOKUP(C940,予算!$B$7:$C$66,2))</f>
        <v/>
      </c>
      <c r="E940" s="43"/>
      <c r="F940" s="200"/>
      <c r="G940" s="32"/>
      <c r="H940" s="32"/>
      <c r="I940" s="50" t="str">
        <f t="shared" si="14"/>
        <v/>
      </c>
    </row>
    <row r="941" spans="1:9">
      <c r="A941" s="275" t="str">
        <f>IF(B941="","",DATE(IF(INT(B941)&gt;=4,予算!$L$1,予算!$L$2),INT(B941),ROUND(MOD(B941,1)*100,0)))</f>
        <v/>
      </c>
      <c r="B941" s="68"/>
      <c r="C941" s="43"/>
      <c r="D941" s="11" t="str">
        <f>IF(C941="","",VLOOKUP(C941,予算!$B$7:$C$66,2))</f>
        <v/>
      </c>
      <c r="E941" s="43"/>
      <c r="F941" s="200"/>
      <c r="G941" s="32"/>
      <c r="H941" s="32"/>
      <c r="I941" s="50" t="str">
        <f t="shared" si="14"/>
        <v/>
      </c>
    </row>
    <row r="942" spans="1:9">
      <c r="A942" s="275" t="str">
        <f>IF(B942="","",DATE(IF(INT(B942)&gt;=4,予算!$L$1,予算!$L$2),INT(B942),ROUND(MOD(B942,1)*100,0)))</f>
        <v/>
      </c>
      <c r="B942" s="68"/>
      <c r="C942" s="43"/>
      <c r="D942" s="11" t="str">
        <f>IF(C942="","",VLOOKUP(C942,予算!$B$7:$C$66,2))</f>
        <v/>
      </c>
      <c r="E942" s="43"/>
      <c r="F942" s="200"/>
      <c r="G942" s="32"/>
      <c r="H942" s="32"/>
      <c r="I942" s="50" t="str">
        <f t="shared" si="14"/>
        <v/>
      </c>
    </row>
    <row r="943" spans="1:9">
      <c r="A943" s="275" t="str">
        <f>IF(B943="","",DATE(IF(INT(B943)&gt;=4,予算!$L$1,予算!$L$2),INT(B943),ROUND(MOD(B943,1)*100,0)))</f>
        <v/>
      </c>
      <c r="B943" s="68"/>
      <c r="C943" s="43"/>
      <c r="D943" s="11" t="str">
        <f>IF(C943="","",VLOOKUP(C943,予算!$B$7:$C$66,2))</f>
        <v/>
      </c>
      <c r="E943" s="43"/>
      <c r="F943" s="200"/>
      <c r="G943" s="32"/>
      <c r="H943" s="32"/>
      <c r="I943" s="50" t="str">
        <f t="shared" si="14"/>
        <v/>
      </c>
    </row>
    <row r="944" spans="1:9">
      <c r="A944" s="275" t="str">
        <f>IF(B944="","",DATE(IF(INT(B944)&gt;=4,予算!$L$1,予算!$L$2),INT(B944),ROUND(MOD(B944,1)*100,0)))</f>
        <v/>
      </c>
      <c r="B944" s="68"/>
      <c r="C944" s="43"/>
      <c r="D944" s="11" t="str">
        <f>IF(C944="","",VLOOKUP(C944,予算!$B$7:$C$66,2))</f>
        <v/>
      </c>
      <c r="E944" s="43"/>
      <c r="F944" s="200"/>
      <c r="G944" s="32"/>
      <c r="H944" s="32"/>
      <c r="I944" s="50" t="str">
        <f t="shared" si="14"/>
        <v/>
      </c>
    </row>
    <row r="945" spans="1:9">
      <c r="A945" s="275" t="str">
        <f>IF(B945="","",DATE(IF(INT(B945)&gt;=4,予算!$L$1,予算!$L$2),INT(B945),ROUND(MOD(B945,1)*100,0)))</f>
        <v/>
      </c>
      <c r="B945" s="68"/>
      <c r="C945" s="43"/>
      <c r="D945" s="11" t="str">
        <f>IF(C945="","",VLOOKUP(C945,予算!$B$7:$C$66,2))</f>
        <v/>
      </c>
      <c r="E945" s="43"/>
      <c r="F945" s="200"/>
      <c r="G945" s="32"/>
      <c r="H945" s="32"/>
      <c r="I945" s="50" t="str">
        <f t="shared" si="14"/>
        <v/>
      </c>
    </row>
    <row r="946" spans="1:9">
      <c r="A946" s="275" t="str">
        <f>IF(B946="","",DATE(IF(INT(B946)&gt;=4,予算!$L$1,予算!$L$2),INT(B946),ROUND(MOD(B946,1)*100,0)))</f>
        <v/>
      </c>
      <c r="B946" s="68"/>
      <c r="C946" s="43"/>
      <c r="D946" s="11" t="str">
        <f>IF(C946="","",VLOOKUP(C946,予算!$B$7:$C$66,2))</f>
        <v/>
      </c>
      <c r="E946" s="43"/>
      <c r="F946" s="200"/>
      <c r="G946" s="32"/>
      <c r="H946" s="32"/>
      <c r="I946" s="50" t="str">
        <f t="shared" si="14"/>
        <v/>
      </c>
    </row>
    <row r="947" spans="1:9">
      <c r="A947" s="275" t="str">
        <f>IF(B947="","",DATE(IF(INT(B947)&gt;=4,予算!$L$1,予算!$L$2),INT(B947),ROUND(MOD(B947,1)*100,0)))</f>
        <v/>
      </c>
      <c r="B947" s="68"/>
      <c r="C947" s="43"/>
      <c r="D947" s="11" t="str">
        <f>IF(C947="","",VLOOKUP(C947,予算!$B$7:$C$66,2))</f>
        <v/>
      </c>
      <c r="E947" s="43"/>
      <c r="F947" s="200"/>
      <c r="G947" s="32"/>
      <c r="H947" s="32"/>
      <c r="I947" s="50" t="str">
        <f t="shared" si="14"/>
        <v/>
      </c>
    </row>
    <row r="948" spans="1:9">
      <c r="A948" s="275" t="str">
        <f>IF(B948="","",DATE(IF(INT(B948)&gt;=4,予算!$L$1,予算!$L$2),INT(B948),ROUND(MOD(B948,1)*100,0)))</f>
        <v/>
      </c>
      <c r="B948" s="68"/>
      <c r="C948" s="43"/>
      <c r="D948" s="11" t="str">
        <f>IF(C948="","",VLOOKUP(C948,予算!$B$7:$C$66,2))</f>
        <v/>
      </c>
      <c r="E948" s="43"/>
      <c r="F948" s="200"/>
      <c r="G948" s="32"/>
      <c r="H948" s="32"/>
      <c r="I948" s="50" t="str">
        <f t="shared" si="14"/>
        <v/>
      </c>
    </row>
    <row r="949" spans="1:9">
      <c r="A949" s="275" t="str">
        <f>IF(B949="","",DATE(IF(INT(B949)&gt;=4,予算!$L$1,予算!$L$2),INT(B949),ROUND(MOD(B949,1)*100,0)))</f>
        <v/>
      </c>
      <c r="B949" s="68"/>
      <c r="C949" s="43"/>
      <c r="D949" s="11" t="str">
        <f>IF(C949="","",VLOOKUP(C949,予算!$B$7:$C$66,2))</f>
        <v/>
      </c>
      <c r="E949" s="43"/>
      <c r="F949" s="200"/>
      <c r="G949" s="32"/>
      <c r="H949" s="32"/>
      <c r="I949" s="50" t="str">
        <f t="shared" si="14"/>
        <v/>
      </c>
    </row>
    <row r="950" spans="1:9">
      <c r="A950" s="275" t="str">
        <f>IF(B950="","",DATE(IF(INT(B950)&gt;=4,予算!$L$1,予算!$L$2),INT(B950),ROUND(MOD(B950,1)*100,0)))</f>
        <v/>
      </c>
      <c r="B950" s="68"/>
      <c r="C950" s="43"/>
      <c r="D950" s="11" t="str">
        <f>IF(C950="","",VLOOKUP(C950,予算!$B$7:$C$66,2))</f>
        <v/>
      </c>
      <c r="E950" s="43"/>
      <c r="F950" s="200"/>
      <c r="G950" s="32"/>
      <c r="H950" s="32"/>
      <c r="I950" s="50" t="str">
        <f t="shared" si="14"/>
        <v/>
      </c>
    </row>
    <row r="951" spans="1:9">
      <c r="A951" s="275" t="str">
        <f>IF(B951="","",DATE(IF(INT(B951)&gt;=4,予算!$L$1,予算!$L$2),INT(B951),ROUND(MOD(B951,1)*100,0)))</f>
        <v/>
      </c>
      <c r="B951" s="68"/>
      <c r="C951" s="43"/>
      <c r="D951" s="11" t="str">
        <f>IF(C951="","",VLOOKUP(C951,予算!$B$7:$C$66,2))</f>
        <v/>
      </c>
      <c r="E951" s="43"/>
      <c r="F951" s="200"/>
      <c r="G951" s="32"/>
      <c r="H951" s="32"/>
      <c r="I951" s="50" t="str">
        <f t="shared" si="14"/>
        <v/>
      </c>
    </row>
    <row r="952" spans="1:9">
      <c r="A952" s="275" t="str">
        <f>IF(B952="","",DATE(IF(INT(B952)&gt;=4,予算!$L$1,予算!$L$2),INT(B952),ROUND(MOD(B952,1)*100,0)))</f>
        <v/>
      </c>
      <c r="B952" s="68"/>
      <c r="C952" s="43"/>
      <c r="D952" s="11" t="str">
        <f>IF(C952="","",VLOOKUP(C952,予算!$B$7:$C$66,2))</f>
        <v/>
      </c>
      <c r="E952" s="43"/>
      <c r="F952" s="200"/>
      <c r="G952" s="32"/>
      <c r="H952" s="32"/>
      <c r="I952" s="50" t="str">
        <f t="shared" si="14"/>
        <v/>
      </c>
    </row>
    <row r="953" spans="1:9">
      <c r="A953" s="275" t="str">
        <f>IF(B953="","",DATE(IF(INT(B953)&gt;=4,予算!$L$1,予算!$L$2),INT(B953),ROUND(MOD(B953,1)*100,0)))</f>
        <v/>
      </c>
      <c r="B953" s="68"/>
      <c r="C953" s="43"/>
      <c r="D953" s="11" t="str">
        <f>IF(C953="","",VLOOKUP(C953,予算!$B$7:$C$66,2))</f>
        <v/>
      </c>
      <c r="E953" s="43"/>
      <c r="F953" s="200"/>
      <c r="G953" s="32"/>
      <c r="H953" s="32"/>
      <c r="I953" s="50" t="str">
        <f t="shared" si="14"/>
        <v/>
      </c>
    </row>
    <row r="954" spans="1:9">
      <c r="A954" s="275" t="str">
        <f>IF(B954="","",DATE(IF(INT(B954)&gt;=4,予算!$L$1,予算!$L$2),INT(B954),ROUND(MOD(B954,1)*100,0)))</f>
        <v/>
      </c>
      <c r="B954" s="68"/>
      <c r="C954" s="43"/>
      <c r="D954" s="11" t="str">
        <f>IF(C954="","",VLOOKUP(C954,予算!$B$7:$C$66,2))</f>
        <v/>
      </c>
      <c r="E954" s="43"/>
      <c r="F954" s="200"/>
      <c r="G954" s="32"/>
      <c r="H954" s="32"/>
      <c r="I954" s="50" t="str">
        <f t="shared" si="14"/>
        <v/>
      </c>
    </row>
    <row r="955" spans="1:9">
      <c r="A955" s="275" t="str">
        <f>IF(B955="","",DATE(IF(INT(B955)&gt;=4,予算!$L$1,予算!$L$2),INT(B955),ROUND(MOD(B955,1)*100,0)))</f>
        <v/>
      </c>
      <c r="B955" s="68"/>
      <c r="C955" s="43"/>
      <c r="D955" s="11" t="str">
        <f>IF(C955="","",VLOOKUP(C955,予算!$B$7:$C$66,2))</f>
        <v/>
      </c>
      <c r="E955" s="43"/>
      <c r="F955" s="200"/>
      <c r="G955" s="32"/>
      <c r="H955" s="32"/>
      <c r="I955" s="50" t="str">
        <f t="shared" si="14"/>
        <v/>
      </c>
    </row>
    <row r="956" spans="1:9">
      <c r="A956" s="275" t="str">
        <f>IF(B956="","",DATE(IF(INT(B956)&gt;=4,予算!$L$1,予算!$L$2),INT(B956),ROUND(MOD(B956,1)*100,0)))</f>
        <v/>
      </c>
      <c r="B956" s="68"/>
      <c r="C956" s="43"/>
      <c r="D956" s="11" t="str">
        <f>IF(C956="","",VLOOKUP(C956,予算!$B$7:$C$66,2))</f>
        <v/>
      </c>
      <c r="E956" s="43"/>
      <c r="F956" s="200"/>
      <c r="G956" s="32"/>
      <c r="H956" s="32"/>
      <c r="I956" s="50" t="str">
        <f t="shared" si="14"/>
        <v/>
      </c>
    </row>
    <row r="957" spans="1:9">
      <c r="A957" s="275" t="str">
        <f>IF(B957="","",DATE(IF(INT(B957)&gt;=4,予算!$L$1,予算!$L$2),INT(B957),ROUND(MOD(B957,1)*100,0)))</f>
        <v/>
      </c>
      <c r="B957" s="68"/>
      <c r="C957" s="43"/>
      <c r="D957" s="11" t="str">
        <f>IF(C957="","",VLOOKUP(C957,予算!$B$7:$C$66,2))</f>
        <v/>
      </c>
      <c r="E957" s="43"/>
      <c r="F957" s="200"/>
      <c r="G957" s="32"/>
      <c r="H957" s="32"/>
      <c r="I957" s="50" t="str">
        <f t="shared" si="14"/>
        <v/>
      </c>
    </row>
    <row r="958" spans="1:9">
      <c r="A958" s="275" t="str">
        <f>IF(B958="","",DATE(IF(INT(B958)&gt;=4,予算!$L$1,予算!$L$2),INT(B958),ROUND(MOD(B958,1)*100,0)))</f>
        <v/>
      </c>
      <c r="B958" s="68"/>
      <c r="C958" s="43"/>
      <c r="D958" s="11" t="str">
        <f>IF(C958="","",VLOOKUP(C958,予算!$B$7:$C$66,2))</f>
        <v/>
      </c>
      <c r="E958" s="43"/>
      <c r="F958" s="200"/>
      <c r="G958" s="32"/>
      <c r="H958" s="32"/>
      <c r="I958" s="50" t="str">
        <f t="shared" si="14"/>
        <v/>
      </c>
    </row>
    <row r="959" spans="1:9">
      <c r="A959" s="275" t="str">
        <f>IF(B959="","",DATE(IF(INT(B959)&gt;=4,予算!$L$1,予算!$L$2),INT(B959),ROUND(MOD(B959,1)*100,0)))</f>
        <v/>
      </c>
      <c r="B959" s="68"/>
      <c r="C959" s="43"/>
      <c r="D959" s="11" t="str">
        <f>IF(C959="","",VLOOKUP(C959,予算!$B$7:$C$66,2))</f>
        <v/>
      </c>
      <c r="E959" s="43"/>
      <c r="F959" s="200"/>
      <c r="G959" s="32"/>
      <c r="H959" s="32"/>
      <c r="I959" s="50" t="str">
        <f t="shared" si="14"/>
        <v/>
      </c>
    </row>
    <row r="960" spans="1:9">
      <c r="A960" s="275" t="str">
        <f>IF(B960="","",DATE(IF(INT(B960)&gt;=4,予算!$L$1,予算!$L$2),INT(B960),ROUND(MOD(B960,1)*100,0)))</f>
        <v/>
      </c>
      <c r="B960" s="68"/>
      <c r="C960" s="43"/>
      <c r="D960" s="11" t="str">
        <f>IF(C960="","",VLOOKUP(C960,予算!$B$7:$C$66,2))</f>
        <v/>
      </c>
      <c r="E960" s="43"/>
      <c r="F960" s="200"/>
      <c r="G960" s="32"/>
      <c r="H960" s="32"/>
      <c r="I960" s="50" t="str">
        <f t="shared" si="14"/>
        <v/>
      </c>
    </row>
    <row r="961" spans="1:9">
      <c r="A961" s="275" t="str">
        <f>IF(B961="","",DATE(IF(INT(B961)&gt;=4,予算!$L$1,予算!$L$2),INT(B961),ROUND(MOD(B961,1)*100,0)))</f>
        <v/>
      </c>
      <c r="B961" s="68"/>
      <c r="C961" s="43"/>
      <c r="D961" s="11" t="str">
        <f>IF(C961="","",VLOOKUP(C961,予算!$B$7:$C$66,2))</f>
        <v/>
      </c>
      <c r="E961" s="43"/>
      <c r="F961" s="200"/>
      <c r="G961" s="32"/>
      <c r="H961" s="32"/>
      <c r="I961" s="50" t="str">
        <f t="shared" si="14"/>
        <v/>
      </c>
    </row>
    <row r="962" spans="1:9">
      <c r="A962" s="275" t="str">
        <f>IF(B962="","",DATE(IF(INT(B962)&gt;=4,予算!$L$1,予算!$L$2),INT(B962),ROUND(MOD(B962,1)*100,0)))</f>
        <v/>
      </c>
      <c r="B962" s="68"/>
      <c r="C962" s="43"/>
      <c r="D962" s="11" t="str">
        <f>IF(C962="","",VLOOKUP(C962,予算!$B$7:$C$66,2))</f>
        <v/>
      </c>
      <c r="E962" s="43"/>
      <c r="F962" s="200"/>
      <c r="G962" s="32"/>
      <c r="H962" s="32"/>
      <c r="I962" s="50" t="str">
        <f t="shared" si="14"/>
        <v/>
      </c>
    </row>
    <row r="963" spans="1:9">
      <c r="A963" s="275" t="str">
        <f>IF(B963="","",DATE(IF(INT(B963)&gt;=4,予算!$L$1,予算!$L$2),INT(B963),ROUND(MOD(B963,1)*100,0)))</f>
        <v/>
      </c>
      <c r="B963" s="68"/>
      <c r="C963" s="43"/>
      <c r="D963" s="11" t="str">
        <f>IF(C963="","",VLOOKUP(C963,予算!$B$7:$C$66,2))</f>
        <v/>
      </c>
      <c r="E963" s="43"/>
      <c r="F963" s="200"/>
      <c r="G963" s="32"/>
      <c r="H963" s="32"/>
      <c r="I963" s="50" t="str">
        <f t="shared" si="14"/>
        <v/>
      </c>
    </row>
    <row r="964" spans="1:9">
      <c r="A964" s="275" t="str">
        <f>IF(B964="","",DATE(IF(INT(B964)&gt;=4,予算!$L$1,予算!$L$2),INT(B964),ROUND(MOD(B964,1)*100,0)))</f>
        <v/>
      </c>
      <c r="B964" s="68"/>
      <c r="C964" s="43"/>
      <c r="D964" s="11" t="str">
        <f>IF(C964="","",VLOOKUP(C964,予算!$B$7:$C$66,2))</f>
        <v/>
      </c>
      <c r="E964" s="43"/>
      <c r="F964" s="200"/>
      <c r="G964" s="32"/>
      <c r="H964" s="32"/>
      <c r="I964" s="50" t="str">
        <f t="shared" si="14"/>
        <v/>
      </c>
    </row>
    <row r="965" spans="1:9">
      <c r="A965" s="275" t="str">
        <f>IF(B965="","",DATE(IF(INT(B965)&gt;=4,予算!$L$1,予算!$L$2),INT(B965),ROUND(MOD(B965,1)*100,0)))</f>
        <v/>
      </c>
      <c r="B965" s="68"/>
      <c r="C965" s="43"/>
      <c r="D965" s="11" t="str">
        <f>IF(C965="","",VLOOKUP(C965,予算!$B$7:$C$66,2))</f>
        <v/>
      </c>
      <c r="E965" s="43"/>
      <c r="F965" s="200"/>
      <c r="G965" s="32"/>
      <c r="H965" s="32"/>
      <c r="I965" s="50" t="str">
        <f t="shared" si="14"/>
        <v/>
      </c>
    </row>
    <row r="966" spans="1:9">
      <c r="A966" s="275" t="str">
        <f>IF(B966="","",DATE(IF(INT(B966)&gt;=4,予算!$L$1,予算!$L$2),INT(B966),ROUND(MOD(B966,1)*100,0)))</f>
        <v/>
      </c>
      <c r="B966" s="68"/>
      <c r="C966" s="43"/>
      <c r="D966" s="11" t="str">
        <f>IF(C966="","",VLOOKUP(C966,予算!$B$7:$C$66,2))</f>
        <v/>
      </c>
      <c r="E966" s="43"/>
      <c r="F966" s="200"/>
      <c r="G966" s="32"/>
      <c r="H966" s="32"/>
      <c r="I966" s="50" t="str">
        <f t="shared" si="14"/>
        <v/>
      </c>
    </row>
    <row r="967" spans="1:9">
      <c r="A967" s="275" t="str">
        <f>IF(B967="","",DATE(IF(INT(B967)&gt;=4,予算!$L$1,予算!$L$2),INT(B967),ROUND(MOD(B967,1)*100,0)))</f>
        <v/>
      </c>
      <c r="B967" s="68"/>
      <c r="C967" s="43"/>
      <c r="D967" s="11" t="str">
        <f>IF(C967="","",VLOOKUP(C967,予算!$B$7:$C$66,2))</f>
        <v/>
      </c>
      <c r="E967" s="43"/>
      <c r="F967" s="200"/>
      <c r="G967" s="32"/>
      <c r="H967" s="32"/>
      <c r="I967" s="50" t="str">
        <f t="shared" si="14"/>
        <v/>
      </c>
    </row>
    <row r="968" spans="1:9">
      <c r="A968" s="275" t="str">
        <f>IF(B968="","",DATE(IF(INT(B968)&gt;=4,予算!$L$1,予算!$L$2),INT(B968),ROUND(MOD(B968,1)*100,0)))</f>
        <v/>
      </c>
      <c r="B968" s="68"/>
      <c r="C968" s="43"/>
      <c r="D968" s="11" t="str">
        <f>IF(C968="","",VLOOKUP(C968,予算!$B$7:$C$66,2))</f>
        <v/>
      </c>
      <c r="E968" s="43"/>
      <c r="F968" s="200"/>
      <c r="G968" s="32"/>
      <c r="H968" s="32"/>
      <c r="I968" s="50" t="str">
        <f t="shared" si="14"/>
        <v/>
      </c>
    </row>
    <row r="969" spans="1:9">
      <c r="A969" s="275" t="str">
        <f>IF(B969="","",DATE(IF(INT(B969)&gt;=4,予算!$L$1,予算!$L$2),INT(B969),ROUND(MOD(B969,1)*100,0)))</f>
        <v/>
      </c>
      <c r="B969" s="68"/>
      <c r="C969" s="43"/>
      <c r="D969" s="11" t="str">
        <f>IF(C969="","",VLOOKUP(C969,予算!$B$7:$C$66,2))</f>
        <v/>
      </c>
      <c r="E969" s="43"/>
      <c r="F969" s="200"/>
      <c r="G969" s="32"/>
      <c r="H969" s="32"/>
      <c r="I969" s="50" t="str">
        <f t="shared" ref="I969:I1005" si="15">IF(C969="","",I968+G969-H969)</f>
        <v/>
      </c>
    </row>
    <row r="970" spans="1:9">
      <c r="A970" s="275" t="str">
        <f>IF(B970="","",DATE(IF(INT(B970)&gt;=4,予算!$L$1,予算!$L$2),INT(B970),ROUND(MOD(B970,1)*100,0)))</f>
        <v/>
      </c>
      <c r="B970" s="68"/>
      <c r="C970" s="43"/>
      <c r="D970" s="11" t="str">
        <f>IF(C970="","",VLOOKUP(C970,予算!$B$7:$C$66,2))</f>
        <v/>
      </c>
      <c r="E970" s="43"/>
      <c r="F970" s="200"/>
      <c r="G970" s="32"/>
      <c r="H970" s="32"/>
      <c r="I970" s="50" t="str">
        <f t="shared" si="15"/>
        <v/>
      </c>
    </row>
    <row r="971" spans="1:9">
      <c r="A971" s="275" t="str">
        <f>IF(B971="","",DATE(IF(INT(B971)&gt;=4,予算!$L$1,予算!$L$2),INT(B971),ROUND(MOD(B971,1)*100,0)))</f>
        <v/>
      </c>
      <c r="B971" s="68"/>
      <c r="C971" s="43"/>
      <c r="D971" s="11" t="str">
        <f>IF(C971="","",VLOOKUP(C971,予算!$B$7:$C$66,2))</f>
        <v/>
      </c>
      <c r="E971" s="43"/>
      <c r="F971" s="200"/>
      <c r="G971" s="32"/>
      <c r="H971" s="32"/>
      <c r="I971" s="50" t="str">
        <f t="shared" si="15"/>
        <v/>
      </c>
    </row>
    <row r="972" spans="1:9">
      <c r="A972" s="275" t="str">
        <f>IF(B972="","",DATE(IF(INT(B972)&gt;=4,予算!$L$1,予算!$L$2),INT(B972),ROUND(MOD(B972,1)*100,0)))</f>
        <v/>
      </c>
      <c r="B972" s="68"/>
      <c r="C972" s="43"/>
      <c r="D972" s="11" t="str">
        <f>IF(C972="","",VLOOKUP(C972,予算!$B$7:$C$66,2))</f>
        <v/>
      </c>
      <c r="E972" s="43"/>
      <c r="F972" s="200"/>
      <c r="G972" s="32"/>
      <c r="H972" s="32"/>
      <c r="I972" s="50" t="str">
        <f t="shared" si="15"/>
        <v/>
      </c>
    </row>
    <row r="973" spans="1:9">
      <c r="A973" s="275" t="str">
        <f>IF(B973="","",DATE(IF(INT(B973)&gt;=4,予算!$L$1,予算!$L$2),INT(B973),ROUND(MOD(B973,1)*100,0)))</f>
        <v/>
      </c>
      <c r="B973" s="68"/>
      <c r="C973" s="43"/>
      <c r="D973" s="11" t="str">
        <f>IF(C973="","",VLOOKUP(C973,予算!$B$7:$C$66,2))</f>
        <v/>
      </c>
      <c r="E973" s="43"/>
      <c r="F973" s="200"/>
      <c r="G973" s="32"/>
      <c r="H973" s="32"/>
      <c r="I973" s="50" t="str">
        <f t="shared" si="15"/>
        <v/>
      </c>
    </row>
    <row r="974" spans="1:9">
      <c r="A974" s="275" t="str">
        <f>IF(B974="","",DATE(IF(INT(B974)&gt;=4,予算!$L$1,予算!$L$2),INT(B974),ROUND(MOD(B974,1)*100,0)))</f>
        <v/>
      </c>
      <c r="B974" s="68"/>
      <c r="C974" s="43"/>
      <c r="D974" s="11" t="str">
        <f>IF(C974="","",VLOOKUP(C974,予算!$B$7:$C$66,2))</f>
        <v/>
      </c>
      <c r="E974" s="43"/>
      <c r="F974" s="200"/>
      <c r="G974" s="32"/>
      <c r="H974" s="32"/>
      <c r="I974" s="50" t="str">
        <f t="shared" si="15"/>
        <v/>
      </c>
    </row>
    <row r="975" spans="1:9">
      <c r="A975" s="275" t="str">
        <f>IF(B975="","",DATE(IF(INT(B975)&gt;=4,予算!$L$1,予算!$L$2),INT(B975),ROUND(MOD(B975,1)*100,0)))</f>
        <v/>
      </c>
      <c r="B975" s="68"/>
      <c r="C975" s="43"/>
      <c r="D975" s="11" t="str">
        <f>IF(C975="","",VLOOKUP(C975,予算!$B$7:$C$66,2))</f>
        <v/>
      </c>
      <c r="E975" s="43"/>
      <c r="F975" s="200"/>
      <c r="G975" s="32"/>
      <c r="H975" s="32"/>
      <c r="I975" s="50" t="str">
        <f t="shared" si="15"/>
        <v/>
      </c>
    </row>
    <row r="976" spans="1:9">
      <c r="A976" s="275" t="str">
        <f>IF(B976="","",DATE(IF(INT(B976)&gt;=4,予算!$L$1,予算!$L$2),INT(B976),ROUND(MOD(B976,1)*100,0)))</f>
        <v/>
      </c>
      <c r="B976" s="68"/>
      <c r="C976" s="43"/>
      <c r="D976" s="11" t="str">
        <f>IF(C976="","",VLOOKUP(C976,予算!$B$7:$C$66,2))</f>
        <v/>
      </c>
      <c r="E976" s="43"/>
      <c r="F976" s="200"/>
      <c r="G976" s="32"/>
      <c r="H976" s="32"/>
      <c r="I976" s="50" t="str">
        <f t="shared" si="15"/>
        <v/>
      </c>
    </row>
    <row r="977" spans="1:9">
      <c r="A977" s="275" t="str">
        <f>IF(B977="","",DATE(IF(INT(B977)&gt;=4,予算!$L$1,予算!$L$2),INT(B977),ROUND(MOD(B977,1)*100,0)))</f>
        <v/>
      </c>
      <c r="B977" s="68"/>
      <c r="C977" s="43"/>
      <c r="D977" s="11" t="str">
        <f>IF(C977="","",VLOOKUP(C977,予算!$B$7:$C$66,2))</f>
        <v/>
      </c>
      <c r="E977" s="43"/>
      <c r="F977" s="200"/>
      <c r="G977" s="32"/>
      <c r="H977" s="32"/>
      <c r="I977" s="50" t="str">
        <f t="shared" si="15"/>
        <v/>
      </c>
    </row>
    <row r="978" spans="1:9">
      <c r="A978" s="275" t="str">
        <f>IF(B978="","",DATE(IF(INT(B978)&gt;=4,予算!$L$1,予算!$L$2),INT(B978),ROUND(MOD(B978,1)*100,0)))</f>
        <v/>
      </c>
      <c r="B978" s="68"/>
      <c r="C978" s="43"/>
      <c r="D978" s="11" t="str">
        <f>IF(C978="","",VLOOKUP(C978,予算!$B$7:$C$66,2))</f>
        <v/>
      </c>
      <c r="E978" s="43"/>
      <c r="F978" s="200"/>
      <c r="G978" s="32"/>
      <c r="H978" s="32"/>
      <c r="I978" s="50" t="str">
        <f t="shared" si="15"/>
        <v/>
      </c>
    </row>
    <row r="979" spans="1:9">
      <c r="A979" s="275" t="str">
        <f>IF(B979="","",DATE(IF(INT(B979)&gt;=4,予算!$L$1,予算!$L$2),INT(B979),ROUND(MOD(B979,1)*100,0)))</f>
        <v/>
      </c>
      <c r="B979" s="68"/>
      <c r="C979" s="43"/>
      <c r="D979" s="11" t="str">
        <f>IF(C979="","",VLOOKUP(C979,予算!$B$7:$C$66,2))</f>
        <v/>
      </c>
      <c r="E979" s="43"/>
      <c r="F979" s="200"/>
      <c r="G979" s="32"/>
      <c r="H979" s="32"/>
      <c r="I979" s="50" t="str">
        <f t="shared" si="15"/>
        <v/>
      </c>
    </row>
    <row r="980" spans="1:9">
      <c r="A980" s="275" t="str">
        <f>IF(B980="","",DATE(IF(INT(B980)&gt;=4,予算!$L$1,予算!$L$2),INT(B980),ROUND(MOD(B980,1)*100,0)))</f>
        <v/>
      </c>
      <c r="B980" s="68"/>
      <c r="C980" s="43"/>
      <c r="D980" s="11" t="str">
        <f>IF(C980="","",VLOOKUP(C980,予算!$B$7:$C$66,2))</f>
        <v/>
      </c>
      <c r="E980" s="43"/>
      <c r="F980" s="200"/>
      <c r="G980" s="32"/>
      <c r="H980" s="32"/>
      <c r="I980" s="50" t="str">
        <f t="shared" si="15"/>
        <v/>
      </c>
    </row>
    <row r="981" spans="1:9">
      <c r="A981" s="275" t="str">
        <f>IF(B981="","",DATE(IF(INT(B981)&gt;=4,予算!$L$1,予算!$L$2),INT(B981),ROUND(MOD(B981,1)*100,0)))</f>
        <v/>
      </c>
      <c r="B981" s="68"/>
      <c r="C981" s="43"/>
      <c r="D981" s="11" t="str">
        <f>IF(C981="","",VLOOKUP(C981,予算!$B$7:$C$66,2))</f>
        <v/>
      </c>
      <c r="E981" s="43"/>
      <c r="F981" s="200"/>
      <c r="G981" s="32"/>
      <c r="H981" s="32"/>
      <c r="I981" s="50" t="str">
        <f t="shared" si="15"/>
        <v/>
      </c>
    </row>
    <row r="982" spans="1:9">
      <c r="A982" s="275" t="str">
        <f>IF(B982="","",DATE(IF(INT(B982)&gt;=4,予算!$L$1,予算!$L$2),INT(B982),ROUND(MOD(B982,1)*100,0)))</f>
        <v/>
      </c>
      <c r="B982" s="68"/>
      <c r="C982" s="43"/>
      <c r="D982" s="11" t="str">
        <f>IF(C982="","",VLOOKUP(C982,予算!$B$7:$C$66,2))</f>
        <v/>
      </c>
      <c r="E982" s="43"/>
      <c r="F982" s="200"/>
      <c r="G982" s="32"/>
      <c r="H982" s="32"/>
      <c r="I982" s="50" t="str">
        <f t="shared" si="15"/>
        <v/>
      </c>
    </row>
    <row r="983" spans="1:9">
      <c r="A983" s="275" t="str">
        <f>IF(B983="","",DATE(IF(INT(B983)&gt;=4,予算!$L$1,予算!$L$2),INT(B983),ROUND(MOD(B983,1)*100,0)))</f>
        <v/>
      </c>
      <c r="B983" s="68"/>
      <c r="C983" s="43"/>
      <c r="D983" s="11" t="str">
        <f>IF(C983="","",VLOOKUP(C983,予算!$B$7:$C$66,2))</f>
        <v/>
      </c>
      <c r="E983" s="43"/>
      <c r="F983" s="200"/>
      <c r="G983" s="32"/>
      <c r="H983" s="32"/>
      <c r="I983" s="50" t="str">
        <f t="shared" si="15"/>
        <v/>
      </c>
    </row>
    <row r="984" spans="1:9">
      <c r="A984" s="275" t="str">
        <f>IF(B984="","",DATE(IF(INT(B984)&gt;=4,予算!$L$1,予算!$L$2),INT(B984),ROUND(MOD(B984,1)*100,0)))</f>
        <v/>
      </c>
      <c r="B984" s="68"/>
      <c r="C984" s="43"/>
      <c r="D984" s="11" t="str">
        <f>IF(C984="","",VLOOKUP(C984,予算!$B$7:$C$66,2))</f>
        <v/>
      </c>
      <c r="E984" s="43"/>
      <c r="F984" s="200"/>
      <c r="G984" s="32"/>
      <c r="H984" s="32"/>
      <c r="I984" s="50" t="str">
        <f t="shared" si="15"/>
        <v/>
      </c>
    </row>
    <row r="985" spans="1:9">
      <c r="A985" s="275" t="str">
        <f>IF(B985="","",DATE(IF(INT(B985)&gt;=4,予算!$L$1,予算!$L$2),INT(B985),ROUND(MOD(B985,1)*100,0)))</f>
        <v/>
      </c>
      <c r="B985" s="68"/>
      <c r="C985" s="43"/>
      <c r="D985" s="11" t="str">
        <f>IF(C985="","",VLOOKUP(C985,予算!$B$7:$C$66,2))</f>
        <v/>
      </c>
      <c r="E985" s="43"/>
      <c r="F985" s="200"/>
      <c r="G985" s="32"/>
      <c r="H985" s="32"/>
      <c r="I985" s="50" t="str">
        <f t="shared" si="15"/>
        <v/>
      </c>
    </row>
    <row r="986" spans="1:9">
      <c r="A986" s="275" t="str">
        <f>IF(B986="","",DATE(IF(INT(B986)&gt;=4,予算!$L$1,予算!$L$2),INT(B986),ROUND(MOD(B986,1)*100,0)))</f>
        <v/>
      </c>
      <c r="B986" s="68"/>
      <c r="C986" s="43"/>
      <c r="D986" s="11" t="str">
        <f>IF(C986="","",VLOOKUP(C986,予算!$B$7:$C$66,2))</f>
        <v/>
      </c>
      <c r="E986" s="43"/>
      <c r="F986" s="200"/>
      <c r="G986" s="32"/>
      <c r="H986" s="32"/>
      <c r="I986" s="50" t="str">
        <f t="shared" si="15"/>
        <v/>
      </c>
    </row>
    <row r="987" spans="1:9">
      <c r="A987" s="275" t="str">
        <f>IF(B987="","",DATE(IF(INT(B987)&gt;=4,予算!$L$1,予算!$L$2),INT(B987),ROUND(MOD(B987,1)*100,0)))</f>
        <v/>
      </c>
      <c r="B987" s="68"/>
      <c r="C987" s="43"/>
      <c r="D987" s="11" t="str">
        <f>IF(C987="","",VLOOKUP(C987,予算!$B$7:$C$66,2))</f>
        <v/>
      </c>
      <c r="E987" s="43"/>
      <c r="F987" s="200"/>
      <c r="G987" s="32"/>
      <c r="H987" s="32"/>
      <c r="I987" s="50" t="str">
        <f t="shared" si="15"/>
        <v/>
      </c>
    </row>
    <row r="988" spans="1:9">
      <c r="A988" s="275" t="str">
        <f>IF(B988="","",DATE(IF(INT(B988)&gt;=4,予算!$L$1,予算!$L$2),INT(B988),ROUND(MOD(B988,1)*100,0)))</f>
        <v/>
      </c>
      <c r="B988" s="68"/>
      <c r="C988" s="43"/>
      <c r="D988" s="11" t="str">
        <f>IF(C988="","",VLOOKUP(C988,予算!$B$7:$C$66,2))</f>
        <v/>
      </c>
      <c r="E988" s="43"/>
      <c r="F988" s="200"/>
      <c r="G988" s="32"/>
      <c r="H988" s="32"/>
      <c r="I988" s="50" t="str">
        <f t="shared" si="15"/>
        <v/>
      </c>
    </row>
    <row r="989" spans="1:9">
      <c r="A989" s="275" t="str">
        <f>IF(B989="","",DATE(IF(INT(B989)&gt;=4,予算!$L$1,予算!$L$2),INT(B989),ROUND(MOD(B989,1)*100,0)))</f>
        <v/>
      </c>
      <c r="B989" s="68"/>
      <c r="C989" s="43"/>
      <c r="D989" s="11" t="str">
        <f>IF(C989="","",VLOOKUP(C989,予算!$B$7:$C$66,2))</f>
        <v/>
      </c>
      <c r="E989" s="43"/>
      <c r="F989" s="200"/>
      <c r="G989" s="32"/>
      <c r="H989" s="32"/>
      <c r="I989" s="50" t="str">
        <f t="shared" si="15"/>
        <v/>
      </c>
    </row>
    <row r="990" spans="1:9">
      <c r="A990" s="275" t="str">
        <f>IF(B990="","",DATE(IF(INT(B990)&gt;=4,予算!$L$1,予算!$L$2),INT(B990),ROUND(MOD(B990,1)*100,0)))</f>
        <v/>
      </c>
      <c r="B990" s="68"/>
      <c r="C990" s="43"/>
      <c r="D990" s="11" t="str">
        <f>IF(C990="","",VLOOKUP(C990,予算!$B$7:$C$66,2))</f>
        <v/>
      </c>
      <c r="E990" s="43"/>
      <c r="F990" s="200"/>
      <c r="G990" s="32"/>
      <c r="H990" s="32"/>
      <c r="I990" s="50" t="str">
        <f t="shared" si="15"/>
        <v/>
      </c>
    </row>
    <row r="991" spans="1:9">
      <c r="A991" s="275" t="str">
        <f>IF(B991="","",DATE(IF(INT(B991)&gt;=4,予算!$L$1,予算!$L$2),INT(B991),ROUND(MOD(B991,1)*100,0)))</f>
        <v/>
      </c>
      <c r="B991" s="68"/>
      <c r="C991" s="43"/>
      <c r="D991" s="11" t="str">
        <f>IF(C991="","",VLOOKUP(C991,予算!$B$7:$C$66,2))</f>
        <v/>
      </c>
      <c r="E991" s="43"/>
      <c r="F991" s="200"/>
      <c r="G991" s="32"/>
      <c r="H991" s="32"/>
      <c r="I991" s="50" t="str">
        <f t="shared" si="15"/>
        <v/>
      </c>
    </row>
    <row r="992" spans="1:9">
      <c r="A992" s="275" t="str">
        <f>IF(B992="","",DATE(IF(INT(B992)&gt;=4,予算!$L$1,予算!$L$2),INT(B992),ROUND(MOD(B992,1)*100,0)))</f>
        <v/>
      </c>
      <c r="B992" s="68"/>
      <c r="C992" s="43"/>
      <c r="D992" s="11" t="str">
        <f>IF(C992="","",VLOOKUP(C992,予算!$B$7:$C$66,2))</f>
        <v/>
      </c>
      <c r="E992" s="43"/>
      <c r="F992" s="200"/>
      <c r="G992" s="32"/>
      <c r="H992" s="32"/>
      <c r="I992" s="50" t="str">
        <f t="shared" si="15"/>
        <v/>
      </c>
    </row>
    <row r="993" spans="1:9">
      <c r="A993" s="275" t="str">
        <f>IF(B993="","",DATE(IF(INT(B993)&gt;=4,予算!$L$1,予算!$L$2),INT(B993),ROUND(MOD(B993,1)*100,0)))</f>
        <v/>
      </c>
      <c r="B993" s="68"/>
      <c r="C993" s="43"/>
      <c r="D993" s="11" t="str">
        <f>IF(C993="","",VLOOKUP(C993,予算!$B$7:$C$66,2))</f>
        <v/>
      </c>
      <c r="E993" s="43"/>
      <c r="F993" s="200"/>
      <c r="G993" s="32"/>
      <c r="H993" s="32"/>
      <c r="I993" s="50" t="str">
        <f t="shared" si="15"/>
        <v/>
      </c>
    </row>
    <row r="994" spans="1:9">
      <c r="A994" s="275" t="str">
        <f>IF(B994="","",DATE(IF(INT(B994)&gt;=4,予算!$L$1,予算!$L$2),INT(B994),ROUND(MOD(B994,1)*100,0)))</f>
        <v/>
      </c>
      <c r="B994" s="68"/>
      <c r="C994" s="43"/>
      <c r="D994" s="11" t="str">
        <f>IF(C994="","",VLOOKUP(C994,予算!$B$7:$C$66,2))</f>
        <v/>
      </c>
      <c r="E994" s="43"/>
      <c r="F994" s="200"/>
      <c r="G994" s="32"/>
      <c r="H994" s="32"/>
      <c r="I994" s="50" t="str">
        <f t="shared" si="15"/>
        <v/>
      </c>
    </row>
    <row r="995" spans="1:9">
      <c r="A995" s="275" t="str">
        <f>IF(B995="","",DATE(IF(INT(B995)&gt;=4,予算!$L$1,予算!$L$2),INT(B995),ROUND(MOD(B995,1)*100,0)))</f>
        <v/>
      </c>
      <c r="B995" s="68"/>
      <c r="C995" s="43"/>
      <c r="D995" s="11" t="str">
        <f>IF(C995="","",VLOOKUP(C995,予算!$B$7:$C$66,2))</f>
        <v/>
      </c>
      <c r="E995" s="43"/>
      <c r="F995" s="200"/>
      <c r="G995" s="32"/>
      <c r="H995" s="32"/>
      <c r="I995" s="50" t="str">
        <f t="shared" si="15"/>
        <v/>
      </c>
    </row>
    <row r="996" spans="1:9">
      <c r="A996" s="275" t="str">
        <f>IF(B996="","",DATE(IF(INT(B996)&gt;=4,予算!$L$1,予算!$L$2),INT(B996),ROUND(MOD(B996,1)*100,0)))</f>
        <v/>
      </c>
      <c r="B996" s="68"/>
      <c r="C996" s="43"/>
      <c r="D996" s="11" t="str">
        <f>IF(C996="","",VLOOKUP(C996,予算!$B$7:$C$66,2))</f>
        <v/>
      </c>
      <c r="E996" s="43"/>
      <c r="F996" s="200"/>
      <c r="G996" s="32"/>
      <c r="H996" s="32"/>
      <c r="I996" s="50" t="str">
        <f t="shared" si="15"/>
        <v/>
      </c>
    </row>
    <row r="997" spans="1:9">
      <c r="A997" s="275" t="str">
        <f>IF(B997="","",DATE(IF(INT(B997)&gt;=4,予算!$L$1,予算!$L$2),INT(B997),ROUND(MOD(B997,1)*100,0)))</f>
        <v/>
      </c>
      <c r="B997" s="68"/>
      <c r="C997" s="43"/>
      <c r="D997" s="11" t="str">
        <f>IF(C997="","",VLOOKUP(C997,予算!$B$7:$C$66,2))</f>
        <v/>
      </c>
      <c r="E997" s="43"/>
      <c r="F997" s="200"/>
      <c r="G997" s="32"/>
      <c r="H997" s="32"/>
      <c r="I997" s="50" t="str">
        <f t="shared" si="15"/>
        <v/>
      </c>
    </row>
    <row r="998" spans="1:9">
      <c r="A998" s="275" t="str">
        <f>IF(B998="","",DATE(IF(INT(B998)&gt;=4,予算!$L$1,予算!$L$2),INT(B998),ROUND(MOD(B998,1)*100,0)))</f>
        <v/>
      </c>
      <c r="B998" s="68"/>
      <c r="C998" s="43"/>
      <c r="D998" s="11" t="str">
        <f>IF(C998="","",VLOOKUP(C998,予算!$B$7:$C$66,2))</f>
        <v/>
      </c>
      <c r="E998" s="43"/>
      <c r="F998" s="200"/>
      <c r="G998" s="32"/>
      <c r="H998" s="32"/>
      <c r="I998" s="50" t="str">
        <f t="shared" si="15"/>
        <v/>
      </c>
    </row>
    <row r="999" spans="1:9">
      <c r="A999" s="275" t="str">
        <f>IF(B999="","",DATE(IF(INT(B999)&gt;=4,予算!$L$1,予算!$L$2),INT(B999),ROUND(MOD(B999,1)*100,0)))</f>
        <v/>
      </c>
      <c r="B999" s="68"/>
      <c r="C999" s="43"/>
      <c r="D999" s="11" t="str">
        <f>IF(C999="","",VLOOKUP(C999,予算!$B$7:$C$66,2))</f>
        <v/>
      </c>
      <c r="E999" s="43"/>
      <c r="F999" s="200"/>
      <c r="G999" s="32"/>
      <c r="H999" s="32"/>
      <c r="I999" s="50" t="str">
        <f t="shared" si="15"/>
        <v/>
      </c>
    </row>
    <row r="1000" spans="1:9">
      <c r="A1000" s="275" t="str">
        <f>IF(B1000="","",DATE(IF(INT(B1000)&gt;=4,予算!$L$1,予算!$L$2),INT(B1000),ROUND(MOD(B1000,1)*100,0)))</f>
        <v/>
      </c>
      <c r="B1000" s="68"/>
      <c r="C1000" s="43"/>
      <c r="D1000" s="11" t="str">
        <f>IF(C1000="","",VLOOKUP(C1000,予算!$B$7:$C$66,2))</f>
        <v/>
      </c>
      <c r="E1000" s="43"/>
      <c r="F1000" s="200"/>
      <c r="G1000" s="32"/>
      <c r="H1000" s="32"/>
      <c r="I1000" s="50" t="str">
        <f t="shared" si="15"/>
        <v/>
      </c>
    </row>
    <row r="1001" spans="1:9">
      <c r="A1001" s="275" t="str">
        <f>IF(B1001="","",DATE(IF(INT(B1001)&gt;=4,予算!$L$1,予算!$L$2),INT(B1001),ROUND(MOD(B1001,1)*100,0)))</f>
        <v/>
      </c>
      <c r="B1001" s="68"/>
      <c r="C1001" s="43"/>
      <c r="D1001" s="11" t="str">
        <f>IF(C1001="","",VLOOKUP(C1001,予算!$B$7:$C$66,2))</f>
        <v/>
      </c>
      <c r="E1001" s="43"/>
      <c r="F1001" s="200"/>
      <c r="G1001" s="32"/>
      <c r="H1001" s="32"/>
      <c r="I1001" s="50" t="str">
        <f t="shared" si="15"/>
        <v/>
      </c>
    </row>
    <row r="1002" spans="1:9">
      <c r="A1002" s="275" t="str">
        <f>IF(B1002="","",DATE(IF(INT(B1002)&gt;=4,予算!$L$1,予算!$L$2),INT(B1002),ROUND(MOD(B1002,1)*100,0)))</f>
        <v/>
      </c>
      <c r="B1002" s="68"/>
      <c r="C1002" s="43"/>
      <c r="D1002" s="11" t="str">
        <f>IF(C1002="","",VLOOKUP(C1002,予算!$B$7:$C$66,2))</f>
        <v/>
      </c>
      <c r="E1002" s="43"/>
      <c r="F1002" s="200"/>
      <c r="G1002" s="32"/>
      <c r="H1002" s="32"/>
      <c r="I1002" s="50" t="str">
        <f t="shared" si="15"/>
        <v/>
      </c>
    </row>
    <row r="1003" spans="1:9">
      <c r="A1003" s="275" t="str">
        <f>IF(B1003="","",DATE(IF(INT(B1003)&gt;=4,予算!$L$1,予算!$L$2),INT(B1003),ROUND(MOD(B1003,1)*100,0)))</f>
        <v/>
      </c>
      <c r="B1003" s="68"/>
      <c r="C1003" s="43"/>
      <c r="D1003" s="11" t="str">
        <f>IF(C1003="","",VLOOKUP(C1003,予算!$B$7:$C$66,2))</f>
        <v/>
      </c>
      <c r="E1003" s="43"/>
      <c r="F1003" s="200"/>
      <c r="G1003" s="32"/>
      <c r="H1003" s="32"/>
      <c r="I1003" s="50" t="str">
        <f t="shared" si="15"/>
        <v/>
      </c>
    </row>
    <row r="1004" spans="1:9">
      <c r="A1004" s="275" t="str">
        <f>IF(B1004="","",DATE(IF(INT(B1004)&gt;=4,予算!$L$1,予算!$L$2),INT(B1004),ROUND(MOD(B1004,1)*100,0)))</f>
        <v/>
      </c>
      <c r="B1004" s="68"/>
      <c r="C1004" s="43"/>
      <c r="D1004" s="11" t="str">
        <f>IF(C1004="","",VLOOKUP(C1004,予算!$B$7:$C$66,2))</f>
        <v/>
      </c>
      <c r="E1004" s="43"/>
      <c r="F1004" s="200"/>
      <c r="G1004" s="32"/>
      <c r="H1004" s="32"/>
      <c r="I1004" s="50" t="str">
        <f t="shared" si="15"/>
        <v/>
      </c>
    </row>
    <row r="1005" spans="1:9">
      <c r="A1005" s="276" t="str">
        <f>IF(B1005="","",DATE(IF(INT(B1005)&gt;=4,予算!$L$1,予算!$L$2),INT(B1005),ROUND(MOD(B1005,1)*100,0)))</f>
        <v/>
      </c>
      <c r="B1005" s="67"/>
      <c r="C1005" s="44"/>
      <c r="D1005" s="36" t="str">
        <f>IF(C1005="","",VLOOKUP(C1005,予算!$B$7:$C$66,2))</f>
        <v/>
      </c>
      <c r="E1005" s="44"/>
      <c r="F1005" s="202"/>
      <c r="G1005" s="51"/>
      <c r="H1005" s="51"/>
      <c r="I1005" s="52" t="str">
        <f t="shared" si="15"/>
        <v/>
      </c>
    </row>
    <row r="1006" spans="1:9">
      <c r="B1006" s="11">
        <f>COUNT(B6:B1005)</f>
        <v>62</v>
      </c>
      <c r="E1006" s="11" t="s">
        <v>24</v>
      </c>
      <c r="G1006" s="50">
        <f>SUM(G6:G1005)</f>
        <v>677600</v>
      </c>
      <c r="H1006" s="50">
        <f>SUM(H6:H1005)</f>
        <v>677600</v>
      </c>
      <c r="I1006" s="50">
        <f>G1006-H1006</f>
        <v>0</v>
      </c>
    </row>
  </sheetData>
  <sortState ref="A6:H1005">
    <sortCondition ref="A6"/>
  </sortState>
  <phoneticPr fontId="5"/>
  <dataValidations count="2">
    <dataValidation imeMode="off" allowBlank="1" showInputMessage="1" showErrorMessage="1" sqref="F6:H1005 A6:A1005 C6:C1005 B65:B1005 B6:B63"/>
    <dataValidation imeMode="on" allowBlank="1" showInputMessage="1" showErrorMessage="1" sqref="E106:E1005 E6:E104"/>
  </dataValidations>
  <pageMargins left="0.75" right="0.75" top="1" bottom="1" header="0.51200000000000001" footer="0.51200000000000001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autoFill="0" autoLine="0" autoPict="0" macro="[0]!消去">
                <anchor moveWithCells="1" sizeWithCells="1">
                  <from>
                    <xdr:col>3</xdr:col>
                    <xdr:colOff>533400</xdr:colOff>
                    <xdr:row>0</xdr:row>
                    <xdr:rowOff>57150</xdr:rowOff>
                  </from>
                  <to>
                    <xdr:col>4</xdr:col>
                    <xdr:colOff>552450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autoFill="0" autoLine="0" autoPict="0" macro="[0]!並替">
                <anchor moveWithCells="1" sizeWithCells="1">
                  <from>
                    <xdr:col>0</xdr:col>
                    <xdr:colOff>142875</xdr:colOff>
                    <xdr:row>0</xdr:row>
                    <xdr:rowOff>57150</xdr:rowOff>
                  </from>
                  <to>
                    <xdr:col>3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autoFill="0" autoLine="0" autoPict="0" macro="[0]!メニュー">
                <anchor moveWithCells="1" sizeWithCells="1">
                  <from>
                    <xdr:col>4</xdr:col>
                    <xdr:colOff>2447925</xdr:colOff>
                    <xdr:row>0</xdr:row>
                    <xdr:rowOff>57150</xdr:rowOff>
                  </from>
                  <to>
                    <xdr:col>6</xdr:col>
                    <xdr:colOff>561975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autoFill="0" autoLine="0" autoPict="0" macro="[0]!簿印刷">
                <anchor moveWithCells="1" sizeWithCells="1">
                  <from>
                    <xdr:col>4</xdr:col>
                    <xdr:colOff>942975</xdr:colOff>
                    <xdr:row>0</xdr:row>
                    <xdr:rowOff>57150</xdr:rowOff>
                  </from>
                  <to>
                    <xdr:col>4</xdr:col>
                    <xdr:colOff>2057400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92"/>
  <sheetViews>
    <sheetView showGridLines="0" workbookViewId="0"/>
  </sheetViews>
  <sheetFormatPr defaultRowHeight="12"/>
  <cols>
    <col min="1" max="1" width="7.28515625" style="12" customWidth="1"/>
    <col min="2" max="2" width="13.7109375" style="12" customWidth="1"/>
    <col min="3" max="3" width="33.7109375" style="12" customWidth="1"/>
    <col min="4" max="4" width="4.28515625" style="12" customWidth="1"/>
    <col min="5" max="7" width="11.7109375" style="12" customWidth="1"/>
    <col min="8" max="16384" width="9.140625" style="12"/>
  </cols>
  <sheetData>
    <row r="1" spans="1:16" ht="14.25">
      <c r="A1" s="95" t="s">
        <v>38</v>
      </c>
      <c r="C1" s="96"/>
    </row>
    <row r="3" spans="1:16" ht="16.5" customHeight="1">
      <c r="B3" s="430" t="str">
        <f>"令和"&amp;FIXED(予算!E4,0)&amp;"年度　"&amp;予算!C2&amp;"会計"</f>
        <v>令和8年度　〇〇中はまクル認定クラブ会計</v>
      </c>
      <c r="C3" s="430"/>
      <c r="D3" s="430"/>
      <c r="E3" s="430"/>
      <c r="F3" s="430"/>
      <c r="G3" s="123">
        <v>2</v>
      </c>
      <c r="H3" s="14"/>
    </row>
    <row r="4" spans="1:16" ht="15.75" customHeight="1">
      <c r="E4" s="431" t="str">
        <f>IF(予算!C4="","",予算!C4&amp;"学校　")</f>
        <v/>
      </c>
      <c r="F4" s="432"/>
      <c r="G4" s="432"/>
    </row>
    <row r="5" spans="1:16" ht="13.5" customHeight="1">
      <c r="A5" s="22" t="s">
        <v>16</v>
      </c>
      <c r="B5" s="15" t="s">
        <v>19</v>
      </c>
      <c r="C5" s="428" t="s">
        <v>20</v>
      </c>
      <c r="D5" s="429"/>
      <c r="E5" s="16" t="s">
        <v>12</v>
      </c>
      <c r="F5" s="16" t="s">
        <v>13</v>
      </c>
      <c r="G5" s="17" t="s">
        <v>14</v>
      </c>
      <c r="J5" s="74">
        <f>簿!B1006</f>
        <v>62</v>
      </c>
      <c r="K5" s="74" t="s">
        <v>29</v>
      </c>
      <c r="L5" s="75">
        <f>INT((J5-1)/50)+1</f>
        <v>2</v>
      </c>
      <c r="M5" s="75" t="s">
        <v>30</v>
      </c>
    </row>
    <row r="6" spans="1:16" ht="14.45" customHeight="1">
      <c r="A6" s="20">
        <f t="shared" ref="A6:G7" ca="1" si="0">INDIRECT(J6)</f>
        <v>2.2799999999999998</v>
      </c>
      <c r="B6" s="18" t="str">
        <f t="shared" ca="1" si="0"/>
        <v>諸謝金</v>
      </c>
      <c r="C6" s="18" t="str">
        <f t="shared" ca="1" si="0"/>
        <v>事務局スタッフ謝礼（2月分）所得税納付</v>
      </c>
      <c r="D6" s="204">
        <f t="shared" ca="1" si="0"/>
        <v>34</v>
      </c>
      <c r="E6" s="53">
        <f t="shared" ca="1" si="0"/>
        <v>0</v>
      </c>
      <c r="F6" s="53">
        <f t="shared" ca="1" si="0"/>
        <v>341</v>
      </c>
      <c r="G6" s="54">
        <f t="shared" ca="1" si="0"/>
        <v>134626</v>
      </c>
      <c r="J6" s="12" t="str">
        <f>"簿!B"&amp;FIXED(50*($G$3-1)+6,0)</f>
        <v>簿!B56</v>
      </c>
      <c r="K6" s="12" t="str">
        <f>"簿!d"&amp;FIXED(50*($G$3-1)+6,0)</f>
        <v>簿!d56</v>
      </c>
      <c r="L6" s="12" t="str">
        <f>"簿!e"&amp;FIXED(50*($G$3-1)+6,0)</f>
        <v>簿!e56</v>
      </c>
      <c r="M6" s="12" t="str">
        <f>"簿!f"&amp;FIXED(50*($G$3-1)+6,0)</f>
        <v>簿!f56</v>
      </c>
      <c r="N6" s="12" t="str">
        <f>"簿!g"&amp;FIXED(50*($G$3-1)+6,0)</f>
        <v>簿!g56</v>
      </c>
      <c r="O6" s="12" t="str">
        <f>"簿!h"&amp;FIXED(50*($G$3-1)+6,0)</f>
        <v>簿!h56</v>
      </c>
      <c r="P6" s="12" t="str">
        <f>"簿!i"&amp;FIXED(50*($G$3-1)+6,0)</f>
        <v>簿!i56</v>
      </c>
    </row>
    <row r="7" spans="1:16" ht="14.45" customHeight="1">
      <c r="A7" s="73">
        <f t="shared" ca="1" si="0"/>
        <v>2.2799999999999998</v>
      </c>
      <c r="B7" s="63" t="str">
        <f t="shared" ca="1" si="0"/>
        <v>諸謝金</v>
      </c>
      <c r="C7" s="63" t="str">
        <f t="shared" ca="1" si="0"/>
        <v>見守りボランティア謝礼（2月分）</v>
      </c>
      <c r="D7" s="205">
        <f t="shared" ca="1" si="0"/>
        <v>35</v>
      </c>
      <c r="E7" s="64">
        <f t="shared" ca="1" si="0"/>
        <v>0</v>
      </c>
      <c r="F7" s="64">
        <f t="shared" ca="1" si="0"/>
        <v>16000</v>
      </c>
      <c r="G7" s="56">
        <f t="shared" ca="1" si="0"/>
        <v>118626</v>
      </c>
      <c r="J7" s="12" t="str">
        <f>"簿!B"&amp;FIXED(50*($G$3-1)+7,0)</f>
        <v>簿!B57</v>
      </c>
      <c r="K7" s="12" t="str">
        <f>"簿!d"&amp;FIXED(50*($G$3-1)+7,0)</f>
        <v>簿!d57</v>
      </c>
      <c r="L7" s="12" t="str">
        <f>"簿!e"&amp;FIXED(50*($G$3-1)+7,0)</f>
        <v>簿!e57</v>
      </c>
      <c r="M7" s="12" t="str">
        <f>"簿!f"&amp;FIXED(50*($G$3-1)+7,0)</f>
        <v>簿!f57</v>
      </c>
      <c r="N7" s="12" t="str">
        <f>"簿!g"&amp;FIXED(50*($G$3-1)+7,0)</f>
        <v>簿!g57</v>
      </c>
      <c r="O7" s="12" t="str">
        <f>"簿!h"&amp;FIXED(50*($G$3-1)+7,0)</f>
        <v>簿!h57</v>
      </c>
      <c r="P7" s="12" t="str">
        <f>"簿!i"&amp;FIXED(50*($G$3-1)+7,0)</f>
        <v>簿!i57</v>
      </c>
    </row>
    <row r="8" spans="1:16" ht="14.45" customHeight="1">
      <c r="A8" s="73">
        <f t="shared" ref="A8:A55" ca="1" si="1">INDIRECT(J8)</f>
        <v>2.2799999999999998</v>
      </c>
      <c r="B8" s="63" t="str">
        <f t="shared" ref="B8:B55" ca="1" si="2">INDIRECT(K8)</f>
        <v>諸謝金</v>
      </c>
      <c r="C8" s="63" t="str">
        <f t="shared" ref="C8:C55" ca="1" si="3">INDIRECT(L8)</f>
        <v>見守りボランティア謝礼（2月分）所得税納付</v>
      </c>
      <c r="D8" s="205">
        <f t="shared" ref="D8:D55" ca="1" si="4">INDIRECT(M8)</f>
        <v>35</v>
      </c>
      <c r="E8" s="64">
        <f t="shared" ref="E8:E55" ca="1" si="5">INDIRECT(N8)</f>
        <v>0</v>
      </c>
      <c r="F8" s="64">
        <f t="shared" ref="F8:G55" ca="1" si="6">INDIRECT(O8)</f>
        <v>1816</v>
      </c>
      <c r="G8" s="56">
        <f t="shared" ca="1" si="6"/>
        <v>116810</v>
      </c>
      <c r="J8" s="12" t="str">
        <f>"簿!B"&amp;FIXED(50*($G$3-1)+8,0)</f>
        <v>簿!B58</v>
      </c>
      <c r="K8" s="12" t="str">
        <f>"簿!d"&amp;FIXED(50*($G$3-1)+8,0)</f>
        <v>簿!d58</v>
      </c>
      <c r="L8" s="12" t="str">
        <f>"簿!e"&amp;FIXED(50*($G$3-1)+8,0)</f>
        <v>簿!e58</v>
      </c>
      <c r="M8" s="12" t="str">
        <f>"簿!f"&amp;FIXED(50*($G$3-1)+8,0)</f>
        <v>簿!f58</v>
      </c>
      <c r="N8" s="12" t="str">
        <f>"簿!g"&amp;FIXED(50*($G$3-1)+8,0)</f>
        <v>簿!g58</v>
      </c>
      <c r="O8" s="12" t="str">
        <f>"簿!h"&amp;FIXED(50*($G$3-1)+8,0)</f>
        <v>簿!h58</v>
      </c>
      <c r="P8" s="12" t="str">
        <f>"簿!i"&amp;FIXED(50*($G$3-1)+8,0)</f>
        <v>簿!i58</v>
      </c>
    </row>
    <row r="9" spans="1:16" ht="14.45" customHeight="1">
      <c r="A9" s="73">
        <f t="shared" ca="1" si="1"/>
        <v>2.2799999999999998</v>
      </c>
      <c r="B9" s="63" t="str">
        <f t="shared" ca="1" si="2"/>
        <v>借料及び損料</v>
      </c>
      <c r="C9" s="63" t="str">
        <f t="shared" ca="1" si="3"/>
        <v>貸切バス代</v>
      </c>
      <c r="D9" s="205">
        <f t="shared" ca="1" si="4"/>
        <v>36</v>
      </c>
      <c r="E9" s="64">
        <f t="shared" ca="1" si="5"/>
        <v>0</v>
      </c>
      <c r="F9" s="64">
        <f t="shared" ca="1" si="6"/>
        <v>116810</v>
      </c>
      <c r="G9" s="56">
        <f t="shared" ca="1" si="6"/>
        <v>0</v>
      </c>
      <c r="J9" s="12" t="str">
        <f>"簿!B"&amp;FIXED(50*($G$3-1)+9,0)</f>
        <v>簿!B59</v>
      </c>
      <c r="K9" s="12" t="str">
        <f>"簿!d"&amp;FIXED(50*($G$3-1)+9,0)</f>
        <v>簿!d59</v>
      </c>
      <c r="L9" s="12" t="str">
        <f>"簿!e"&amp;FIXED(50*($G$3-1)+9,0)</f>
        <v>簿!e59</v>
      </c>
      <c r="M9" s="12" t="str">
        <f>"簿!f"&amp;FIXED(50*($G$3-1)+9,0)</f>
        <v>簿!f59</v>
      </c>
      <c r="N9" s="12" t="str">
        <f>"簿!g"&amp;FIXED(50*($G$3-1)+9,0)</f>
        <v>簿!g59</v>
      </c>
      <c r="O9" s="12" t="str">
        <f>"簿!h"&amp;FIXED(50*($G$3-1)+9,0)</f>
        <v>簿!h59</v>
      </c>
      <c r="P9" s="12" t="str">
        <f>"簿!i"&amp;FIXED(50*($G$3-1)+9,0)</f>
        <v>簿!i59</v>
      </c>
    </row>
    <row r="10" spans="1:16" ht="14.45" customHeight="1">
      <c r="A10" s="73">
        <f t="shared" ca="1" si="1"/>
        <v>3.01</v>
      </c>
      <c r="B10" s="63" t="str">
        <f t="shared" ca="1" si="2"/>
        <v>会費（対象外）</v>
      </c>
      <c r="C10" s="63" t="str">
        <f t="shared" ca="1" si="3"/>
        <v>参加費（3月分）</v>
      </c>
      <c r="D10" s="205">
        <f t="shared" ca="1" si="4"/>
        <v>-37</v>
      </c>
      <c r="E10" s="64">
        <f t="shared" ca="1" si="5"/>
        <v>60000</v>
      </c>
      <c r="F10" s="64">
        <f t="shared" ca="1" si="6"/>
        <v>0</v>
      </c>
      <c r="G10" s="56">
        <f t="shared" ca="1" si="6"/>
        <v>60000</v>
      </c>
      <c r="J10" s="12" t="str">
        <f>"簿!B"&amp;FIXED(50*($G$3-1)+10,0)</f>
        <v>簿!B60</v>
      </c>
      <c r="K10" s="12" t="str">
        <f>"簿!d"&amp;FIXED(50*($G$3-1)+10,0)</f>
        <v>簿!d60</v>
      </c>
      <c r="L10" s="12" t="str">
        <f>"簿!e"&amp;FIXED(50*($G$3-1)+10,0)</f>
        <v>簿!e60</v>
      </c>
      <c r="M10" s="12" t="str">
        <f>"簿!f"&amp;FIXED(50*($G$3-1)+10,0)</f>
        <v>簿!f60</v>
      </c>
      <c r="N10" s="12" t="str">
        <f>"簿!g"&amp;FIXED(50*($G$3-1)+10,0)</f>
        <v>簿!g60</v>
      </c>
      <c r="O10" s="12" t="str">
        <f>"簿!h"&amp;FIXED(50*($G$3-1)+10,0)</f>
        <v>簿!h60</v>
      </c>
      <c r="P10" s="12" t="str">
        <f>"簿!i"&amp;FIXED(50*($G$3-1)+10,0)</f>
        <v>簿!i60</v>
      </c>
    </row>
    <row r="11" spans="1:16" ht="14.45" customHeight="1">
      <c r="A11" s="73">
        <f t="shared" ca="1" si="1"/>
        <v>3.25</v>
      </c>
      <c r="B11" s="63" t="str">
        <f t="shared" ca="1" si="2"/>
        <v>消耗品費（対象外）</v>
      </c>
      <c r="C11" s="63" t="str">
        <f t="shared" ca="1" si="3"/>
        <v>事務用品</v>
      </c>
      <c r="D11" s="205">
        <f t="shared" ca="1" si="4"/>
        <v>38</v>
      </c>
      <c r="E11" s="64">
        <f t="shared" ca="1" si="5"/>
        <v>0</v>
      </c>
      <c r="F11" s="64">
        <f t="shared" ca="1" si="6"/>
        <v>12115</v>
      </c>
      <c r="G11" s="56">
        <f t="shared" ca="1" si="6"/>
        <v>47885</v>
      </c>
      <c r="J11" s="12" t="str">
        <f>"簿!B"&amp;FIXED(50*($G$3-1)+11,0)</f>
        <v>簿!B61</v>
      </c>
      <c r="K11" s="12" t="str">
        <f>"簿!d"&amp;FIXED(50*($G$3-1)+11,0)</f>
        <v>簿!d61</v>
      </c>
      <c r="L11" s="12" t="str">
        <f>"簿!e"&amp;FIXED(50*($G$3-1)+11,0)</f>
        <v>簿!e61</v>
      </c>
      <c r="M11" s="12" t="str">
        <f>"簿!f"&amp;FIXED(50*($G$3-1)+11,0)</f>
        <v>簿!f61</v>
      </c>
      <c r="N11" s="12" t="str">
        <f>"簿!g"&amp;FIXED(50*($G$3-1)+11,0)</f>
        <v>簿!g61</v>
      </c>
      <c r="O11" s="12" t="str">
        <f>"簿!h"&amp;FIXED(50*($G$3-1)+11,0)</f>
        <v>簿!h61</v>
      </c>
      <c r="P11" s="12" t="str">
        <f>"簿!i"&amp;FIXED(50*($G$3-1)+11,0)</f>
        <v>簿!i61</v>
      </c>
    </row>
    <row r="12" spans="1:16" ht="14.45" customHeight="1">
      <c r="A12" s="73">
        <f t="shared" ca="1" si="1"/>
        <v>3.25</v>
      </c>
      <c r="B12" s="63" t="str">
        <f t="shared" ca="1" si="2"/>
        <v>諸謝金（対象外）</v>
      </c>
      <c r="C12" s="63" t="str">
        <f t="shared" ca="1" si="3"/>
        <v>指導者謝礼（3月分）</v>
      </c>
      <c r="D12" s="205">
        <f t="shared" ca="1" si="4"/>
        <v>39</v>
      </c>
      <c r="E12" s="64">
        <f t="shared" ca="1" si="5"/>
        <v>0</v>
      </c>
      <c r="F12" s="64">
        <f t="shared" ca="1" si="6"/>
        <v>24000</v>
      </c>
      <c r="G12" s="56">
        <f t="shared" ca="1" si="6"/>
        <v>23885</v>
      </c>
      <c r="J12" s="12" t="str">
        <f>"簿!B"&amp;FIXED(50*($G$3-1)+12,0)</f>
        <v>簿!B62</v>
      </c>
      <c r="K12" s="12" t="str">
        <f>"簿!d"&amp;FIXED(50*($G$3-1)+12,0)</f>
        <v>簿!d62</v>
      </c>
      <c r="L12" s="12" t="str">
        <f>"簿!e"&amp;FIXED(50*($G$3-1)+12,0)</f>
        <v>簿!e62</v>
      </c>
      <c r="M12" s="12" t="str">
        <f>"簿!f"&amp;FIXED(50*($G$3-1)+12,0)</f>
        <v>簿!f62</v>
      </c>
      <c r="N12" s="12" t="str">
        <f>"簿!g"&amp;FIXED(50*($G$3-1)+12,0)</f>
        <v>簿!g62</v>
      </c>
      <c r="O12" s="12" t="str">
        <f>"簿!h"&amp;FIXED(50*($G$3-1)+12,0)</f>
        <v>簿!h62</v>
      </c>
      <c r="P12" s="12" t="str">
        <f>"簿!i"&amp;FIXED(50*($G$3-1)+12,0)</f>
        <v>簿!i62</v>
      </c>
    </row>
    <row r="13" spans="1:16" ht="14.45" customHeight="1">
      <c r="A13" s="73">
        <f t="shared" ca="1" si="1"/>
        <v>3.25</v>
      </c>
      <c r="B13" s="63" t="str">
        <f t="shared" ca="1" si="2"/>
        <v>諸謝金（対象外）</v>
      </c>
      <c r="C13" s="63" t="str">
        <f t="shared" ca="1" si="3"/>
        <v>指導者謝礼（3月分）所得税納付</v>
      </c>
      <c r="D13" s="205">
        <f t="shared" ca="1" si="4"/>
        <v>39</v>
      </c>
      <c r="E13" s="64">
        <f t="shared" ca="1" si="5"/>
        <v>0</v>
      </c>
      <c r="F13" s="64">
        <f t="shared" ca="1" si="6"/>
        <v>2728</v>
      </c>
      <c r="G13" s="56">
        <f t="shared" ca="1" si="6"/>
        <v>21157</v>
      </c>
      <c r="J13" s="12" t="str">
        <f>"簿!B"&amp;FIXED(50*($G$3-1)+13,0)</f>
        <v>簿!B63</v>
      </c>
      <c r="K13" s="12" t="str">
        <f>"簿!d"&amp;FIXED(50*($G$3-1)+13,0)</f>
        <v>簿!d63</v>
      </c>
      <c r="L13" s="12" t="str">
        <f>"簿!e"&amp;FIXED(50*($G$3-1)+13,0)</f>
        <v>簿!e63</v>
      </c>
      <c r="M13" s="12" t="str">
        <f>"簿!f"&amp;FIXED(50*($G$3-1)+13,0)</f>
        <v>簿!f63</v>
      </c>
      <c r="N13" s="12" t="str">
        <f>"簿!g"&amp;FIXED(50*($G$3-1)+13,0)</f>
        <v>簿!g63</v>
      </c>
      <c r="O13" s="12" t="str">
        <f>"簿!h"&amp;FIXED(50*($G$3-1)+13,0)</f>
        <v>簿!h63</v>
      </c>
      <c r="P13" s="12" t="str">
        <f>"簿!i"&amp;FIXED(50*($G$3-1)+13,0)</f>
        <v>簿!i63</v>
      </c>
    </row>
    <row r="14" spans="1:16" ht="14.45" customHeight="1">
      <c r="A14" s="73">
        <f t="shared" ca="1" si="1"/>
        <v>3.25</v>
      </c>
      <c r="B14" s="63" t="str">
        <f t="shared" ca="1" si="2"/>
        <v>諸謝金（対象外）</v>
      </c>
      <c r="C14" s="63" t="str">
        <f t="shared" ca="1" si="3"/>
        <v>事務局スタッフ謝礼（3月分）</v>
      </c>
      <c r="D14" s="205">
        <f t="shared" ca="1" si="4"/>
        <v>40</v>
      </c>
      <c r="E14" s="64">
        <f t="shared" ca="1" si="5"/>
        <v>0</v>
      </c>
      <c r="F14" s="64">
        <f t="shared" ca="1" si="6"/>
        <v>3000</v>
      </c>
      <c r="G14" s="56">
        <f t="shared" ca="1" si="6"/>
        <v>18157</v>
      </c>
      <c r="J14" s="12" t="str">
        <f>"簿!B"&amp;FIXED(50*($G$3-1)+14,0)</f>
        <v>簿!B64</v>
      </c>
      <c r="K14" s="12" t="str">
        <f>"簿!d"&amp;FIXED(50*($G$3-1)+14,0)</f>
        <v>簿!d64</v>
      </c>
      <c r="L14" s="12" t="str">
        <f>"簿!e"&amp;FIXED(50*($G$3-1)+14,0)</f>
        <v>簿!e64</v>
      </c>
      <c r="M14" s="12" t="str">
        <f>"簿!f"&amp;FIXED(50*($G$3-1)+14,0)</f>
        <v>簿!f64</v>
      </c>
      <c r="N14" s="12" t="str">
        <f>"簿!g"&amp;FIXED(50*($G$3-1)+14,0)</f>
        <v>簿!g64</v>
      </c>
      <c r="O14" s="12" t="str">
        <f>"簿!h"&amp;FIXED(50*($G$3-1)+14,0)</f>
        <v>簿!h64</v>
      </c>
      <c r="P14" s="12" t="str">
        <f>"簿!i"&amp;FIXED(50*($G$3-1)+14,0)</f>
        <v>簿!i64</v>
      </c>
    </row>
    <row r="15" spans="1:16" ht="14.45" customHeight="1">
      <c r="A15" s="73">
        <f t="shared" ca="1" si="1"/>
        <v>3.25</v>
      </c>
      <c r="B15" s="63" t="str">
        <f t="shared" ca="1" si="2"/>
        <v>諸謝金（対象外）</v>
      </c>
      <c r="C15" s="63" t="str">
        <f t="shared" ca="1" si="3"/>
        <v>事務局スタッフ謝礼（3月分）所得税納付</v>
      </c>
      <c r="D15" s="205">
        <f t="shared" ca="1" si="4"/>
        <v>40</v>
      </c>
      <c r="E15" s="64">
        <f t="shared" ca="1" si="5"/>
        <v>0</v>
      </c>
      <c r="F15" s="64">
        <f t="shared" ca="1" si="6"/>
        <v>341</v>
      </c>
      <c r="G15" s="56">
        <f t="shared" ca="1" si="6"/>
        <v>17816</v>
      </c>
      <c r="J15" s="12" t="str">
        <f>"簿!B"&amp;FIXED(50*($G$3-1)+15,0)</f>
        <v>簿!B65</v>
      </c>
      <c r="K15" s="12" t="str">
        <f>"簿!d"&amp;FIXED(50*($G$3-1)+15,0)</f>
        <v>簿!d65</v>
      </c>
      <c r="L15" s="12" t="str">
        <f>"簿!e"&amp;FIXED(50*($G$3-1)+15,0)</f>
        <v>簿!e65</v>
      </c>
      <c r="M15" s="12" t="str">
        <f>"簿!f"&amp;FIXED(50*($G$3-1)+15,0)</f>
        <v>簿!f65</v>
      </c>
      <c r="N15" s="12" t="str">
        <f>"簿!g"&amp;FIXED(50*($G$3-1)+15,0)</f>
        <v>簿!g65</v>
      </c>
      <c r="O15" s="12" t="str">
        <f>"簿!h"&amp;FIXED(50*($G$3-1)+15,0)</f>
        <v>簿!h65</v>
      </c>
      <c r="P15" s="12" t="str">
        <f>"簿!i"&amp;FIXED(50*($G$3-1)+15,0)</f>
        <v>簿!i65</v>
      </c>
    </row>
    <row r="16" spans="1:16" ht="14.45" customHeight="1">
      <c r="A16" s="73">
        <f t="shared" ca="1" si="1"/>
        <v>3.25</v>
      </c>
      <c r="B16" s="63" t="str">
        <f t="shared" ca="1" si="2"/>
        <v>諸謝金（対象外）</v>
      </c>
      <c r="C16" s="63" t="str">
        <f t="shared" ca="1" si="3"/>
        <v>見守りボランティア謝礼（3月分）</v>
      </c>
      <c r="D16" s="205">
        <f t="shared" ca="1" si="4"/>
        <v>41</v>
      </c>
      <c r="E16" s="64">
        <f t="shared" ca="1" si="5"/>
        <v>0</v>
      </c>
      <c r="F16" s="64">
        <f t="shared" ca="1" si="6"/>
        <v>16000</v>
      </c>
      <c r="G16" s="56">
        <f t="shared" ca="1" si="6"/>
        <v>1816</v>
      </c>
      <c r="J16" s="12" t="str">
        <f>"簿!B"&amp;FIXED(50*($G$3-1)+16,0)</f>
        <v>簿!B66</v>
      </c>
      <c r="K16" s="12" t="str">
        <f>"簿!d"&amp;FIXED(50*($G$3-1)+16,0)</f>
        <v>簿!d66</v>
      </c>
      <c r="L16" s="12" t="str">
        <f>"簿!e"&amp;FIXED(50*($G$3-1)+16,0)</f>
        <v>簿!e66</v>
      </c>
      <c r="M16" s="12" t="str">
        <f>"簿!f"&amp;FIXED(50*($G$3-1)+16,0)</f>
        <v>簿!f66</v>
      </c>
      <c r="N16" s="12" t="str">
        <f>"簿!g"&amp;FIXED(50*($G$3-1)+16,0)</f>
        <v>簿!g66</v>
      </c>
      <c r="O16" s="12" t="str">
        <f>"簿!h"&amp;FIXED(50*($G$3-1)+16,0)</f>
        <v>簿!h66</v>
      </c>
      <c r="P16" s="12" t="str">
        <f>"簿!i"&amp;FIXED(50*($G$3-1)+16,0)</f>
        <v>簿!i66</v>
      </c>
    </row>
    <row r="17" spans="1:16" ht="14.45" customHeight="1">
      <c r="A17" s="73">
        <f t="shared" ca="1" si="1"/>
        <v>3.25</v>
      </c>
      <c r="B17" s="63" t="str">
        <f t="shared" ca="1" si="2"/>
        <v>諸謝金（対象外）</v>
      </c>
      <c r="C17" s="63" t="str">
        <f t="shared" ca="1" si="3"/>
        <v>見守りボランティア謝礼（3月分）所得税納付</v>
      </c>
      <c r="D17" s="205">
        <f t="shared" ca="1" si="4"/>
        <v>41</v>
      </c>
      <c r="E17" s="64">
        <f t="shared" ca="1" si="5"/>
        <v>0</v>
      </c>
      <c r="F17" s="64">
        <f t="shared" ca="1" si="6"/>
        <v>1816</v>
      </c>
      <c r="G17" s="56">
        <f t="shared" ca="1" si="6"/>
        <v>0</v>
      </c>
      <c r="J17" s="12" t="str">
        <f>"簿!B"&amp;FIXED(50*($G$3-1)+17,0)</f>
        <v>簿!B67</v>
      </c>
      <c r="K17" s="12" t="str">
        <f>"簿!d"&amp;FIXED(50*($G$3-1)+17,0)</f>
        <v>簿!d67</v>
      </c>
      <c r="L17" s="12" t="str">
        <f>"簿!e"&amp;FIXED(50*($G$3-1)+17,0)</f>
        <v>簿!e67</v>
      </c>
      <c r="M17" s="12" t="str">
        <f>"簿!f"&amp;FIXED(50*($G$3-1)+17,0)</f>
        <v>簿!f67</v>
      </c>
      <c r="N17" s="12" t="str">
        <f>"簿!g"&amp;FIXED(50*($G$3-1)+17,0)</f>
        <v>簿!g67</v>
      </c>
      <c r="O17" s="12" t="str">
        <f>"簿!h"&amp;FIXED(50*($G$3-1)+17,0)</f>
        <v>簿!h67</v>
      </c>
      <c r="P17" s="12" t="str">
        <f>"簿!i"&amp;FIXED(50*($G$3-1)+17,0)</f>
        <v>簿!i67</v>
      </c>
    </row>
    <row r="18" spans="1:16" ht="14.45" customHeight="1">
      <c r="A18" s="73">
        <f t="shared" ca="1" si="1"/>
        <v>0</v>
      </c>
      <c r="B18" s="63" t="str">
        <f t="shared" ca="1" si="2"/>
        <v/>
      </c>
      <c r="C18" s="63">
        <f t="shared" ca="1" si="3"/>
        <v>0</v>
      </c>
      <c r="D18" s="205">
        <f t="shared" ca="1" si="4"/>
        <v>0</v>
      </c>
      <c r="E18" s="64">
        <f t="shared" ca="1" si="5"/>
        <v>0</v>
      </c>
      <c r="F18" s="64">
        <f t="shared" ca="1" si="6"/>
        <v>0</v>
      </c>
      <c r="G18" s="56" t="str">
        <f t="shared" ca="1" si="6"/>
        <v/>
      </c>
      <c r="J18" s="12" t="str">
        <f>"簿!B"&amp;FIXED(50*($G$3-1)+18,0)</f>
        <v>簿!B68</v>
      </c>
      <c r="K18" s="12" t="str">
        <f>"簿!d"&amp;FIXED(50*($G$3-1)+18,0)</f>
        <v>簿!d68</v>
      </c>
      <c r="L18" s="12" t="str">
        <f>"簿!e"&amp;FIXED(50*($G$3-1)+18,0)</f>
        <v>簿!e68</v>
      </c>
      <c r="M18" s="12" t="str">
        <f>"簿!f"&amp;FIXED(50*($G$3-1)+18,0)</f>
        <v>簿!f68</v>
      </c>
      <c r="N18" s="12" t="str">
        <f>"簿!g"&amp;FIXED(50*($G$3-1)+18,0)</f>
        <v>簿!g68</v>
      </c>
      <c r="O18" s="12" t="str">
        <f>"簿!h"&amp;FIXED(50*($G$3-1)+18,0)</f>
        <v>簿!h68</v>
      </c>
      <c r="P18" s="12" t="str">
        <f>"簿!i"&amp;FIXED(50*($G$3-1)+18,0)</f>
        <v>簿!i68</v>
      </c>
    </row>
    <row r="19" spans="1:16" ht="14.45" customHeight="1">
      <c r="A19" s="73">
        <f t="shared" ca="1" si="1"/>
        <v>0</v>
      </c>
      <c r="B19" s="63" t="str">
        <f t="shared" ca="1" si="2"/>
        <v/>
      </c>
      <c r="C19" s="63">
        <f t="shared" ca="1" si="3"/>
        <v>0</v>
      </c>
      <c r="D19" s="205">
        <f t="shared" ca="1" si="4"/>
        <v>0</v>
      </c>
      <c r="E19" s="64">
        <f t="shared" ca="1" si="5"/>
        <v>0</v>
      </c>
      <c r="F19" s="64">
        <f t="shared" ca="1" si="6"/>
        <v>0</v>
      </c>
      <c r="G19" s="56" t="str">
        <f t="shared" ca="1" si="6"/>
        <v/>
      </c>
      <c r="J19" s="12" t="str">
        <f>"簿!B"&amp;FIXED(50*($G$3-1)+19,0)</f>
        <v>簿!B69</v>
      </c>
      <c r="K19" s="12" t="str">
        <f>"簿!d"&amp;FIXED(50*($G$3-1)+19,0)</f>
        <v>簿!d69</v>
      </c>
      <c r="L19" s="12" t="str">
        <f>"簿!e"&amp;FIXED(50*($G$3-1)+19,0)</f>
        <v>簿!e69</v>
      </c>
      <c r="M19" s="12" t="str">
        <f>"簿!f"&amp;FIXED(50*($G$3-1)+19,0)</f>
        <v>簿!f69</v>
      </c>
      <c r="N19" s="12" t="str">
        <f>"簿!g"&amp;FIXED(50*($G$3-1)+19,0)</f>
        <v>簿!g69</v>
      </c>
      <c r="O19" s="12" t="str">
        <f>"簿!h"&amp;FIXED(50*($G$3-1)+19,0)</f>
        <v>簿!h69</v>
      </c>
      <c r="P19" s="12" t="str">
        <f>"簿!i"&amp;FIXED(50*($G$3-1)+19,0)</f>
        <v>簿!i69</v>
      </c>
    </row>
    <row r="20" spans="1:16" ht="14.45" customHeight="1">
      <c r="A20" s="73">
        <f t="shared" ca="1" si="1"/>
        <v>0</v>
      </c>
      <c r="B20" s="63" t="str">
        <f t="shared" ca="1" si="2"/>
        <v/>
      </c>
      <c r="C20" s="63">
        <f t="shared" ca="1" si="3"/>
        <v>0</v>
      </c>
      <c r="D20" s="205">
        <f t="shared" ca="1" si="4"/>
        <v>0</v>
      </c>
      <c r="E20" s="64">
        <f t="shared" ca="1" si="5"/>
        <v>0</v>
      </c>
      <c r="F20" s="64">
        <f t="shared" ca="1" si="6"/>
        <v>0</v>
      </c>
      <c r="G20" s="56" t="str">
        <f t="shared" ca="1" si="6"/>
        <v/>
      </c>
      <c r="J20" s="12" t="str">
        <f>"簿!B"&amp;FIXED(50*($G$3-1)+20,0)</f>
        <v>簿!B70</v>
      </c>
      <c r="K20" s="12" t="str">
        <f>"簿!d"&amp;FIXED(50*($G$3-1)+20,0)</f>
        <v>簿!d70</v>
      </c>
      <c r="L20" s="12" t="str">
        <f>"簿!e"&amp;FIXED(50*($G$3-1)+20,0)</f>
        <v>簿!e70</v>
      </c>
      <c r="M20" s="12" t="str">
        <f>"簿!f"&amp;FIXED(50*($G$3-1)+20,0)</f>
        <v>簿!f70</v>
      </c>
      <c r="N20" s="12" t="str">
        <f>"簿!g"&amp;FIXED(50*($G$3-1)+20,0)</f>
        <v>簿!g70</v>
      </c>
      <c r="O20" s="12" t="str">
        <f>"簿!h"&amp;FIXED(50*($G$3-1)+20,0)</f>
        <v>簿!h70</v>
      </c>
      <c r="P20" s="12" t="str">
        <f>"簿!i"&amp;FIXED(50*($G$3-1)+20,0)</f>
        <v>簿!i70</v>
      </c>
    </row>
    <row r="21" spans="1:16" ht="14.45" customHeight="1">
      <c r="A21" s="73">
        <f t="shared" ca="1" si="1"/>
        <v>0</v>
      </c>
      <c r="B21" s="63" t="str">
        <f t="shared" ca="1" si="2"/>
        <v/>
      </c>
      <c r="C21" s="63">
        <f t="shared" ca="1" si="3"/>
        <v>0</v>
      </c>
      <c r="D21" s="205">
        <f t="shared" ca="1" si="4"/>
        <v>0</v>
      </c>
      <c r="E21" s="64">
        <f t="shared" ca="1" si="5"/>
        <v>0</v>
      </c>
      <c r="F21" s="64">
        <f t="shared" ca="1" si="6"/>
        <v>0</v>
      </c>
      <c r="G21" s="56" t="str">
        <f t="shared" ca="1" si="6"/>
        <v/>
      </c>
      <c r="J21" s="12" t="str">
        <f>"簿!B"&amp;FIXED(50*($G$3-1)+21,0)</f>
        <v>簿!B71</v>
      </c>
      <c r="K21" s="12" t="str">
        <f>"簿!d"&amp;FIXED(50*($G$3-1)+21,0)</f>
        <v>簿!d71</v>
      </c>
      <c r="L21" s="12" t="str">
        <f>"簿!e"&amp;FIXED(50*($G$3-1)+21,0)</f>
        <v>簿!e71</v>
      </c>
      <c r="M21" s="12" t="str">
        <f>"簿!f"&amp;FIXED(50*($G$3-1)+21,0)</f>
        <v>簿!f71</v>
      </c>
      <c r="N21" s="12" t="str">
        <f>"簿!g"&amp;FIXED(50*($G$3-1)+21,0)</f>
        <v>簿!g71</v>
      </c>
      <c r="O21" s="12" t="str">
        <f>"簿!h"&amp;FIXED(50*($G$3-1)+21,0)</f>
        <v>簿!h71</v>
      </c>
      <c r="P21" s="12" t="str">
        <f>"簿!i"&amp;FIXED(50*($G$3-1)+21,0)</f>
        <v>簿!i71</v>
      </c>
    </row>
    <row r="22" spans="1:16" ht="14.45" customHeight="1">
      <c r="A22" s="73">
        <f t="shared" ca="1" si="1"/>
        <v>0</v>
      </c>
      <c r="B22" s="63" t="str">
        <f t="shared" ca="1" si="2"/>
        <v/>
      </c>
      <c r="C22" s="63">
        <f t="shared" ca="1" si="3"/>
        <v>0</v>
      </c>
      <c r="D22" s="205">
        <f t="shared" ca="1" si="4"/>
        <v>0</v>
      </c>
      <c r="E22" s="64">
        <f t="shared" ca="1" si="5"/>
        <v>0</v>
      </c>
      <c r="F22" s="64">
        <f t="shared" ca="1" si="6"/>
        <v>0</v>
      </c>
      <c r="G22" s="56" t="str">
        <f t="shared" ca="1" si="6"/>
        <v/>
      </c>
      <c r="J22" s="12" t="str">
        <f>"簿!B"&amp;FIXED(50*($G$3-1)+22,0)</f>
        <v>簿!B72</v>
      </c>
      <c r="K22" s="12" t="str">
        <f>"簿!d"&amp;FIXED(50*($G$3-1)+22,0)</f>
        <v>簿!d72</v>
      </c>
      <c r="L22" s="12" t="str">
        <f>"簿!e"&amp;FIXED(50*($G$3-1)+22,0)</f>
        <v>簿!e72</v>
      </c>
      <c r="M22" s="12" t="str">
        <f>"簿!f"&amp;FIXED(50*($G$3-1)+22,0)</f>
        <v>簿!f72</v>
      </c>
      <c r="N22" s="12" t="str">
        <f>"簿!g"&amp;FIXED(50*($G$3-1)+22,0)</f>
        <v>簿!g72</v>
      </c>
      <c r="O22" s="12" t="str">
        <f>"簿!h"&amp;FIXED(50*($G$3-1)+22,0)</f>
        <v>簿!h72</v>
      </c>
      <c r="P22" s="12" t="str">
        <f>"簿!i"&amp;FIXED(50*($G$3-1)+22,0)</f>
        <v>簿!i72</v>
      </c>
    </row>
    <row r="23" spans="1:16" ht="14.45" customHeight="1">
      <c r="A23" s="73">
        <f t="shared" ca="1" si="1"/>
        <v>0</v>
      </c>
      <c r="B23" s="63" t="str">
        <f t="shared" ca="1" si="2"/>
        <v/>
      </c>
      <c r="C23" s="63">
        <f t="shared" ca="1" si="3"/>
        <v>0</v>
      </c>
      <c r="D23" s="205">
        <f t="shared" ca="1" si="4"/>
        <v>0</v>
      </c>
      <c r="E23" s="64">
        <f t="shared" ca="1" si="5"/>
        <v>0</v>
      </c>
      <c r="F23" s="64">
        <f t="shared" ca="1" si="6"/>
        <v>0</v>
      </c>
      <c r="G23" s="56" t="str">
        <f t="shared" ca="1" si="6"/>
        <v/>
      </c>
      <c r="J23" s="12" t="str">
        <f>"簿!B"&amp;FIXED(50*($G$3-1)+23,0)</f>
        <v>簿!B73</v>
      </c>
      <c r="K23" s="12" t="str">
        <f>"簿!d"&amp;FIXED(50*($G$3-1)+23,0)</f>
        <v>簿!d73</v>
      </c>
      <c r="L23" s="12" t="str">
        <f>"簿!e"&amp;FIXED(50*($G$3-1)+23,0)</f>
        <v>簿!e73</v>
      </c>
      <c r="M23" s="12" t="str">
        <f>"簿!f"&amp;FIXED(50*($G$3-1)+23,0)</f>
        <v>簿!f73</v>
      </c>
      <c r="N23" s="12" t="str">
        <f>"簿!g"&amp;FIXED(50*($G$3-1)+23,0)</f>
        <v>簿!g73</v>
      </c>
      <c r="O23" s="12" t="str">
        <f>"簿!h"&amp;FIXED(50*($G$3-1)+23,0)</f>
        <v>簿!h73</v>
      </c>
      <c r="P23" s="12" t="str">
        <f>"簿!i"&amp;FIXED(50*($G$3-1)+23,0)</f>
        <v>簿!i73</v>
      </c>
    </row>
    <row r="24" spans="1:16" ht="14.45" customHeight="1">
      <c r="A24" s="73">
        <f t="shared" ca="1" si="1"/>
        <v>0</v>
      </c>
      <c r="B24" s="63" t="str">
        <f t="shared" ca="1" si="2"/>
        <v/>
      </c>
      <c r="C24" s="63">
        <f t="shared" ca="1" si="3"/>
        <v>0</v>
      </c>
      <c r="D24" s="205">
        <f t="shared" ca="1" si="4"/>
        <v>0</v>
      </c>
      <c r="E24" s="64">
        <f t="shared" ca="1" si="5"/>
        <v>0</v>
      </c>
      <c r="F24" s="64">
        <f t="shared" ca="1" si="6"/>
        <v>0</v>
      </c>
      <c r="G24" s="56" t="str">
        <f t="shared" ca="1" si="6"/>
        <v/>
      </c>
      <c r="J24" s="12" t="str">
        <f>"簿!B"&amp;FIXED(50*($G$3-1)+24,0)</f>
        <v>簿!B74</v>
      </c>
      <c r="K24" s="12" t="str">
        <f>"簿!d"&amp;FIXED(50*($G$3-1)+24,0)</f>
        <v>簿!d74</v>
      </c>
      <c r="L24" s="12" t="str">
        <f>"簿!e"&amp;FIXED(50*($G$3-1)+24,0)</f>
        <v>簿!e74</v>
      </c>
      <c r="M24" s="12" t="str">
        <f>"簿!f"&amp;FIXED(50*($G$3-1)+24,0)</f>
        <v>簿!f74</v>
      </c>
      <c r="N24" s="12" t="str">
        <f>"簿!g"&amp;FIXED(50*($G$3-1)+24,0)</f>
        <v>簿!g74</v>
      </c>
      <c r="O24" s="12" t="str">
        <f>"簿!h"&amp;FIXED(50*($G$3-1)+24,0)</f>
        <v>簿!h74</v>
      </c>
      <c r="P24" s="12" t="str">
        <f>"簿!i"&amp;FIXED(50*($G$3-1)+24,0)</f>
        <v>簿!i74</v>
      </c>
    </row>
    <row r="25" spans="1:16" ht="14.45" customHeight="1">
      <c r="A25" s="73">
        <f t="shared" ca="1" si="1"/>
        <v>0</v>
      </c>
      <c r="B25" s="63" t="str">
        <f t="shared" ca="1" si="2"/>
        <v/>
      </c>
      <c r="C25" s="63">
        <f t="shared" ca="1" si="3"/>
        <v>0</v>
      </c>
      <c r="D25" s="205">
        <f t="shared" ca="1" si="4"/>
        <v>0</v>
      </c>
      <c r="E25" s="64">
        <f t="shared" ca="1" si="5"/>
        <v>0</v>
      </c>
      <c r="F25" s="64">
        <f t="shared" ca="1" si="6"/>
        <v>0</v>
      </c>
      <c r="G25" s="56" t="str">
        <f t="shared" ca="1" si="6"/>
        <v/>
      </c>
      <c r="J25" s="12" t="str">
        <f>"簿!B"&amp;FIXED(50*($G$3-1)+25,0)</f>
        <v>簿!B75</v>
      </c>
      <c r="K25" s="12" t="str">
        <f>"簿!d"&amp;FIXED(50*($G$3-1)+25,0)</f>
        <v>簿!d75</v>
      </c>
      <c r="L25" s="12" t="str">
        <f>"簿!e"&amp;FIXED(50*($G$3-1)+25,0)</f>
        <v>簿!e75</v>
      </c>
      <c r="M25" s="12" t="str">
        <f>"簿!f"&amp;FIXED(50*($G$3-1)+25,0)</f>
        <v>簿!f75</v>
      </c>
      <c r="N25" s="12" t="str">
        <f>"簿!g"&amp;FIXED(50*($G$3-1)+25,0)</f>
        <v>簿!g75</v>
      </c>
      <c r="O25" s="12" t="str">
        <f>"簿!h"&amp;FIXED(50*($G$3-1)+25,0)</f>
        <v>簿!h75</v>
      </c>
      <c r="P25" s="12" t="str">
        <f>"簿!i"&amp;FIXED(50*($G$3-1)+25,0)</f>
        <v>簿!i75</v>
      </c>
    </row>
    <row r="26" spans="1:16" ht="14.45" customHeight="1">
      <c r="A26" s="73">
        <f t="shared" ca="1" si="1"/>
        <v>0</v>
      </c>
      <c r="B26" s="63" t="str">
        <f t="shared" ca="1" si="2"/>
        <v/>
      </c>
      <c r="C26" s="63">
        <f t="shared" ca="1" si="3"/>
        <v>0</v>
      </c>
      <c r="D26" s="205">
        <f t="shared" ca="1" si="4"/>
        <v>0</v>
      </c>
      <c r="E26" s="64">
        <f t="shared" ca="1" si="5"/>
        <v>0</v>
      </c>
      <c r="F26" s="64">
        <f t="shared" ca="1" si="6"/>
        <v>0</v>
      </c>
      <c r="G26" s="56" t="str">
        <f t="shared" ca="1" si="6"/>
        <v/>
      </c>
      <c r="J26" s="12" t="str">
        <f>"簿!B"&amp;FIXED(50*($G$3-1)+26,0)</f>
        <v>簿!B76</v>
      </c>
      <c r="K26" s="12" t="str">
        <f>"簿!d"&amp;FIXED(50*($G$3-1)+26,0)</f>
        <v>簿!d76</v>
      </c>
      <c r="L26" s="12" t="str">
        <f>"簿!e"&amp;FIXED(50*($G$3-1)+26,0)</f>
        <v>簿!e76</v>
      </c>
      <c r="M26" s="12" t="str">
        <f>"簿!f"&amp;FIXED(50*($G$3-1)+26,0)</f>
        <v>簿!f76</v>
      </c>
      <c r="N26" s="12" t="str">
        <f>"簿!g"&amp;FIXED(50*($G$3-1)+26,0)</f>
        <v>簿!g76</v>
      </c>
      <c r="O26" s="12" t="str">
        <f>"簿!h"&amp;FIXED(50*($G$3-1)+26,0)</f>
        <v>簿!h76</v>
      </c>
      <c r="P26" s="12" t="str">
        <f>"簿!i"&amp;FIXED(50*($G$3-1)+26,0)</f>
        <v>簿!i76</v>
      </c>
    </row>
    <row r="27" spans="1:16" ht="14.45" customHeight="1">
      <c r="A27" s="73">
        <f t="shared" ca="1" si="1"/>
        <v>0</v>
      </c>
      <c r="B27" s="63" t="str">
        <f t="shared" ca="1" si="2"/>
        <v/>
      </c>
      <c r="C27" s="63">
        <f t="shared" ca="1" si="3"/>
        <v>0</v>
      </c>
      <c r="D27" s="205">
        <f t="shared" ca="1" si="4"/>
        <v>0</v>
      </c>
      <c r="E27" s="64">
        <f t="shared" ca="1" si="5"/>
        <v>0</v>
      </c>
      <c r="F27" s="64">
        <f t="shared" ca="1" si="6"/>
        <v>0</v>
      </c>
      <c r="G27" s="56" t="str">
        <f t="shared" ca="1" si="6"/>
        <v/>
      </c>
      <c r="J27" s="12" t="str">
        <f>"簿!B"&amp;FIXED(50*($G$3-1)+27,0)</f>
        <v>簿!B77</v>
      </c>
      <c r="K27" s="12" t="str">
        <f>"簿!d"&amp;FIXED(50*($G$3-1)+27,0)</f>
        <v>簿!d77</v>
      </c>
      <c r="L27" s="12" t="str">
        <f>"簿!e"&amp;FIXED(50*($G$3-1)+27,0)</f>
        <v>簿!e77</v>
      </c>
      <c r="M27" s="12" t="str">
        <f>"簿!f"&amp;FIXED(50*($G$3-1)+27,0)</f>
        <v>簿!f77</v>
      </c>
      <c r="N27" s="12" t="str">
        <f>"簿!g"&amp;FIXED(50*($G$3-1)+27,0)</f>
        <v>簿!g77</v>
      </c>
      <c r="O27" s="12" t="str">
        <f>"簿!h"&amp;FIXED(50*($G$3-1)+27,0)</f>
        <v>簿!h77</v>
      </c>
      <c r="P27" s="12" t="str">
        <f>"簿!i"&amp;FIXED(50*($G$3-1)+27,0)</f>
        <v>簿!i77</v>
      </c>
    </row>
    <row r="28" spans="1:16" ht="14.45" customHeight="1">
      <c r="A28" s="73">
        <f t="shared" ca="1" si="1"/>
        <v>0</v>
      </c>
      <c r="B28" s="63" t="str">
        <f t="shared" ca="1" si="2"/>
        <v/>
      </c>
      <c r="C28" s="63">
        <f t="shared" ca="1" si="3"/>
        <v>0</v>
      </c>
      <c r="D28" s="205">
        <f t="shared" ca="1" si="4"/>
        <v>0</v>
      </c>
      <c r="E28" s="64">
        <f t="shared" ca="1" si="5"/>
        <v>0</v>
      </c>
      <c r="F28" s="64">
        <f t="shared" ca="1" si="6"/>
        <v>0</v>
      </c>
      <c r="G28" s="56" t="str">
        <f t="shared" ca="1" si="6"/>
        <v/>
      </c>
      <c r="J28" s="12" t="str">
        <f>"簿!B"&amp;FIXED(50*($G$3-1)+28,0)</f>
        <v>簿!B78</v>
      </c>
      <c r="K28" s="12" t="str">
        <f>"簿!d"&amp;FIXED(50*($G$3-1)+28,0)</f>
        <v>簿!d78</v>
      </c>
      <c r="L28" s="12" t="str">
        <f>"簿!e"&amp;FIXED(50*($G$3-1)+28,0)</f>
        <v>簿!e78</v>
      </c>
      <c r="M28" s="12" t="str">
        <f>"簿!f"&amp;FIXED(50*($G$3-1)+28,0)</f>
        <v>簿!f78</v>
      </c>
      <c r="N28" s="12" t="str">
        <f>"簿!g"&amp;FIXED(50*($G$3-1)+28,0)</f>
        <v>簿!g78</v>
      </c>
      <c r="O28" s="12" t="str">
        <f>"簿!h"&amp;FIXED(50*($G$3-1)+28,0)</f>
        <v>簿!h78</v>
      </c>
      <c r="P28" s="12" t="str">
        <f>"簿!i"&amp;FIXED(50*($G$3-1)+28,0)</f>
        <v>簿!i78</v>
      </c>
    </row>
    <row r="29" spans="1:16" ht="14.45" customHeight="1">
      <c r="A29" s="73">
        <f t="shared" ca="1" si="1"/>
        <v>0</v>
      </c>
      <c r="B29" s="63" t="str">
        <f t="shared" ca="1" si="2"/>
        <v/>
      </c>
      <c r="C29" s="63">
        <f t="shared" ca="1" si="3"/>
        <v>0</v>
      </c>
      <c r="D29" s="205">
        <f t="shared" ca="1" si="4"/>
        <v>0</v>
      </c>
      <c r="E29" s="64">
        <f t="shared" ca="1" si="5"/>
        <v>0</v>
      </c>
      <c r="F29" s="64">
        <f t="shared" ca="1" si="6"/>
        <v>0</v>
      </c>
      <c r="G29" s="56" t="str">
        <f t="shared" ca="1" si="6"/>
        <v/>
      </c>
      <c r="J29" s="12" t="str">
        <f>"簿!B"&amp;FIXED(50*($G$3-1)+29,0)</f>
        <v>簿!B79</v>
      </c>
      <c r="K29" s="12" t="str">
        <f>"簿!d"&amp;FIXED(50*($G$3-1)+29,0)</f>
        <v>簿!d79</v>
      </c>
      <c r="L29" s="12" t="str">
        <f>"簿!e"&amp;FIXED(50*($G$3-1)+29,0)</f>
        <v>簿!e79</v>
      </c>
      <c r="M29" s="12" t="str">
        <f>"簿!f"&amp;FIXED(50*($G$3-1)+29,0)</f>
        <v>簿!f79</v>
      </c>
      <c r="N29" s="12" t="str">
        <f>"簿!g"&amp;FIXED(50*($G$3-1)+29,0)</f>
        <v>簿!g79</v>
      </c>
      <c r="O29" s="12" t="str">
        <f>"簿!h"&amp;FIXED(50*($G$3-1)+29,0)</f>
        <v>簿!h79</v>
      </c>
      <c r="P29" s="12" t="str">
        <f>"簿!i"&amp;FIXED(50*($G$3-1)+29,0)</f>
        <v>簿!i79</v>
      </c>
    </row>
    <row r="30" spans="1:16" ht="14.45" customHeight="1">
      <c r="A30" s="73">
        <f t="shared" ca="1" si="1"/>
        <v>0</v>
      </c>
      <c r="B30" s="63" t="str">
        <f t="shared" ca="1" si="2"/>
        <v/>
      </c>
      <c r="C30" s="63">
        <f t="shared" ca="1" si="3"/>
        <v>0</v>
      </c>
      <c r="D30" s="205">
        <f t="shared" ca="1" si="4"/>
        <v>0</v>
      </c>
      <c r="E30" s="64">
        <f t="shared" ca="1" si="5"/>
        <v>0</v>
      </c>
      <c r="F30" s="64">
        <f t="shared" ca="1" si="6"/>
        <v>0</v>
      </c>
      <c r="G30" s="56" t="str">
        <f t="shared" ca="1" si="6"/>
        <v/>
      </c>
      <c r="J30" s="12" t="str">
        <f>"簿!B"&amp;FIXED(50*($G$3-1)+30,0)</f>
        <v>簿!B80</v>
      </c>
      <c r="K30" s="12" t="str">
        <f>"簿!d"&amp;FIXED(50*($G$3-1)+30,0)</f>
        <v>簿!d80</v>
      </c>
      <c r="L30" s="12" t="str">
        <f>"簿!e"&amp;FIXED(50*($G$3-1)+30,0)</f>
        <v>簿!e80</v>
      </c>
      <c r="M30" s="12" t="str">
        <f>"簿!f"&amp;FIXED(50*($G$3-1)+30,0)</f>
        <v>簿!f80</v>
      </c>
      <c r="N30" s="12" t="str">
        <f>"簿!g"&amp;FIXED(50*($G$3-1)+30,0)</f>
        <v>簿!g80</v>
      </c>
      <c r="O30" s="12" t="str">
        <f>"簿!h"&amp;FIXED(50*($G$3-1)+30,0)</f>
        <v>簿!h80</v>
      </c>
      <c r="P30" s="12" t="str">
        <f>"簿!i"&amp;FIXED(50*($G$3-1)+30,0)</f>
        <v>簿!i80</v>
      </c>
    </row>
    <row r="31" spans="1:16" ht="14.45" customHeight="1">
      <c r="A31" s="73">
        <f t="shared" ca="1" si="1"/>
        <v>0</v>
      </c>
      <c r="B31" s="63" t="str">
        <f t="shared" ca="1" si="2"/>
        <v/>
      </c>
      <c r="C31" s="63">
        <f t="shared" ca="1" si="3"/>
        <v>0</v>
      </c>
      <c r="D31" s="205">
        <f t="shared" ca="1" si="4"/>
        <v>0</v>
      </c>
      <c r="E31" s="64">
        <f t="shared" ca="1" si="5"/>
        <v>0</v>
      </c>
      <c r="F31" s="64">
        <f t="shared" ca="1" si="6"/>
        <v>0</v>
      </c>
      <c r="G31" s="56" t="str">
        <f t="shared" ca="1" si="6"/>
        <v/>
      </c>
      <c r="J31" s="12" t="str">
        <f>"簿!B"&amp;FIXED(50*($G$3-1)+31,0)</f>
        <v>簿!B81</v>
      </c>
      <c r="K31" s="12" t="str">
        <f>"簿!d"&amp;FIXED(50*($G$3-1)+31,0)</f>
        <v>簿!d81</v>
      </c>
      <c r="L31" s="12" t="str">
        <f>"簿!e"&amp;FIXED(50*($G$3-1)+31,0)</f>
        <v>簿!e81</v>
      </c>
      <c r="M31" s="12" t="str">
        <f>"簿!f"&amp;FIXED(50*($G$3-1)+31,0)</f>
        <v>簿!f81</v>
      </c>
      <c r="N31" s="12" t="str">
        <f>"簿!g"&amp;FIXED(50*($G$3-1)+31,0)</f>
        <v>簿!g81</v>
      </c>
      <c r="O31" s="12" t="str">
        <f>"簿!h"&amp;FIXED(50*($G$3-1)+31,0)</f>
        <v>簿!h81</v>
      </c>
      <c r="P31" s="12" t="str">
        <f>"簿!i"&amp;FIXED(50*($G$3-1)+31,0)</f>
        <v>簿!i81</v>
      </c>
    </row>
    <row r="32" spans="1:16" ht="14.45" customHeight="1">
      <c r="A32" s="73">
        <f t="shared" ca="1" si="1"/>
        <v>0</v>
      </c>
      <c r="B32" s="63" t="str">
        <f t="shared" ca="1" si="2"/>
        <v/>
      </c>
      <c r="C32" s="63">
        <f t="shared" ca="1" si="3"/>
        <v>0</v>
      </c>
      <c r="D32" s="205">
        <f t="shared" ca="1" si="4"/>
        <v>0</v>
      </c>
      <c r="E32" s="64">
        <f t="shared" ca="1" si="5"/>
        <v>0</v>
      </c>
      <c r="F32" s="64">
        <f t="shared" ca="1" si="6"/>
        <v>0</v>
      </c>
      <c r="G32" s="56" t="str">
        <f t="shared" ca="1" si="6"/>
        <v/>
      </c>
      <c r="J32" s="12" t="str">
        <f>"簿!B"&amp;FIXED(50*($G$3-1)+32,0)</f>
        <v>簿!B82</v>
      </c>
      <c r="K32" s="12" t="str">
        <f>"簿!d"&amp;FIXED(50*($G$3-1)+32,0)</f>
        <v>簿!d82</v>
      </c>
      <c r="L32" s="12" t="str">
        <f>"簿!e"&amp;FIXED(50*($G$3-1)+32,0)</f>
        <v>簿!e82</v>
      </c>
      <c r="M32" s="12" t="str">
        <f>"簿!f"&amp;FIXED(50*($G$3-1)+32,0)</f>
        <v>簿!f82</v>
      </c>
      <c r="N32" s="12" t="str">
        <f>"簿!g"&amp;FIXED(50*($G$3-1)+32,0)</f>
        <v>簿!g82</v>
      </c>
      <c r="O32" s="12" t="str">
        <f>"簿!h"&amp;FIXED(50*($G$3-1)+32,0)</f>
        <v>簿!h82</v>
      </c>
      <c r="P32" s="12" t="str">
        <f>"簿!i"&amp;FIXED(50*($G$3-1)+32,0)</f>
        <v>簿!i82</v>
      </c>
    </row>
    <row r="33" spans="1:16" ht="14.45" customHeight="1">
      <c r="A33" s="73">
        <f t="shared" ca="1" si="1"/>
        <v>0</v>
      </c>
      <c r="B33" s="63" t="str">
        <f t="shared" ca="1" si="2"/>
        <v/>
      </c>
      <c r="C33" s="63">
        <f t="shared" ca="1" si="3"/>
        <v>0</v>
      </c>
      <c r="D33" s="205">
        <f t="shared" ca="1" si="4"/>
        <v>0</v>
      </c>
      <c r="E33" s="64">
        <f t="shared" ca="1" si="5"/>
        <v>0</v>
      </c>
      <c r="F33" s="64">
        <f t="shared" ca="1" si="6"/>
        <v>0</v>
      </c>
      <c r="G33" s="56" t="str">
        <f t="shared" ca="1" si="6"/>
        <v/>
      </c>
      <c r="J33" s="12" t="str">
        <f>"簿!B"&amp;FIXED(50*($G$3-1)+33,0)</f>
        <v>簿!B83</v>
      </c>
      <c r="K33" s="12" t="str">
        <f>"簿!d"&amp;FIXED(50*($G$3-1)+33,0)</f>
        <v>簿!d83</v>
      </c>
      <c r="L33" s="12" t="str">
        <f>"簿!e"&amp;FIXED(50*($G$3-1)+33,0)</f>
        <v>簿!e83</v>
      </c>
      <c r="M33" s="12" t="str">
        <f>"簿!f"&amp;FIXED(50*($G$3-1)+33,0)</f>
        <v>簿!f83</v>
      </c>
      <c r="N33" s="12" t="str">
        <f>"簿!g"&amp;FIXED(50*($G$3-1)+33,0)</f>
        <v>簿!g83</v>
      </c>
      <c r="O33" s="12" t="str">
        <f>"簿!h"&amp;FIXED(50*($G$3-1)+33,0)</f>
        <v>簿!h83</v>
      </c>
      <c r="P33" s="12" t="str">
        <f>"簿!i"&amp;FIXED(50*($G$3-1)+33,0)</f>
        <v>簿!i83</v>
      </c>
    </row>
    <row r="34" spans="1:16" ht="14.45" customHeight="1">
      <c r="A34" s="73">
        <f t="shared" ca="1" si="1"/>
        <v>0</v>
      </c>
      <c r="B34" s="63" t="str">
        <f t="shared" ca="1" si="2"/>
        <v/>
      </c>
      <c r="C34" s="63">
        <f t="shared" ca="1" si="3"/>
        <v>0</v>
      </c>
      <c r="D34" s="205">
        <f t="shared" ca="1" si="4"/>
        <v>0</v>
      </c>
      <c r="E34" s="64">
        <f t="shared" ca="1" si="5"/>
        <v>0</v>
      </c>
      <c r="F34" s="64">
        <f t="shared" ca="1" si="6"/>
        <v>0</v>
      </c>
      <c r="G34" s="56" t="str">
        <f t="shared" ca="1" si="6"/>
        <v/>
      </c>
      <c r="J34" s="12" t="str">
        <f>"簿!B"&amp;FIXED(50*($G$3-1)+34,0)</f>
        <v>簿!B84</v>
      </c>
      <c r="K34" s="12" t="str">
        <f>"簿!d"&amp;FIXED(50*($G$3-1)+34,0)</f>
        <v>簿!d84</v>
      </c>
      <c r="L34" s="12" t="str">
        <f>"簿!e"&amp;FIXED(50*($G$3-1)+34,0)</f>
        <v>簿!e84</v>
      </c>
      <c r="M34" s="12" t="str">
        <f>"簿!f"&amp;FIXED(50*($G$3-1)+34,0)</f>
        <v>簿!f84</v>
      </c>
      <c r="N34" s="12" t="str">
        <f>"簿!g"&amp;FIXED(50*($G$3-1)+34,0)</f>
        <v>簿!g84</v>
      </c>
      <c r="O34" s="12" t="str">
        <f>"簿!h"&amp;FIXED(50*($G$3-1)+34,0)</f>
        <v>簿!h84</v>
      </c>
      <c r="P34" s="12" t="str">
        <f>"簿!i"&amp;FIXED(50*($G$3-1)+34,0)</f>
        <v>簿!i84</v>
      </c>
    </row>
    <row r="35" spans="1:16" ht="14.45" customHeight="1">
      <c r="A35" s="73">
        <f t="shared" ca="1" si="1"/>
        <v>0</v>
      </c>
      <c r="B35" s="63" t="str">
        <f t="shared" ca="1" si="2"/>
        <v/>
      </c>
      <c r="C35" s="63">
        <f t="shared" ca="1" si="3"/>
        <v>0</v>
      </c>
      <c r="D35" s="205">
        <f t="shared" ca="1" si="4"/>
        <v>0</v>
      </c>
      <c r="E35" s="64">
        <f t="shared" ca="1" si="5"/>
        <v>0</v>
      </c>
      <c r="F35" s="64">
        <f t="shared" ca="1" si="6"/>
        <v>0</v>
      </c>
      <c r="G35" s="56" t="str">
        <f t="shared" ca="1" si="6"/>
        <v/>
      </c>
      <c r="J35" s="12" t="str">
        <f>"簿!B"&amp;FIXED(50*($G$3-1)+35,0)</f>
        <v>簿!B85</v>
      </c>
      <c r="K35" s="12" t="str">
        <f>"簿!d"&amp;FIXED(50*($G$3-1)+35,0)</f>
        <v>簿!d85</v>
      </c>
      <c r="L35" s="12" t="str">
        <f>"簿!e"&amp;FIXED(50*($G$3-1)+35,0)</f>
        <v>簿!e85</v>
      </c>
      <c r="M35" s="12" t="str">
        <f>"簿!f"&amp;FIXED(50*($G$3-1)+35,0)</f>
        <v>簿!f85</v>
      </c>
      <c r="N35" s="12" t="str">
        <f>"簿!g"&amp;FIXED(50*($G$3-1)+35,0)</f>
        <v>簿!g85</v>
      </c>
      <c r="O35" s="12" t="str">
        <f>"簿!h"&amp;FIXED(50*($G$3-1)+35,0)</f>
        <v>簿!h85</v>
      </c>
      <c r="P35" s="12" t="str">
        <f>"簿!i"&amp;FIXED(50*($G$3-1)+35,0)</f>
        <v>簿!i85</v>
      </c>
    </row>
    <row r="36" spans="1:16" ht="14.45" customHeight="1">
      <c r="A36" s="73">
        <f t="shared" ca="1" si="1"/>
        <v>0</v>
      </c>
      <c r="B36" s="63" t="str">
        <f t="shared" ca="1" si="2"/>
        <v/>
      </c>
      <c r="C36" s="63">
        <f t="shared" ca="1" si="3"/>
        <v>0</v>
      </c>
      <c r="D36" s="205">
        <f t="shared" ca="1" si="4"/>
        <v>0</v>
      </c>
      <c r="E36" s="64">
        <f t="shared" ca="1" si="5"/>
        <v>0</v>
      </c>
      <c r="F36" s="64">
        <f t="shared" ca="1" si="6"/>
        <v>0</v>
      </c>
      <c r="G36" s="56" t="str">
        <f t="shared" ca="1" si="6"/>
        <v/>
      </c>
      <c r="J36" s="12" t="str">
        <f>"簿!B"&amp;FIXED(50*($G$3-1)+36,0)</f>
        <v>簿!B86</v>
      </c>
      <c r="K36" s="12" t="str">
        <f>"簿!d"&amp;FIXED(50*($G$3-1)+36,0)</f>
        <v>簿!d86</v>
      </c>
      <c r="L36" s="12" t="str">
        <f>"簿!e"&amp;FIXED(50*($G$3-1)+36,0)</f>
        <v>簿!e86</v>
      </c>
      <c r="M36" s="12" t="str">
        <f>"簿!f"&amp;FIXED(50*($G$3-1)+36,0)</f>
        <v>簿!f86</v>
      </c>
      <c r="N36" s="12" t="str">
        <f>"簿!g"&amp;FIXED(50*($G$3-1)+36,0)</f>
        <v>簿!g86</v>
      </c>
      <c r="O36" s="12" t="str">
        <f>"簿!h"&amp;FIXED(50*($G$3-1)+36,0)</f>
        <v>簿!h86</v>
      </c>
      <c r="P36" s="12" t="str">
        <f>"簿!i"&amp;FIXED(50*($G$3-1)+36,0)</f>
        <v>簿!i86</v>
      </c>
    </row>
    <row r="37" spans="1:16" ht="14.45" customHeight="1">
      <c r="A37" s="73">
        <f t="shared" ca="1" si="1"/>
        <v>0</v>
      </c>
      <c r="B37" s="63" t="str">
        <f t="shared" ca="1" si="2"/>
        <v/>
      </c>
      <c r="C37" s="63">
        <f t="shared" ca="1" si="3"/>
        <v>0</v>
      </c>
      <c r="D37" s="205">
        <f t="shared" ca="1" si="4"/>
        <v>0</v>
      </c>
      <c r="E37" s="64">
        <f t="shared" ca="1" si="5"/>
        <v>0</v>
      </c>
      <c r="F37" s="64">
        <f t="shared" ca="1" si="6"/>
        <v>0</v>
      </c>
      <c r="G37" s="56" t="str">
        <f t="shared" ca="1" si="6"/>
        <v/>
      </c>
      <c r="J37" s="12" t="str">
        <f>"簿!B"&amp;FIXED(50*($G$3-1)+37,0)</f>
        <v>簿!B87</v>
      </c>
      <c r="K37" s="12" t="str">
        <f>"簿!d"&amp;FIXED(50*($G$3-1)+37,0)</f>
        <v>簿!d87</v>
      </c>
      <c r="L37" s="12" t="str">
        <f>"簿!e"&amp;FIXED(50*($G$3-1)+37,0)</f>
        <v>簿!e87</v>
      </c>
      <c r="M37" s="12" t="str">
        <f>"簿!f"&amp;FIXED(50*($G$3-1)+37,0)</f>
        <v>簿!f87</v>
      </c>
      <c r="N37" s="12" t="str">
        <f>"簿!g"&amp;FIXED(50*($G$3-1)+37,0)</f>
        <v>簿!g87</v>
      </c>
      <c r="O37" s="12" t="str">
        <f>"簿!h"&amp;FIXED(50*($G$3-1)+37,0)</f>
        <v>簿!h87</v>
      </c>
      <c r="P37" s="12" t="str">
        <f>"簿!i"&amp;FIXED(50*($G$3-1)+37,0)</f>
        <v>簿!i87</v>
      </c>
    </row>
    <row r="38" spans="1:16" ht="14.45" customHeight="1">
      <c r="A38" s="73">
        <f t="shared" ca="1" si="1"/>
        <v>0</v>
      </c>
      <c r="B38" s="63" t="str">
        <f t="shared" ca="1" si="2"/>
        <v/>
      </c>
      <c r="C38" s="63">
        <f t="shared" ca="1" si="3"/>
        <v>0</v>
      </c>
      <c r="D38" s="205">
        <f t="shared" ca="1" si="4"/>
        <v>0</v>
      </c>
      <c r="E38" s="64">
        <f t="shared" ca="1" si="5"/>
        <v>0</v>
      </c>
      <c r="F38" s="64">
        <f t="shared" ca="1" si="6"/>
        <v>0</v>
      </c>
      <c r="G38" s="56" t="str">
        <f t="shared" ca="1" si="6"/>
        <v/>
      </c>
      <c r="J38" s="12" t="str">
        <f>"簿!B"&amp;FIXED(50*($G$3-1)+38,0)</f>
        <v>簿!B88</v>
      </c>
      <c r="K38" s="12" t="str">
        <f>"簿!d"&amp;FIXED(50*($G$3-1)+38,0)</f>
        <v>簿!d88</v>
      </c>
      <c r="L38" s="12" t="str">
        <f>"簿!e"&amp;FIXED(50*($G$3-1)+38,0)</f>
        <v>簿!e88</v>
      </c>
      <c r="M38" s="12" t="str">
        <f>"簿!f"&amp;FIXED(50*($G$3-1)+38,0)</f>
        <v>簿!f88</v>
      </c>
      <c r="N38" s="12" t="str">
        <f>"簿!g"&amp;FIXED(50*($G$3-1)+38,0)</f>
        <v>簿!g88</v>
      </c>
      <c r="O38" s="12" t="str">
        <f>"簿!h"&amp;FIXED(50*($G$3-1)+38,0)</f>
        <v>簿!h88</v>
      </c>
      <c r="P38" s="12" t="str">
        <f>"簿!i"&amp;FIXED(50*($G$3-1)+38,0)</f>
        <v>簿!i88</v>
      </c>
    </row>
    <row r="39" spans="1:16" ht="14.45" customHeight="1">
      <c r="A39" s="73">
        <f t="shared" ca="1" si="1"/>
        <v>0</v>
      </c>
      <c r="B39" s="63" t="str">
        <f t="shared" ca="1" si="2"/>
        <v/>
      </c>
      <c r="C39" s="63">
        <f t="shared" ca="1" si="3"/>
        <v>0</v>
      </c>
      <c r="D39" s="205">
        <f t="shared" ca="1" si="4"/>
        <v>0</v>
      </c>
      <c r="E39" s="64">
        <f t="shared" ca="1" si="5"/>
        <v>0</v>
      </c>
      <c r="F39" s="64">
        <f t="shared" ca="1" si="6"/>
        <v>0</v>
      </c>
      <c r="G39" s="56" t="str">
        <f t="shared" ca="1" si="6"/>
        <v/>
      </c>
      <c r="J39" s="12" t="str">
        <f>"簿!B"&amp;FIXED(50*($G$3-1)+39,0)</f>
        <v>簿!B89</v>
      </c>
      <c r="K39" s="12" t="str">
        <f>"簿!d"&amp;FIXED(50*($G$3-1)+39,0)</f>
        <v>簿!d89</v>
      </c>
      <c r="L39" s="12" t="str">
        <f>"簿!e"&amp;FIXED(50*($G$3-1)+39,0)</f>
        <v>簿!e89</v>
      </c>
      <c r="M39" s="12" t="str">
        <f>"簿!f"&amp;FIXED(50*($G$3-1)+39,0)</f>
        <v>簿!f89</v>
      </c>
      <c r="N39" s="12" t="str">
        <f>"簿!g"&amp;FIXED(50*($G$3-1)+39,0)</f>
        <v>簿!g89</v>
      </c>
      <c r="O39" s="12" t="str">
        <f>"簿!h"&amp;FIXED(50*($G$3-1)+39,0)</f>
        <v>簿!h89</v>
      </c>
      <c r="P39" s="12" t="str">
        <f>"簿!i"&amp;FIXED(50*($G$3-1)+39,0)</f>
        <v>簿!i89</v>
      </c>
    </row>
    <row r="40" spans="1:16" ht="14.45" customHeight="1">
      <c r="A40" s="73">
        <f t="shared" ca="1" si="1"/>
        <v>0</v>
      </c>
      <c r="B40" s="63" t="str">
        <f t="shared" ca="1" si="2"/>
        <v/>
      </c>
      <c r="C40" s="63">
        <f t="shared" ca="1" si="3"/>
        <v>0</v>
      </c>
      <c r="D40" s="205">
        <f t="shared" ca="1" si="4"/>
        <v>0</v>
      </c>
      <c r="E40" s="64">
        <f t="shared" ca="1" si="5"/>
        <v>0</v>
      </c>
      <c r="F40" s="64">
        <f t="shared" ca="1" si="6"/>
        <v>0</v>
      </c>
      <c r="G40" s="56" t="str">
        <f t="shared" ca="1" si="6"/>
        <v/>
      </c>
      <c r="J40" s="12" t="str">
        <f>"簿!B"&amp;FIXED(50*($G$3-1)+40,0)</f>
        <v>簿!B90</v>
      </c>
      <c r="K40" s="12" t="str">
        <f>"簿!d"&amp;FIXED(50*($G$3-1)+40,0)</f>
        <v>簿!d90</v>
      </c>
      <c r="L40" s="12" t="str">
        <f>"簿!e"&amp;FIXED(50*($G$3-1)+40,0)</f>
        <v>簿!e90</v>
      </c>
      <c r="M40" s="12" t="str">
        <f>"簿!f"&amp;FIXED(50*($G$3-1)+40,0)</f>
        <v>簿!f90</v>
      </c>
      <c r="N40" s="12" t="str">
        <f>"簿!g"&amp;FIXED(50*($G$3-1)+40,0)</f>
        <v>簿!g90</v>
      </c>
      <c r="O40" s="12" t="str">
        <f>"簿!h"&amp;FIXED(50*($G$3-1)+40,0)</f>
        <v>簿!h90</v>
      </c>
      <c r="P40" s="12" t="str">
        <f>"簿!i"&amp;FIXED(50*($G$3-1)+40,0)</f>
        <v>簿!i90</v>
      </c>
    </row>
    <row r="41" spans="1:16" ht="14.45" customHeight="1">
      <c r="A41" s="73">
        <f t="shared" ca="1" si="1"/>
        <v>0</v>
      </c>
      <c r="B41" s="63" t="str">
        <f t="shared" ca="1" si="2"/>
        <v/>
      </c>
      <c r="C41" s="63">
        <f t="shared" ca="1" si="3"/>
        <v>0</v>
      </c>
      <c r="D41" s="205">
        <f t="shared" ca="1" si="4"/>
        <v>0</v>
      </c>
      <c r="E41" s="64">
        <f t="shared" ca="1" si="5"/>
        <v>0</v>
      </c>
      <c r="F41" s="64">
        <f t="shared" ca="1" si="6"/>
        <v>0</v>
      </c>
      <c r="G41" s="56" t="str">
        <f t="shared" ca="1" si="6"/>
        <v/>
      </c>
      <c r="J41" s="12" t="str">
        <f>"簿!B"&amp;FIXED(50*($G$3-1)+41,0)</f>
        <v>簿!B91</v>
      </c>
      <c r="K41" s="12" t="str">
        <f>"簿!d"&amp;FIXED(50*($G$3-1)+41,0)</f>
        <v>簿!d91</v>
      </c>
      <c r="L41" s="12" t="str">
        <f>"簿!e"&amp;FIXED(50*($G$3-1)+41,0)</f>
        <v>簿!e91</v>
      </c>
      <c r="M41" s="12" t="str">
        <f>"簿!f"&amp;FIXED(50*($G$3-1)+41,0)</f>
        <v>簿!f91</v>
      </c>
      <c r="N41" s="12" t="str">
        <f>"簿!g"&amp;FIXED(50*($G$3-1)+41,0)</f>
        <v>簿!g91</v>
      </c>
      <c r="O41" s="12" t="str">
        <f>"簿!h"&amp;FIXED(50*($G$3-1)+41,0)</f>
        <v>簿!h91</v>
      </c>
      <c r="P41" s="12" t="str">
        <f>"簿!i"&amp;FIXED(50*($G$3-1)+41,0)</f>
        <v>簿!i91</v>
      </c>
    </row>
    <row r="42" spans="1:16" ht="14.45" customHeight="1">
      <c r="A42" s="73">
        <f t="shared" ca="1" si="1"/>
        <v>0</v>
      </c>
      <c r="B42" s="63" t="str">
        <f t="shared" ca="1" si="2"/>
        <v/>
      </c>
      <c r="C42" s="63">
        <f t="shared" ca="1" si="3"/>
        <v>0</v>
      </c>
      <c r="D42" s="205">
        <f t="shared" ca="1" si="4"/>
        <v>0</v>
      </c>
      <c r="E42" s="64">
        <f t="shared" ca="1" si="5"/>
        <v>0</v>
      </c>
      <c r="F42" s="64">
        <f t="shared" ca="1" si="6"/>
        <v>0</v>
      </c>
      <c r="G42" s="56" t="str">
        <f t="shared" ca="1" si="6"/>
        <v/>
      </c>
      <c r="J42" s="12" t="str">
        <f>"簿!B"&amp;FIXED(50*($G$3-1)+42,0)</f>
        <v>簿!B92</v>
      </c>
      <c r="K42" s="12" t="str">
        <f>"簿!d"&amp;FIXED(50*($G$3-1)+42,0)</f>
        <v>簿!d92</v>
      </c>
      <c r="L42" s="12" t="str">
        <f>"簿!e"&amp;FIXED(50*($G$3-1)+42,0)</f>
        <v>簿!e92</v>
      </c>
      <c r="M42" s="12" t="str">
        <f>"簿!f"&amp;FIXED(50*($G$3-1)+42,0)</f>
        <v>簿!f92</v>
      </c>
      <c r="N42" s="12" t="str">
        <f>"簿!g"&amp;FIXED(50*($G$3-1)+42,0)</f>
        <v>簿!g92</v>
      </c>
      <c r="O42" s="12" t="str">
        <f>"簿!h"&amp;FIXED(50*($G$3-1)+42,0)</f>
        <v>簿!h92</v>
      </c>
      <c r="P42" s="12" t="str">
        <f>"簿!i"&amp;FIXED(50*($G$3-1)+42,0)</f>
        <v>簿!i92</v>
      </c>
    </row>
    <row r="43" spans="1:16" ht="14.45" customHeight="1">
      <c r="A43" s="73">
        <f t="shared" ca="1" si="1"/>
        <v>0</v>
      </c>
      <c r="B43" s="63" t="str">
        <f t="shared" ca="1" si="2"/>
        <v/>
      </c>
      <c r="C43" s="63">
        <f t="shared" ca="1" si="3"/>
        <v>0</v>
      </c>
      <c r="D43" s="205">
        <f t="shared" ca="1" si="4"/>
        <v>0</v>
      </c>
      <c r="E43" s="64">
        <f t="shared" ca="1" si="5"/>
        <v>0</v>
      </c>
      <c r="F43" s="64">
        <f t="shared" ca="1" si="6"/>
        <v>0</v>
      </c>
      <c r="G43" s="56" t="str">
        <f t="shared" ca="1" si="6"/>
        <v/>
      </c>
      <c r="J43" s="12" t="str">
        <f>"簿!B"&amp;FIXED(50*($G$3-1)+43,0)</f>
        <v>簿!B93</v>
      </c>
      <c r="K43" s="12" t="str">
        <f>"簿!d"&amp;FIXED(50*($G$3-1)+43,0)</f>
        <v>簿!d93</v>
      </c>
      <c r="L43" s="12" t="str">
        <f>"簿!e"&amp;FIXED(50*($G$3-1)+43,0)</f>
        <v>簿!e93</v>
      </c>
      <c r="M43" s="12" t="str">
        <f>"簿!f"&amp;FIXED(50*($G$3-1)+43,0)</f>
        <v>簿!f93</v>
      </c>
      <c r="N43" s="12" t="str">
        <f>"簿!g"&amp;FIXED(50*($G$3-1)+43,0)</f>
        <v>簿!g93</v>
      </c>
      <c r="O43" s="12" t="str">
        <f>"簿!h"&amp;FIXED(50*($G$3-1)+43,0)</f>
        <v>簿!h93</v>
      </c>
      <c r="P43" s="12" t="str">
        <f>"簿!i"&amp;FIXED(50*($G$3-1)+43,0)</f>
        <v>簿!i93</v>
      </c>
    </row>
    <row r="44" spans="1:16" ht="14.45" customHeight="1">
      <c r="A44" s="73">
        <f t="shared" ca="1" si="1"/>
        <v>0</v>
      </c>
      <c r="B44" s="63" t="str">
        <f t="shared" ca="1" si="2"/>
        <v/>
      </c>
      <c r="C44" s="63">
        <f t="shared" ca="1" si="3"/>
        <v>0</v>
      </c>
      <c r="D44" s="205">
        <f t="shared" ca="1" si="4"/>
        <v>0</v>
      </c>
      <c r="E44" s="64">
        <f t="shared" ca="1" si="5"/>
        <v>0</v>
      </c>
      <c r="F44" s="64">
        <f t="shared" ca="1" si="6"/>
        <v>0</v>
      </c>
      <c r="G44" s="56" t="str">
        <f t="shared" ca="1" si="6"/>
        <v/>
      </c>
      <c r="J44" s="12" t="str">
        <f>"簿!B"&amp;FIXED(50*($G$3-1)+44,0)</f>
        <v>簿!B94</v>
      </c>
      <c r="K44" s="12" t="str">
        <f>"簿!d"&amp;FIXED(50*($G$3-1)+44,0)</f>
        <v>簿!d94</v>
      </c>
      <c r="L44" s="12" t="str">
        <f>"簿!e"&amp;FIXED(50*($G$3-1)+44,0)</f>
        <v>簿!e94</v>
      </c>
      <c r="M44" s="12" t="str">
        <f>"簿!f"&amp;FIXED(50*($G$3-1)+44,0)</f>
        <v>簿!f94</v>
      </c>
      <c r="N44" s="12" t="str">
        <f>"簿!g"&amp;FIXED(50*($G$3-1)+44,0)</f>
        <v>簿!g94</v>
      </c>
      <c r="O44" s="12" t="str">
        <f>"簿!h"&amp;FIXED(50*($G$3-1)+44,0)</f>
        <v>簿!h94</v>
      </c>
      <c r="P44" s="12" t="str">
        <f>"簿!i"&amp;FIXED(50*($G$3-1)+44,0)</f>
        <v>簿!i94</v>
      </c>
    </row>
    <row r="45" spans="1:16" ht="14.45" customHeight="1">
      <c r="A45" s="73">
        <f t="shared" ca="1" si="1"/>
        <v>0</v>
      </c>
      <c r="B45" s="63" t="str">
        <f t="shared" ca="1" si="2"/>
        <v/>
      </c>
      <c r="C45" s="63">
        <f t="shared" ca="1" si="3"/>
        <v>0</v>
      </c>
      <c r="D45" s="205">
        <f t="shared" ca="1" si="4"/>
        <v>0</v>
      </c>
      <c r="E45" s="64">
        <f t="shared" ca="1" si="5"/>
        <v>0</v>
      </c>
      <c r="F45" s="64">
        <f t="shared" ca="1" si="6"/>
        <v>0</v>
      </c>
      <c r="G45" s="56" t="str">
        <f t="shared" ca="1" si="6"/>
        <v/>
      </c>
      <c r="J45" s="12" t="str">
        <f>"簿!B"&amp;FIXED(50*($G$3-1)+45,0)</f>
        <v>簿!B95</v>
      </c>
      <c r="K45" s="12" t="str">
        <f>"簿!d"&amp;FIXED(50*($G$3-1)+45,0)</f>
        <v>簿!d95</v>
      </c>
      <c r="L45" s="12" t="str">
        <f>"簿!e"&amp;FIXED(50*($G$3-1)+45,0)</f>
        <v>簿!e95</v>
      </c>
      <c r="M45" s="12" t="str">
        <f>"簿!f"&amp;FIXED(50*($G$3-1)+45,0)</f>
        <v>簿!f95</v>
      </c>
      <c r="N45" s="12" t="str">
        <f>"簿!g"&amp;FIXED(50*($G$3-1)+45,0)</f>
        <v>簿!g95</v>
      </c>
      <c r="O45" s="12" t="str">
        <f>"簿!h"&amp;FIXED(50*($G$3-1)+45,0)</f>
        <v>簿!h95</v>
      </c>
      <c r="P45" s="12" t="str">
        <f>"簿!i"&amp;FIXED(50*($G$3-1)+45,0)</f>
        <v>簿!i95</v>
      </c>
    </row>
    <row r="46" spans="1:16" ht="14.45" customHeight="1">
      <c r="A46" s="73">
        <f t="shared" ca="1" si="1"/>
        <v>0</v>
      </c>
      <c r="B46" s="63" t="str">
        <f t="shared" ca="1" si="2"/>
        <v/>
      </c>
      <c r="C46" s="63">
        <f t="shared" ca="1" si="3"/>
        <v>0</v>
      </c>
      <c r="D46" s="205">
        <f t="shared" ca="1" si="4"/>
        <v>0</v>
      </c>
      <c r="E46" s="64">
        <f t="shared" ca="1" si="5"/>
        <v>0</v>
      </c>
      <c r="F46" s="64">
        <f t="shared" ca="1" si="6"/>
        <v>0</v>
      </c>
      <c r="G46" s="56" t="str">
        <f t="shared" ca="1" si="6"/>
        <v/>
      </c>
      <c r="J46" s="12" t="str">
        <f>"簿!B"&amp;FIXED(50*($G$3-1)+46,0)</f>
        <v>簿!B96</v>
      </c>
      <c r="K46" s="12" t="str">
        <f>"簿!d"&amp;FIXED(50*($G$3-1)+46,0)</f>
        <v>簿!d96</v>
      </c>
      <c r="L46" s="12" t="str">
        <f>"簿!e"&amp;FIXED(50*($G$3-1)+46,0)</f>
        <v>簿!e96</v>
      </c>
      <c r="M46" s="12" t="str">
        <f>"簿!f"&amp;FIXED(50*($G$3-1)+46,0)</f>
        <v>簿!f96</v>
      </c>
      <c r="N46" s="12" t="str">
        <f>"簿!g"&amp;FIXED(50*($G$3-1)+46,0)</f>
        <v>簿!g96</v>
      </c>
      <c r="O46" s="12" t="str">
        <f>"簿!h"&amp;FIXED(50*($G$3-1)+46,0)</f>
        <v>簿!h96</v>
      </c>
      <c r="P46" s="12" t="str">
        <f>"簿!i"&amp;FIXED(50*($G$3-1)+46,0)</f>
        <v>簿!i96</v>
      </c>
    </row>
    <row r="47" spans="1:16" ht="14.45" customHeight="1">
      <c r="A47" s="73">
        <f t="shared" ca="1" si="1"/>
        <v>0</v>
      </c>
      <c r="B47" s="63" t="str">
        <f t="shared" ca="1" si="2"/>
        <v/>
      </c>
      <c r="C47" s="63">
        <f t="shared" ca="1" si="3"/>
        <v>0</v>
      </c>
      <c r="D47" s="205">
        <f t="shared" ca="1" si="4"/>
        <v>0</v>
      </c>
      <c r="E47" s="64">
        <f t="shared" ca="1" si="5"/>
        <v>0</v>
      </c>
      <c r="F47" s="64">
        <f t="shared" ca="1" si="6"/>
        <v>0</v>
      </c>
      <c r="G47" s="56" t="str">
        <f t="shared" ca="1" si="6"/>
        <v/>
      </c>
      <c r="J47" s="12" t="str">
        <f>"簿!B"&amp;FIXED(50*($G$3-1)+47,0)</f>
        <v>簿!B97</v>
      </c>
      <c r="K47" s="12" t="str">
        <f>"簿!d"&amp;FIXED(50*($G$3-1)+47,0)</f>
        <v>簿!d97</v>
      </c>
      <c r="L47" s="12" t="str">
        <f>"簿!e"&amp;FIXED(50*($G$3-1)+47,0)</f>
        <v>簿!e97</v>
      </c>
      <c r="M47" s="12" t="str">
        <f>"簿!f"&amp;FIXED(50*($G$3-1)+47,0)</f>
        <v>簿!f97</v>
      </c>
      <c r="N47" s="12" t="str">
        <f>"簿!g"&amp;FIXED(50*($G$3-1)+47,0)</f>
        <v>簿!g97</v>
      </c>
      <c r="O47" s="12" t="str">
        <f>"簿!h"&amp;FIXED(50*($G$3-1)+47,0)</f>
        <v>簿!h97</v>
      </c>
      <c r="P47" s="12" t="str">
        <f>"簿!i"&amp;FIXED(50*($G$3-1)+47,0)</f>
        <v>簿!i97</v>
      </c>
    </row>
    <row r="48" spans="1:16" ht="14.45" customHeight="1">
      <c r="A48" s="73">
        <f t="shared" ca="1" si="1"/>
        <v>0</v>
      </c>
      <c r="B48" s="63" t="str">
        <f t="shared" ca="1" si="2"/>
        <v/>
      </c>
      <c r="C48" s="63">
        <f t="shared" ca="1" si="3"/>
        <v>0</v>
      </c>
      <c r="D48" s="205">
        <f t="shared" ca="1" si="4"/>
        <v>0</v>
      </c>
      <c r="E48" s="64">
        <f t="shared" ca="1" si="5"/>
        <v>0</v>
      </c>
      <c r="F48" s="64">
        <f t="shared" ca="1" si="6"/>
        <v>0</v>
      </c>
      <c r="G48" s="56" t="str">
        <f t="shared" ca="1" si="6"/>
        <v/>
      </c>
      <c r="J48" s="12" t="str">
        <f>"簿!B"&amp;FIXED(50*($G$3-1)+48,0)</f>
        <v>簿!B98</v>
      </c>
      <c r="K48" s="12" t="str">
        <f>"簿!d"&amp;FIXED(50*($G$3-1)+48,0)</f>
        <v>簿!d98</v>
      </c>
      <c r="L48" s="12" t="str">
        <f>"簿!e"&amp;FIXED(50*($G$3-1)+48,0)</f>
        <v>簿!e98</v>
      </c>
      <c r="M48" s="12" t="str">
        <f>"簿!f"&amp;FIXED(50*($G$3-1)+48,0)</f>
        <v>簿!f98</v>
      </c>
      <c r="N48" s="12" t="str">
        <f>"簿!g"&amp;FIXED(50*($G$3-1)+48,0)</f>
        <v>簿!g98</v>
      </c>
      <c r="O48" s="12" t="str">
        <f>"簿!h"&amp;FIXED(50*($G$3-1)+48,0)</f>
        <v>簿!h98</v>
      </c>
      <c r="P48" s="12" t="str">
        <f>"簿!i"&amp;FIXED(50*($G$3-1)+48,0)</f>
        <v>簿!i98</v>
      </c>
    </row>
    <row r="49" spans="1:16" ht="14.45" customHeight="1">
      <c r="A49" s="73">
        <f t="shared" ca="1" si="1"/>
        <v>0</v>
      </c>
      <c r="B49" s="63" t="str">
        <f t="shared" ca="1" si="2"/>
        <v/>
      </c>
      <c r="C49" s="63">
        <f t="shared" ca="1" si="3"/>
        <v>0</v>
      </c>
      <c r="D49" s="205">
        <f t="shared" ca="1" si="4"/>
        <v>0</v>
      </c>
      <c r="E49" s="64">
        <f t="shared" ca="1" si="5"/>
        <v>0</v>
      </c>
      <c r="F49" s="64">
        <f t="shared" ca="1" si="6"/>
        <v>0</v>
      </c>
      <c r="G49" s="56" t="str">
        <f t="shared" ca="1" si="6"/>
        <v/>
      </c>
      <c r="J49" s="12" t="str">
        <f>"簿!B"&amp;FIXED(50*($G$3-1)+49,0)</f>
        <v>簿!B99</v>
      </c>
      <c r="K49" s="12" t="str">
        <f>"簿!d"&amp;FIXED(50*($G$3-1)+49,0)</f>
        <v>簿!d99</v>
      </c>
      <c r="L49" s="12" t="str">
        <f>"簿!e"&amp;FIXED(50*($G$3-1)+49,0)</f>
        <v>簿!e99</v>
      </c>
      <c r="M49" s="12" t="str">
        <f>"簿!f"&amp;FIXED(50*($G$3-1)+49,0)</f>
        <v>簿!f99</v>
      </c>
      <c r="N49" s="12" t="str">
        <f>"簿!g"&amp;FIXED(50*($G$3-1)+49,0)</f>
        <v>簿!g99</v>
      </c>
      <c r="O49" s="12" t="str">
        <f>"簿!h"&amp;FIXED(50*($G$3-1)+49,0)</f>
        <v>簿!h99</v>
      </c>
      <c r="P49" s="12" t="str">
        <f>"簿!i"&amp;FIXED(50*($G$3-1)+49,0)</f>
        <v>簿!i99</v>
      </c>
    </row>
    <row r="50" spans="1:16" ht="14.45" customHeight="1">
      <c r="A50" s="73">
        <f t="shared" ca="1" si="1"/>
        <v>0</v>
      </c>
      <c r="B50" s="63" t="str">
        <f t="shared" ca="1" si="2"/>
        <v/>
      </c>
      <c r="C50" s="63">
        <f t="shared" ca="1" si="3"/>
        <v>0</v>
      </c>
      <c r="D50" s="205">
        <f t="shared" ca="1" si="4"/>
        <v>0</v>
      </c>
      <c r="E50" s="64">
        <f t="shared" ca="1" si="5"/>
        <v>0</v>
      </c>
      <c r="F50" s="64">
        <f t="shared" ca="1" si="6"/>
        <v>0</v>
      </c>
      <c r="G50" s="56" t="str">
        <f t="shared" ca="1" si="6"/>
        <v/>
      </c>
      <c r="J50" s="12" t="str">
        <f>"簿!B"&amp;FIXED(50*($G$3-1)+50,0)</f>
        <v>簿!B100</v>
      </c>
      <c r="K50" s="12" t="str">
        <f>"簿!d"&amp;FIXED(50*($G$3-1)+50,0)</f>
        <v>簿!d100</v>
      </c>
      <c r="L50" s="12" t="str">
        <f>"簿!e"&amp;FIXED(50*($G$3-1)+50,0)</f>
        <v>簿!e100</v>
      </c>
      <c r="M50" s="12" t="str">
        <f>"簿!f"&amp;FIXED(50*($G$3-1)+50,0)</f>
        <v>簿!f100</v>
      </c>
      <c r="N50" s="12" t="str">
        <f>"簿!g"&amp;FIXED(50*($G$3-1)+50,0)</f>
        <v>簿!g100</v>
      </c>
      <c r="O50" s="12" t="str">
        <f>"簿!h"&amp;FIXED(50*($G$3-1)+50,0)</f>
        <v>簿!h100</v>
      </c>
      <c r="P50" s="12" t="str">
        <f>"簿!i"&amp;FIXED(50*($G$3-1)+50,0)</f>
        <v>簿!i100</v>
      </c>
    </row>
    <row r="51" spans="1:16" ht="14.45" customHeight="1">
      <c r="A51" s="73">
        <f t="shared" ca="1" si="1"/>
        <v>0</v>
      </c>
      <c r="B51" s="63" t="str">
        <f t="shared" ca="1" si="2"/>
        <v/>
      </c>
      <c r="C51" s="63">
        <f t="shared" ca="1" si="3"/>
        <v>0</v>
      </c>
      <c r="D51" s="205">
        <f t="shared" ca="1" si="4"/>
        <v>0</v>
      </c>
      <c r="E51" s="64">
        <f t="shared" ca="1" si="5"/>
        <v>0</v>
      </c>
      <c r="F51" s="64">
        <f t="shared" ca="1" si="6"/>
        <v>0</v>
      </c>
      <c r="G51" s="56" t="str">
        <f t="shared" ca="1" si="6"/>
        <v/>
      </c>
      <c r="J51" s="12" t="str">
        <f>"簿!B"&amp;FIXED(50*($G$3-1)+51,0)</f>
        <v>簿!B101</v>
      </c>
      <c r="K51" s="12" t="str">
        <f>"簿!d"&amp;FIXED(50*($G$3-1)+51,0)</f>
        <v>簿!d101</v>
      </c>
      <c r="L51" s="12" t="str">
        <f>"簿!e"&amp;FIXED(50*($G$3-1)+51,0)</f>
        <v>簿!e101</v>
      </c>
      <c r="M51" s="12" t="str">
        <f>"簿!f"&amp;FIXED(50*($G$3-1)+51,0)</f>
        <v>簿!f101</v>
      </c>
      <c r="N51" s="12" t="str">
        <f>"簿!g"&amp;FIXED(50*($G$3-1)+51,0)</f>
        <v>簿!g101</v>
      </c>
      <c r="O51" s="12" t="str">
        <f>"簿!h"&amp;FIXED(50*($G$3-1)+51,0)</f>
        <v>簿!h101</v>
      </c>
      <c r="P51" s="12" t="str">
        <f>"簿!i"&amp;FIXED(50*($G$3-1)+51,0)</f>
        <v>簿!i101</v>
      </c>
    </row>
    <row r="52" spans="1:16" ht="14.45" customHeight="1">
      <c r="A52" s="73">
        <f t="shared" ca="1" si="1"/>
        <v>0</v>
      </c>
      <c r="B52" s="63" t="str">
        <f t="shared" ca="1" si="2"/>
        <v/>
      </c>
      <c r="C52" s="63">
        <f t="shared" ca="1" si="3"/>
        <v>0</v>
      </c>
      <c r="D52" s="205">
        <f t="shared" ca="1" si="4"/>
        <v>0</v>
      </c>
      <c r="E52" s="64">
        <f t="shared" ca="1" si="5"/>
        <v>0</v>
      </c>
      <c r="F52" s="64">
        <f t="shared" ca="1" si="6"/>
        <v>0</v>
      </c>
      <c r="G52" s="56" t="str">
        <f t="shared" ca="1" si="6"/>
        <v/>
      </c>
      <c r="J52" s="12" t="str">
        <f>"簿!B"&amp;FIXED(50*($G$3-1)+52,0)</f>
        <v>簿!B102</v>
      </c>
      <c r="K52" s="12" t="str">
        <f>"簿!d"&amp;FIXED(50*($G$3-1)+52,0)</f>
        <v>簿!d102</v>
      </c>
      <c r="L52" s="12" t="str">
        <f>"簿!e"&amp;FIXED(50*($G$3-1)+52,0)</f>
        <v>簿!e102</v>
      </c>
      <c r="M52" s="12" t="str">
        <f>"簿!f"&amp;FIXED(50*($G$3-1)+52,0)</f>
        <v>簿!f102</v>
      </c>
      <c r="N52" s="12" t="str">
        <f>"簿!g"&amp;FIXED(50*($G$3-1)+52,0)</f>
        <v>簿!g102</v>
      </c>
      <c r="O52" s="12" t="str">
        <f>"簿!h"&amp;FIXED(50*($G$3-1)+52,0)</f>
        <v>簿!h102</v>
      </c>
      <c r="P52" s="12" t="str">
        <f>"簿!i"&amp;FIXED(50*($G$3-1)+52,0)</f>
        <v>簿!i102</v>
      </c>
    </row>
    <row r="53" spans="1:16" ht="14.45" customHeight="1">
      <c r="A53" s="73">
        <f t="shared" ca="1" si="1"/>
        <v>0</v>
      </c>
      <c r="B53" s="63" t="str">
        <f t="shared" ca="1" si="2"/>
        <v/>
      </c>
      <c r="C53" s="63">
        <f t="shared" ca="1" si="3"/>
        <v>0</v>
      </c>
      <c r="D53" s="205">
        <f t="shared" ca="1" si="4"/>
        <v>0</v>
      </c>
      <c r="E53" s="64">
        <f t="shared" ca="1" si="5"/>
        <v>0</v>
      </c>
      <c r="F53" s="64">
        <f t="shared" ca="1" si="6"/>
        <v>0</v>
      </c>
      <c r="G53" s="56" t="str">
        <f t="shared" ca="1" si="6"/>
        <v/>
      </c>
      <c r="J53" s="12" t="str">
        <f>"簿!B"&amp;FIXED(50*($G$3-1)+53,0)</f>
        <v>簿!B103</v>
      </c>
      <c r="K53" s="12" t="str">
        <f>"簿!d"&amp;FIXED(50*($G$3-1)+53,0)</f>
        <v>簿!d103</v>
      </c>
      <c r="L53" s="12" t="str">
        <f>"簿!e"&amp;FIXED(50*($G$3-1)+53,0)</f>
        <v>簿!e103</v>
      </c>
      <c r="M53" s="12" t="str">
        <f>"簿!f"&amp;FIXED(50*($G$3-1)+53,0)</f>
        <v>簿!f103</v>
      </c>
      <c r="N53" s="12" t="str">
        <f>"簿!g"&amp;FIXED(50*($G$3-1)+53,0)</f>
        <v>簿!g103</v>
      </c>
      <c r="O53" s="12" t="str">
        <f>"簿!h"&amp;FIXED(50*($G$3-1)+53,0)</f>
        <v>簿!h103</v>
      </c>
      <c r="P53" s="12" t="str">
        <f>"簿!i"&amp;FIXED(50*($G$3-1)+53,0)</f>
        <v>簿!i103</v>
      </c>
    </row>
    <row r="54" spans="1:16" ht="14.45" customHeight="1">
      <c r="A54" s="73">
        <f t="shared" ca="1" si="1"/>
        <v>0</v>
      </c>
      <c r="B54" s="63" t="str">
        <f t="shared" ca="1" si="2"/>
        <v/>
      </c>
      <c r="C54" s="63">
        <f t="shared" ca="1" si="3"/>
        <v>0</v>
      </c>
      <c r="D54" s="205">
        <f t="shared" ca="1" si="4"/>
        <v>0</v>
      </c>
      <c r="E54" s="64">
        <f t="shared" ca="1" si="5"/>
        <v>0</v>
      </c>
      <c r="F54" s="64">
        <f t="shared" ca="1" si="6"/>
        <v>0</v>
      </c>
      <c r="G54" s="56" t="str">
        <f t="shared" ca="1" si="6"/>
        <v/>
      </c>
      <c r="J54" s="12" t="str">
        <f>"簿!B"&amp;FIXED(50*($G$3-1)+54,0)</f>
        <v>簿!B104</v>
      </c>
      <c r="K54" s="12" t="str">
        <f>"簿!d"&amp;FIXED(50*($G$3-1)+54,0)</f>
        <v>簿!d104</v>
      </c>
      <c r="L54" s="12" t="str">
        <f>"簿!e"&amp;FIXED(50*($G$3-1)+54,0)</f>
        <v>簿!e104</v>
      </c>
      <c r="M54" s="12" t="str">
        <f>"簿!f"&amp;FIXED(50*($G$3-1)+54,0)</f>
        <v>簿!f104</v>
      </c>
      <c r="N54" s="12" t="str">
        <f>"簿!g"&amp;FIXED(50*($G$3-1)+54,0)</f>
        <v>簿!g104</v>
      </c>
      <c r="O54" s="12" t="str">
        <f>"簿!h"&amp;FIXED(50*($G$3-1)+54,0)</f>
        <v>簿!h104</v>
      </c>
      <c r="P54" s="12" t="str">
        <f>"簿!i"&amp;FIXED(50*($G$3-1)+54,0)</f>
        <v>簿!i104</v>
      </c>
    </row>
    <row r="55" spans="1:16" ht="14.45" customHeight="1">
      <c r="A55" s="73">
        <f t="shared" ca="1" si="1"/>
        <v>0</v>
      </c>
      <c r="B55" s="63" t="str">
        <f t="shared" ca="1" si="2"/>
        <v/>
      </c>
      <c r="C55" s="63">
        <f t="shared" ca="1" si="3"/>
        <v>0</v>
      </c>
      <c r="D55" s="205">
        <f t="shared" ca="1" si="4"/>
        <v>0</v>
      </c>
      <c r="E55" s="64">
        <f t="shared" ca="1" si="5"/>
        <v>0</v>
      </c>
      <c r="F55" s="64">
        <f t="shared" ca="1" si="6"/>
        <v>0</v>
      </c>
      <c r="G55" s="56" t="str">
        <f t="shared" ca="1" si="6"/>
        <v/>
      </c>
      <c r="J55" s="12" t="str">
        <f>"簿!B"&amp;FIXED(50*($G$3-1)+55,0)</f>
        <v>簿!B105</v>
      </c>
      <c r="K55" s="12" t="str">
        <f>"簿!d"&amp;FIXED(50*($G$3-1)+55,0)</f>
        <v>簿!d105</v>
      </c>
      <c r="L55" s="12" t="str">
        <f>"簿!e"&amp;FIXED(50*($G$3-1)+55,0)</f>
        <v>簿!e105</v>
      </c>
      <c r="M55" s="12" t="str">
        <f>"簿!f"&amp;FIXED(50*($G$3-1)+55,0)</f>
        <v>簿!f105</v>
      </c>
      <c r="N55" s="12" t="str">
        <f>"簿!g"&amp;FIXED(50*($G$3-1)+55,0)</f>
        <v>簿!g105</v>
      </c>
      <c r="O55" s="12" t="str">
        <f>"簿!h"&amp;FIXED(50*($G$3-1)+55,0)</f>
        <v>簿!h105</v>
      </c>
      <c r="P55" s="12" t="str">
        <f>"簿!i"&amp;FIXED(50*($G$3-1)+55,0)</f>
        <v>簿!i105</v>
      </c>
    </row>
    <row r="56" spans="1:16" ht="12" customHeight="1">
      <c r="A56" s="433" t="str">
        <f>IF(L5=1,"","小　　　　　　　　　計")</f>
        <v>小　　　　　　　　　計</v>
      </c>
      <c r="B56" s="434"/>
      <c r="C56" s="434"/>
      <c r="D56" s="435"/>
      <c r="E56" s="57">
        <f ca="1">IF(L5=1,"",SUM(E6:E55))</f>
        <v>60000</v>
      </c>
      <c r="F56" s="57">
        <f ca="1">IF(L5=1,"",SUM(F6:F55))</f>
        <v>194967</v>
      </c>
      <c r="G56" s="58"/>
    </row>
    <row r="57" spans="1:16" ht="12" customHeight="1">
      <c r="A57" s="425" t="str">
        <f>IF(G3=L5,"合　　　　　　　　　計","")</f>
        <v>合　　　　　　　　　計</v>
      </c>
      <c r="B57" s="426"/>
      <c r="C57" s="426"/>
      <c r="D57" s="427"/>
      <c r="E57" s="59">
        <f>IF(G3=L5,簿!G1006,"")</f>
        <v>677600</v>
      </c>
      <c r="F57" s="59">
        <f>IF(G3=L5,簿!H1006,"")</f>
        <v>677600</v>
      </c>
      <c r="G57" s="60">
        <f>IF(G3=L5,E57-F57,"")</f>
        <v>0</v>
      </c>
    </row>
    <row r="58" spans="1:16" ht="12" customHeight="1">
      <c r="E58" s="21"/>
      <c r="F58" s="21"/>
      <c r="G58" s="21"/>
    </row>
    <row r="59" spans="1:16" ht="12" customHeight="1">
      <c r="E59" s="21"/>
      <c r="F59" s="21"/>
      <c r="G59" s="21"/>
    </row>
    <row r="60" spans="1:16" ht="12" customHeight="1">
      <c r="E60" s="21"/>
      <c r="F60" s="21"/>
      <c r="G60" s="21"/>
    </row>
    <row r="61" spans="1:16" ht="12" customHeight="1">
      <c r="E61" s="21"/>
      <c r="F61" s="21"/>
      <c r="G61" s="21"/>
    </row>
    <row r="62" spans="1:16" ht="12" customHeight="1">
      <c r="E62" s="21"/>
      <c r="F62" s="21"/>
      <c r="G62" s="21"/>
    </row>
    <row r="63" spans="1:16" ht="12" customHeight="1">
      <c r="E63" s="21"/>
      <c r="F63" s="21"/>
      <c r="G63" s="21"/>
    </row>
    <row r="64" spans="1:16" ht="12" customHeight="1">
      <c r="E64" s="21"/>
      <c r="F64" s="21"/>
      <c r="G64" s="21"/>
    </row>
    <row r="65" spans="5:7" ht="12" customHeight="1">
      <c r="E65" s="21"/>
      <c r="F65" s="21"/>
      <c r="G65" s="21"/>
    </row>
    <row r="66" spans="5:7" ht="12" customHeight="1">
      <c r="E66" s="21"/>
      <c r="F66" s="21"/>
      <c r="G66" s="21"/>
    </row>
    <row r="67" spans="5:7" ht="12" customHeight="1">
      <c r="E67" s="21"/>
      <c r="F67" s="21"/>
      <c r="G67" s="21"/>
    </row>
    <row r="68" spans="5:7" ht="12" customHeight="1">
      <c r="E68" s="21"/>
      <c r="F68" s="21"/>
      <c r="G68" s="21"/>
    </row>
    <row r="69" spans="5:7" ht="12" customHeight="1">
      <c r="E69" s="21"/>
      <c r="F69" s="21"/>
      <c r="G69" s="21"/>
    </row>
    <row r="70" spans="5:7" ht="12" customHeight="1">
      <c r="E70" s="21"/>
      <c r="F70" s="21"/>
      <c r="G70" s="21"/>
    </row>
    <row r="71" spans="5:7" ht="12" customHeight="1">
      <c r="E71" s="21"/>
      <c r="F71" s="21"/>
      <c r="G71" s="21"/>
    </row>
    <row r="72" spans="5:7" ht="12" customHeight="1">
      <c r="E72" s="21"/>
      <c r="F72" s="21"/>
      <c r="G72" s="21"/>
    </row>
    <row r="73" spans="5:7" ht="12" customHeight="1">
      <c r="E73" s="21"/>
      <c r="F73" s="21"/>
      <c r="G73" s="21"/>
    </row>
    <row r="74" spans="5:7" ht="12" customHeight="1">
      <c r="E74" s="21"/>
      <c r="F74" s="21"/>
      <c r="G74" s="21"/>
    </row>
    <row r="75" spans="5:7" ht="12" customHeight="1">
      <c r="E75" s="21"/>
      <c r="F75" s="21"/>
      <c r="G75" s="21"/>
    </row>
    <row r="76" spans="5:7" ht="12" customHeight="1">
      <c r="E76" s="21"/>
      <c r="F76" s="21"/>
      <c r="G76" s="21"/>
    </row>
    <row r="77" spans="5:7" ht="12" customHeight="1">
      <c r="E77" s="21"/>
      <c r="F77" s="21"/>
      <c r="G77" s="21"/>
    </row>
    <row r="78" spans="5:7" ht="12" customHeight="1">
      <c r="E78" s="21"/>
      <c r="F78" s="21"/>
      <c r="G78" s="21"/>
    </row>
    <row r="79" spans="5:7" ht="12" customHeight="1">
      <c r="E79" s="21"/>
      <c r="F79" s="21"/>
      <c r="G79" s="21"/>
    </row>
    <row r="80" spans="5:7" ht="12" customHeight="1">
      <c r="E80" s="21"/>
      <c r="F80" s="21"/>
      <c r="G80" s="21"/>
    </row>
    <row r="81" spans="5:7" ht="12" customHeight="1">
      <c r="E81" s="21"/>
      <c r="F81" s="21"/>
      <c r="G81" s="21"/>
    </row>
    <row r="82" spans="5:7" ht="12" customHeight="1">
      <c r="E82" s="21"/>
      <c r="F82" s="21"/>
      <c r="G82" s="21"/>
    </row>
    <row r="83" spans="5:7" ht="12" customHeight="1">
      <c r="E83" s="21"/>
      <c r="F83" s="21"/>
      <c r="G83" s="21"/>
    </row>
    <row r="84" spans="5:7" ht="12" customHeight="1">
      <c r="E84" s="21"/>
      <c r="F84" s="21"/>
      <c r="G84" s="21"/>
    </row>
    <row r="85" spans="5:7" ht="12" customHeight="1">
      <c r="E85" s="21"/>
      <c r="F85" s="21"/>
      <c r="G85" s="21"/>
    </row>
    <row r="86" spans="5:7" ht="12" customHeight="1">
      <c r="E86" s="21"/>
      <c r="F86" s="21"/>
      <c r="G86" s="21"/>
    </row>
    <row r="87" spans="5:7" ht="12" customHeight="1">
      <c r="E87" s="21"/>
      <c r="F87" s="21"/>
      <c r="G87" s="21"/>
    </row>
    <row r="88" spans="5:7" ht="12" customHeight="1">
      <c r="E88" s="21"/>
      <c r="F88" s="21"/>
      <c r="G88" s="21"/>
    </row>
    <row r="89" spans="5:7" ht="12" customHeight="1">
      <c r="E89" s="21"/>
      <c r="F89" s="21"/>
      <c r="G89" s="21"/>
    </row>
    <row r="90" spans="5:7" ht="12" customHeight="1">
      <c r="E90" s="21"/>
      <c r="F90" s="21"/>
      <c r="G90" s="21"/>
    </row>
    <row r="91" spans="5:7" ht="12" customHeight="1">
      <c r="E91" s="21"/>
      <c r="F91" s="21"/>
      <c r="G91" s="21"/>
    </row>
    <row r="92" spans="5:7" ht="12" customHeight="1">
      <c r="E92" s="21"/>
      <c r="F92" s="21"/>
      <c r="G92" s="21"/>
    </row>
  </sheetData>
  <sheetProtection sheet="1" objects="1" scenarios="1"/>
  <mergeCells count="5">
    <mergeCell ref="A57:D57"/>
    <mergeCell ref="C5:D5"/>
    <mergeCell ref="B3:F3"/>
    <mergeCell ref="E4:G4"/>
    <mergeCell ref="A56:D56"/>
  </mergeCells>
  <phoneticPr fontId="5"/>
  <conditionalFormatting sqref="A6:G55">
    <cfRule type="cellIs" dxfId="1" priority="1" stopIfTrue="1" operator="equal">
      <formula>0</formula>
    </cfRule>
  </conditionalFormatting>
  <pageMargins left="0.90551181102362199" right="0.59055118110236204" top="0.78740157480314998" bottom="0.39370078740157499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64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7.28515625" style="12" customWidth="1"/>
    <col min="2" max="2" width="33.7109375" style="12" customWidth="1"/>
    <col min="3" max="3" width="4.28515625" style="12" customWidth="1"/>
    <col min="4" max="7" width="11.7109375" style="12" customWidth="1"/>
    <col min="8" max="16384" width="9.140625" style="12"/>
  </cols>
  <sheetData>
    <row r="1" spans="1:13" ht="28.5" customHeight="1">
      <c r="A1" s="107">
        <v>1</v>
      </c>
      <c r="B1" s="99" t="s">
        <v>40</v>
      </c>
      <c r="C1" s="138" t="s">
        <v>52</v>
      </c>
      <c r="D1" s="1"/>
      <c r="E1" s="1"/>
      <c r="F1" s="1"/>
      <c r="G1" s="1"/>
    </row>
    <row r="2" spans="1:13" ht="18" customHeight="1">
      <c r="A2" s="97" t="s">
        <v>39</v>
      </c>
      <c r="C2" s="124" t="s">
        <v>53</v>
      </c>
    </row>
    <row r="3" spans="1:13" ht="16.5" customHeight="1">
      <c r="A3" s="98" t="str">
        <f>VLOOKUP(簿!M4,予算!$B$7:$C$66,2)</f>
        <v>その他の経費（対象外）</v>
      </c>
      <c r="G3" s="23"/>
    </row>
    <row r="4" spans="1:13" ht="15.75" customHeight="1">
      <c r="G4" s="13">
        <v>1</v>
      </c>
    </row>
    <row r="5" spans="1:13" ht="13.5" customHeight="1">
      <c r="A5" s="28" t="s">
        <v>16</v>
      </c>
      <c r="B5" s="428" t="s">
        <v>20</v>
      </c>
      <c r="C5" s="429"/>
      <c r="D5" s="15" t="s">
        <v>8</v>
      </c>
      <c r="E5" s="15" t="s">
        <v>23</v>
      </c>
      <c r="F5" s="16" t="s">
        <v>13</v>
      </c>
      <c r="G5" s="17" t="str">
        <f>IF(簿!M4&gt;9,"差引残額","収入未済額")</f>
        <v>差引残額</v>
      </c>
      <c r="H5" s="126"/>
      <c r="I5" s="129"/>
      <c r="J5" s="130"/>
      <c r="K5" s="130"/>
    </row>
    <row r="6" spans="1:13" ht="14.45" customHeight="1">
      <c r="A6" s="29"/>
      <c r="B6" s="18" t="s">
        <v>34</v>
      </c>
      <c r="C6" s="204"/>
      <c r="D6" s="53">
        <f>VLOOKUP(簿!M4,予算!$B$7:$D$66,3)</f>
        <v>0</v>
      </c>
      <c r="E6" s="53"/>
      <c r="F6" s="53"/>
      <c r="G6" s="54">
        <f>D6</f>
        <v>0</v>
      </c>
      <c r="H6" s="127"/>
      <c r="I6" s="131"/>
      <c r="J6" s="130"/>
      <c r="K6" s="130"/>
      <c r="M6" s="61"/>
    </row>
    <row r="7" spans="1:13" ht="14.45" customHeight="1">
      <c r="A7" s="30" t="str">
        <f>IF(簿!M6="","",簿!M6)</f>
        <v/>
      </c>
      <c r="B7" s="19" t="str">
        <f>IF(簿!N6="","",簿!N6)</f>
        <v/>
      </c>
      <c r="C7" s="206" t="str">
        <f>IF(簿!O6="","",簿!O6)</f>
        <v/>
      </c>
      <c r="D7" s="55"/>
      <c r="E7" s="55">
        <f>IF(簿!P6="",0,簿!P6)</f>
        <v>0</v>
      </c>
      <c r="F7" s="55">
        <f>IF(簿!Q6="",0,簿!Q6)</f>
        <v>0</v>
      </c>
      <c r="G7" s="56" t="str">
        <f>IF(A7="","",G6-E7-F7)</f>
        <v/>
      </c>
      <c r="I7" s="132"/>
      <c r="J7" s="130"/>
      <c r="K7" s="130"/>
      <c r="M7" s="61"/>
    </row>
    <row r="8" spans="1:13" ht="14.45" customHeight="1">
      <c r="A8" s="30" t="str">
        <f>IF(簿!M7="","",簿!M7)</f>
        <v/>
      </c>
      <c r="B8" s="19" t="str">
        <f>IF(簿!N7="","",簿!N7)</f>
        <v/>
      </c>
      <c r="C8" s="206" t="str">
        <f>IF(簿!O7="","",簿!O7)</f>
        <v/>
      </c>
      <c r="D8" s="55"/>
      <c r="E8" s="55">
        <f>IF(簿!P7="",0,簿!P7)</f>
        <v>0</v>
      </c>
      <c r="F8" s="55">
        <f>IF(簿!Q7="",0,簿!Q7)</f>
        <v>0</v>
      </c>
      <c r="G8" s="56" t="str">
        <f t="shared" ref="G8:G15" si="0">IF(A8="","",G7-E8-F8)</f>
        <v/>
      </c>
      <c r="I8" s="133"/>
      <c r="J8" s="130"/>
      <c r="K8" s="130"/>
      <c r="M8" s="61"/>
    </row>
    <row r="9" spans="1:13" ht="14.45" customHeight="1">
      <c r="A9" s="30" t="str">
        <f>IF(簿!M8="","",簿!M8)</f>
        <v/>
      </c>
      <c r="B9" s="19" t="str">
        <f>IF(簿!N8="","",簿!N8)</f>
        <v/>
      </c>
      <c r="C9" s="206" t="str">
        <f>IF(簿!O8="","",簿!O8)</f>
        <v/>
      </c>
      <c r="D9" s="55"/>
      <c r="E9" s="55">
        <f>IF(簿!P8="",0,簿!P8)</f>
        <v>0</v>
      </c>
      <c r="F9" s="55">
        <f>IF(簿!Q8="",0,簿!Q8)</f>
        <v>0</v>
      </c>
      <c r="G9" s="56" t="str">
        <f t="shared" si="0"/>
        <v/>
      </c>
      <c r="I9" s="31"/>
    </row>
    <row r="10" spans="1:13" ht="14.45" customHeight="1">
      <c r="A10" s="30" t="str">
        <f>IF(簿!M9="","",簿!M9)</f>
        <v/>
      </c>
      <c r="B10" s="19" t="str">
        <f>IF(簿!N9="","",簿!N9)</f>
        <v/>
      </c>
      <c r="C10" s="206" t="str">
        <f>IF(簿!O9="","",簿!O9)</f>
        <v/>
      </c>
      <c r="D10" s="55"/>
      <c r="E10" s="55">
        <f>IF(簿!P9="",0,簿!P9)</f>
        <v>0</v>
      </c>
      <c r="F10" s="55">
        <f>IF(簿!Q9="",0,簿!Q9)</f>
        <v>0</v>
      </c>
      <c r="G10" s="56" t="str">
        <f t="shared" si="0"/>
        <v/>
      </c>
    </row>
    <row r="11" spans="1:13" ht="14.45" customHeight="1">
      <c r="A11" s="30" t="str">
        <f>IF(簿!M10="","",簿!M10)</f>
        <v/>
      </c>
      <c r="B11" s="19" t="str">
        <f>IF(簿!N10="","",簿!N10)</f>
        <v/>
      </c>
      <c r="C11" s="206" t="str">
        <f>IF(簿!O10="","",簿!O10)</f>
        <v/>
      </c>
      <c r="D11" s="55"/>
      <c r="E11" s="55">
        <f>IF(簿!P10="",0,簿!P10)</f>
        <v>0</v>
      </c>
      <c r="F11" s="55">
        <f>IF(簿!Q10="",0,簿!Q10)</f>
        <v>0</v>
      </c>
      <c r="G11" s="56" t="str">
        <f t="shared" si="0"/>
        <v/>
      </c>
    </row>
    <row r="12" spans="1:13" ht="14.45" customHeight="1">
      <c r="A12" s="30" t="str">
        <f>IF(簿!M11="","",簿!M11)</f>
        <v/>
      </c>
      <c r="B12" s="19" t="str">
        <f>IF(簿!N11="","",簿!N11)</f>
        <v/>
      </c>
      <c r="C12" s="206" t="str">
        <f>IF(簿!O11="","",簿!O11)</f>
        <v/>
      </c>
      <c r="D12" s="55"/>
      <c r="E12" s="55">
        <f>IF(簿!P11="",0,簿!P11)</f>
        <v>0</v>
      </c>
      <c r="F12" s="55">
        <f>IF(簿!Q11="",0,簿!Q11)</f>
        <v>0</v>
      </c>
      <c r="G12" s="56" t="str">
        <f t="shared" si="0"/>
        <v/>
      </c>
    </row>
    <row r="13" spans="1:13" ht="14.45" customHeight="1">
      <c r="A13" s="30" t="str">
        <f>IF(簿!M12="","",簿!M12)</f>
        <v/>
      </c>
      <c r="B13" s="19" t="str">
        <f>IF(簿!N12="","",簿!N12)</f>
        <v/>
      </c>
      <c r="C13" s="206" t="str">
        <f>IF(簿!O12="","",簿!O12)</f>
        <v/>
      </c>
      <c r="D13" s="55"/>
      <c r="E13" s="55">
        <f>IF(簿!P12="",0,簿!P12)</f>
        <v>0</v>
      </c>
      <c r="F13" s="55">
        <f>IF(簿!Q12="",0,簿!Q12)</f>
        <v>0</v>
      </c>
      <c r="G13" s="56" t="str">
        <f t="shared" si="0"/>
        <v/>
      </c>
    </row>
    <row r="14" spans="1:13" ht="14.45" customHeight="1">
      <c r="A14" s="30" t="str">
        <f>IF(簿!M13="","",簿!M13)</f>
        <v/>
      </c>
      <c r="B14" s="19" t="str">
        <f>IF(簿!N13="","",簿!N13)</f>
        <v/>
      </c>
      <c r="C14" s="206" t="str">
        <f>IF(簿!O13="","",簿!O13)</f>
        <v/>
      </c>
      <c r="D14" s="55"/>
      <c r="E14" s="55">
        <f>IF(簿!P13="",0,簿!P13)</f>
        <v>0</v>
      </c>
      <c r="F14" s="55">
        <f>IF(簿!Q13="",0,簿!Q13)</f>
        <v>0</v>
      </c>
      <c r="G14" s="56" t="str">
        <f t="shared" si="0"/>
        <v/>
      </c>
    </row>
    <row r="15" spans="1:13" ht="14.45" customHeight="1">
      <c r="A15" s="30" t="str">
        <f>IF(簿!M14="","",簿!M14)</f>
        <v/>
      </c>
      <c r="B15" s="19" t="str">
        <f>IF(簿!N14="","",簿!N14)</f>
        <v/>
      </c>
      <c r="C15" s="206" t="str">
        <f>IF(簿!O14="","",簿!O14)</f>
        <v/>
      </c>
      <c r="D15" s="55"/>
      <c r="E15" s="55">
        <f>IF(簿!P14="",0,簿!P14)</f>
        <v>0</v>
      </c>
      <c r="F15" s="55">
        <f>IF(簿!Q14="",0,簿!Q14)</f>
        <v>0</v>
      </c>
      <c r="G15" s="56" t="str">
        <f t="shared" si="0"/>
        <v/>
      </c>
    </row>
    <row r="16" spans="1:13" ht="14.45" customHeight="1">
      <c r="A16" s="30" t="str">
        <f>IF(簿!M15="","",簿!M15)</f>
        <v/>
      </c>
      <c r="B16" s="19" t="str">
        <f>IF(簿!N15="","",簿!N15)</f>
        <v/>
      </c>
      <c r="C16" s="206" t="str">
        <f>IF(簿!O15="","",簿!O15)</f>
        <v/>
      </c>
      <c r="D16" s="55"/>
      <c r="E16" s="55">
        <f>IF(簿!P15="",0,簿!P15)</f>
        <v>0</v>
      </c>
      <c r="F16" s="55">
        <f>IF(簿!Q15="",0,簿!Q15)</f>
        <v>0</v>
      </c>
      <c r="G16" s="56" t="str">
        <f t="shared" ref="G16:G55" si="1">IF(A16="","",G15-E16-F16)</f>
        <v/>
      </c>
    </row>
    <row r="17" spans="1:7" ht="14.45" customHeight="1">
      <c r="A17" s="30" t="str">
        <f>IF(簿!M16="","",簿!M16)</f>
        <v/>
      </c>
      <c r="B17" s="19" t="str">
        <f>IF(簿!N16="","",簿!N16)</f>
        <v/>
      </c>
      <c r="C17" s="206" t="str">
        <f>IF(簿!O16="","",簿!O16)</f>
        <v/>
      </c>
      <c r="D17" s="55"/>
      <c r="E17" s="55">
        <f>IF(簿!P16="",0,簿!P16)</f>
        <v>0</v>
      </c>
      <c r="F17" s="55">
        <f>IF(簿!Q16="",0,簿!Q16)</f>
        <v>0</v>
      </c>
      <c r="G17" s="56" t="str">
        <f t="shared" si="1"/>
        <v/>
      </c>
    </row>
    <row r="18" spans="1:7" ht="14.45" customHeight="1">
      <c r="A18" s="30" t="str">
        <f>IF(簿!M17="","",簿!M17)</f>
        <v/>
      </c>
      <c r="B18" s="19" t="str">
        <f>IF(簿!N17="","",簿!N17)</f>
        <v/>
      </c>
      <c r="C18" s="206" t="str">
        <f>IF(簿!O17="","",簿!O17)</f>
        <v/>
      </c>
      <c r="D18" s="55"/>
      <c r="E18" s="55">
        <f>IF(簿!P17="",0,簿!P17)</f>
        <v>0</v>
      </c>
      <c r="F18" s="55">
        <f>IF(簿!Q17="",0,簿!Q17)</f>
        <v>0</v>
      </c>
      <c r="G18" s="56" t="str">
        <f t="shared" si="1"/>
        <v/>
      </c>
    </row>
    <row r="19" spans="1:7" ht="14.45" customHeight="1">
      <c r="A19" s="30" t="str">
        <f>IF(簿!M18="","",簿!M18)</f>
        <v/>
      </c>
      <c r="B19" s="19" t="str">
        <f>IF(簿!N18="","",簿!N18)</f>
        <v/>
      </c>
      <c r="C19" s="206" t="str">
        <f>IF(簿!O18="","",簿!O18)</f>
        <v/>
      </c>
      <c r="D19" s="55"/>
      <c r="E19" s="55">
        <f>IF(簿!P18="",0,簿!P18)</f>
        <v>0</v>
      </c>
      <c r="F19" s="55">
        <f>IF(簿!Q18="",0,簿!Q18)</f>
        <v>0</v>
      </c>
      <c r="G19" s="56" t="str">
        <f t="shared" si="1"/>
        <v/>
      </c>
    </row>
    <row r="20" spans="1:7" ht="14.45" customHeight="1">
      <c r="A20" s="30" t="str">
        <f>IF(簿!M19="","",簿!M19)</f>
        <v/>
      </c>
      <c r="B20" s="19" t="str">
        <f>IF(簿!N19="","",簿!N19)</f>
        <v/>
      </c>
      <c r="C20" s="206" t="str">
        <f>IF(簿!O19="","",簿!O19)</f>
        <v/>
      </c>
      <c r="D20" s="55"/>
      <c r="E20" s="55">
        <f>IF(簿!P19="",0,簿!P19)</f>
        <v>0</v>
      </c>
      <c r="F20" s="55">
        <f>IF(簿!Q19="",0,簿!Q19)</f>
        <v>0</v>
      </c>
      <c r="G20" s="56" t="str">
        <f t="shared" si="1"/>
        <v/>
      </c>
    </row>
    <row r="21" spans="1:7" ht="14.45" customHeight="1">
      <c r="A21" s="30" t="str">
        <f>IF(簿!M20="","",簿!M20)</f>
        <v/>
      </c>
      <c r="B21" s="19" t="str">
        <f>IF(簿!N20="","",簿!N20)</f>
        <v/>
      </c>
      <c r="C21" s="206" t="str">
        <f>IF(簿!O20="","",簿!O20)</f>
        <v/>
      </c>
      <c r="D21" s="55"/>
      <c r="E21" s="55">
        <f>IF(簿!P20="",0,簿!P20)</f>
        <v>0</v>
      </c>
      <c r="F21" s="55">
        <f>IF(簿!Q20="",0,簿!Q20)</f>
        <v>0</v>
      </c>
      <c r="G21" s="56" t="str">
        <f t="shared" si="1"/>
        <v/>
      </c>
    </row>
    <row r="22" spans="1:7" ht="14.45" customHeight="1">
      <c r="A22" s="30" t="str">
        <f>IF(簿!M21="","",簿!M21)</f>
        <v/>
      </c>
      <c r="B22" s="19" t="str">
        <f>IF(簿!N21="","",簿!N21)</f>
        <v/>
      </c>
      <c r="C22" s="206" t="str">
        <f>IF(簿!O21="","",簿!O21)</f>
        <v/>
      </c>
      <c r="D22" s="55"/>
      <c r="E22" s="55">
        <f>IF(簿!P21="",0,簿!P21)</f>
        <v>0</v>
      </c>
      <c r="F22" s="55">
        <f>IF(簿!Q21="",0,簿!Q21)</f>
        <v>0</v>
      </c>
      <c r="G22" s="56" t="str">
        <f t="shared" si="1"/>
        <v/>
      </c>
    </row>
    <row r="23" spans="1:7" ht="14.45" customHeight="1">
      <c r="A23" s="30" t="str">
        <f>IF(簿!M22="","",簿!M22)</f>
        <v/>
      </c>
      <c r="B23" s="19" t="str">
        <f>IF(簿!N22="","",簿!N22)</f>
        <v/>
      </c>
      <c r="C23" s="206" t="str">
        <f>IF(簿!O22="","",簿!O22)</f>
        <v/>
      </c>
      <c r="D23" s="55"/>
      <c r="E23" s="55">
        <f>IF(簿!P22="",0,簿!P22)</f>
        <v>0</v>
      </c>
      <c r="F23" s="55">
        <f>IF(簿!Q22="",0,簿!Q22)</f>
        <v>0</v>
      </c>
      <c r="G23" s="56" t="str">
        <f t="shared" si="1"/>
        <v/>
      </c>
    </row>
    <row r="24" spans="1:7" ht="14.45" customHeight="1">
      <c r="A24" s="30" t="str">
        <f>IF(簿!M23="","",簿!M23)</f>
        <v/>
      </c>
      <c r="B24" s="19" t="str">
        <f>IF(簿!N23="","",簿!N23)</f>
        <v/>
      </c>
      <c r="C24" s="206" t="str">
        <f>IF(簿!O23="","",簿!O23)</f>
        <v/>
      </c>
      <c r="D24" s="55"/>
      <c r="E24" s="55">
        <f>IF(簿!P23="",0,簿!P23)</f>
        <v>0</v>
      </c>
      <c r="F24" s="55">
        <f>IF(簿!Q23="",0,簿!Q23)</f>
        <v>0</v>
      </c>
      <c r="G24" s="56" t="str">
        <f t="shared" si="1"/>
        <v/>
      </c>
    </row>
    <row r="25" spans="1:7" ht="14.45" customHeight="1">
      <c r="A25" s="30" t="str">
        <f>IF(簿!M24="","",簿!M24)</f>
        <v/>
      </c>
      <c r="B25" s="19" t="str">
        <f>IF(簿!N24="","",簿!N24)</f>
        <v/>
      </c>
      <c r="C25" s="206" t="str">
        <f>IF(簿!O24="","",簿!O24)</f>
        <v/>
      </c>
      <c r="D25" s="55"/>
      <c r="E25" s="55">
        <f>IF(簿!P24="",0,簿!P24)</f>
        <v>0</v>
      </c>
      <c r="F25" s="55">
        <f>IF(簿!Q24="",0,簿!Q24)</f>
        <v>0</v>
      </c>
      <c r="G25" s="56" t="str">
        <f t="shared" si="1"/>
        <v/>
      </c>
    </row>
    <row r="26" spans="1:7" ht="14.45" customHeight="1">
      <c r="A26" s="30" t="str">
        <f>IF(簿!M25="","",簿!M25)</f>
        <v/>
      </c>
      <c r="B26" s="19" t="str">
        <f>IF(簿!N25="","",簿!N25)</f>
        <v/>
      </c>
      <c r="C26" s="206" t="str">
        <f>IF(簿!O25="","",簿!O25)</f>
        <v/>
      </c>
      <c r="D26" s="55"/>
      <c r="E26" s="55">
        <f>IF(簿!P25="",0,簿!P25)</f>
        <v>0</v>
      </c>
      <c r="F26" s="55">
        <f>IF(簿!Q25="",0,簿!Q25)</f>
        <v>0</v>
      </c>
      <c r="G26" s="56" t="str">
        <f t="shared" si="1"/>
        <v/>
      </c>
    </row>
    <row r="27" spans="1:7" ht="14.45" customHeight="1">
      <c r="A27" s="30" t="str">
        <f>IF(簿!M26="","",簿!M26)</f>
        <v/>
      </c>
      <c r="B27" s="19" t="str">
        <f>IF(簿!N26="","",簿!N26)</f>
        <v/>
      </c>
      <c r="C27" s="206" t="str">
        <f>IF(簿!O26="","",簿!O26)</f>
        <v/>
      </c>
      <c r="D27" s="55"/>
      <c r="E27" s="55">
        <f>IF(簿!P26="",0,簿!P26)</f>
        <v>0</v>
      </c>
      <c r="F27" s="55">
        <f>IF(簿!Q26="",0,簿!Q26)</f>
        <v>0</v>
      </c>
      <c r="G27" s="56" t="str">
        <f t="shared" si="1"/>
        <v/>
      </c>
    </row>
    <row r="28" spans="1:7" ht="14.45" customHeight="1">
      <c r="A28" s="30" t="str">
        <f>IF(簿!M27="","",簿!M27)</f>
        <v/>
      </c>
      <c r="B28" s="19" t="str">
        <f>IF(簿!N27="","",簿!N27)</f>
        <v/>
      </c>
      <c r="C28" s="206" t="str">
        <f>IF(簿!O27="","",簿!O27)</f>
        <v/>
      </c>
      <c r="D28" s="55"/>
      <c r="E28" s="55">
        <f>IF(簿!P27="",0,簿!P27)</f>
        <v>0</v>
      </c>
      <c r="F28" s="55">
        <f>IF(簿!Q27="",0,簿!Q27)</f>
        <v>0</v>
      </c>
      <c r="G28" s="56" t="str">
        <f t="shared" si="1"/>
        <v/>
      </c>
    </row>
    <row r="29" spans="1:7" ht="14.45" customHeight="1">
      <c r="A29" s="30" t="str">
        <f>IF(簿!M28="","",簿!M28)</f>
        <v/>
      </c>
      <c r="B29" s="19" t="str">
        <f>IF(簿!N28="","",簿!N28)</f>
        <v/>
      </c>
      <c r="C29" s="206" t="str">
        <f>IF(簿!O28="","",簿!O28)</f>
        <v/>
      </c>
      <c r="D29" s="55"/>
      <c r="E29" s="55">
        <f>IF(簿!P28="",0,簿!P28)</f>
        <v>0</v>
      </c>
      <c r="F29" s="55">
        <f>IF(簿!Q28="",0,簿!Q28)</f>
        <v>0</v>
      </c>
      <c r="G29" s="56" t="str">
        <f t="shared" si="1"/>
        <v/>
      </c>
    </row>
    <row r="30" spans="1:7" ht="14.45" customHeight="1">
      <c r="A30" s="30" t="str">
        <f>IF(簿!M29="","",簿!M29)</f>
        <v/>
      </c>
      <c r="B30" s="19" t="str">
        <f>IF(簿!N29="","",簿!N29)</f>
        <v/>
      </c>
      <c r="C30" s="206" t="str">
        <f>IF(簿!O29="","",簿!O29)</f>
        <v/>
      </c>
      <c r="D30" s="55"/>
      <c r="E30" s="55">
        <f>IF(簿!P29="",0,簿!P29)</f>
        <v>0</v>
      </c>
      <c r="F30" s="55">
        <f>IF(簿!Q29="",0,簿!Q29)</f>
        <v>0</v>
      </c>
      <c r="G30" s="56" t="str">
        <f t="shared" si="1"/>
        <v/>
      </c>
    </row>
    <row r="31" spans="1:7" ht="14.45" customHeight="1">
      <c r="A31" s="30" t="str">
        <f>IF(簿!M30="","",簿!M30)</f>
        <v/>
      </c>
      <c r="B31" s="19" t="str">
        <f>IF(簿!N30="","",簿!N30)</f>
        <v/>
      </c>
      <c r="C31" s="206" t="str">
        <f>IF(簿!O30="","",簿!O30)</f>
        <v/>
      </c>
      <c r="D31" s="55"/>
      <c r="E31" s="55">
        <f>IF(簿!P30="",0,簿!P30)</f>
        <v>0</v>
      </c>
      <c r="F31" s="55">
        <f>IF(簿!Q30="",0,簿!Q30)</f>
        <v>0</v>
      </c>
      <c r="G31" s="56" t="str">
        <f t="shared" si="1"/>
        <v/>
      </c>
    </row>
    <row r="32" spans="1:7" ht="14.45" customHeight="1">
      <c r="A32" s="30" t="str">
        <f>IF(簿!M31="","",簿!M31)</f>
        <v/>
      </c>
      <c r="B32" s="19" t="str">
        <f>IF(簿!N31="","",簿!N31)</f>
        <v/>
      </c>
      <c r="C32" s="206" t="str">
        <f>IF(簿!O31="","",簿!O31)</f>
        <v/>
      </c>
      <c r="D32" s="55"/>
      <c r="E32" s="55">
        <f>IF(簿!P31="",0,簿!P31)</f>
        <v>0</v>
      </c>
      <c r="F32" s="55">
        <f>IF(簿!Q31="",0,簿!Q31)</f>
        <v>0</v>
      </c>
      <c r="G32" s="56" t="str">
        <f t="shared" si="1"/>
        <v/>
      </c>
    </row>
    <row r="33" spans="1:7" ht="14.45" customHeight="1">
      <c r="A33" s="30" t="str">
        <f>IF(簿!M32="","",簿!M32)</f>
        <v/>
      </c>
      <c r="B33" s="19" t="str">
        <f>IF(簿!N32="","",簿!N32)</f>
        <v/>
      </c>
      <c r="C33" s="206" t="str">
        <f>IF(簿!O32="","",簿!O32)</f>
        <v/>
      </c>
      <c r="D33" s="55"/>
      <c r="E33" s="55">
        <f>IF(簿!P32="",0,簿!P32)</f>
        <v>0</v>
      </c>
      <c r="F33" s="55">
        <f>IF(簿!Q32="",0,簿!Q32)</f>
        <v>0</v>
      </c>
      <c r="G33" s="56" t="str">
        <f t="shared" si="1"/>
        <v/>
      </c>
    </row>
    <row r="34" spans="1:7" ht="14.45" customHeight="1">
      <c r="A34" s="30" t="str">
        <f>IF(簿!M33="","",簿!M33)</f>
        <v/>
      </c>
      <c r="B34" s="19" t="str">
        <f>IF(簿!N33="","",簿!N33)</f>
        <v/>
      </c>
      <c r="C34" s="206" t="str">
        <f>IF(簿!O33="","",簿!O33)</f>
        <v/>
      </c>
      <c r="D34" s="55"/>
      <c r="E34" s="55">
        <f>IF(簿!P33="",0,簿!P33)</f>
        <v>0</v>
      </c>
      <c r="F34" s="55">
        <f>IF(簿!Q33="",0,簿!Q33)</f>
        <v>0</v>
      </c>
      <c r="G34" s="56" t="str">
        <f t="shared" si="1"/>
        <v/>
      </c>
    </row>
    <row r="35" spans="1:7" ht="14.45" customHeight="1">
      <c r="A35" s="30" t="str">
        <f>IF(簿!M34="","",簿!M34)</f>
        <v/>
      </c>
      <c r="B35" s="19" t="str">
        <f>IF(簿!N34="","",簿!N34)</f>
        <v/>
      </c>
      <c r="C35" s="206" t="str">
        <f>IF(簿!O34="","",簿!O34)</f>
        <v/>
      </c>
      <c r="D35" s="55"/>
      <c r="E35" s="55">
        <f>IF(簿!P34="",0,簿!P34)</f>
        <v>0</v>
      </c>
      <c r="F35" s="55">
        <f>IF(簿!Q34="",0,簿!Q34)</f>
        <v>0</v>
      </c>
      <c r="G35" s="56" t="str">
        <f t="shared" si="1"/>
        <v/>
      </c>
    </row>
    <row r="36" spans="1:7" ht="14.45" customHeight="1">
      <c r="A36" s="30" t="str">
        <f>IF(簿!M35="","",簿!M35)</f>
        <v/>
      </c>
      <c r="B36" s="19" t="str">
        <f>IF(簿!N35="","",簿!N35)</f>
        <v/>
      </c>
      <c r="C36" s="206" t="str">
        <f>IF(簿!O35="","",簿!O35)</f>
        <v/>
      </c>
      <c r="D36" s="55"/>
      <c r="E36" s="55">
        <f>IF(簿!P35="",0,簿!P35)</f>
        <v>0</v>
      </c>
      <c r="F36" s="55">
        <f>IF(簿!Q35="",0,簿!Q35)</f>
        <v>0</v>
      </c>
      <c r="G36" s="56" t="str">
        <f t="shared" si="1"/>
        <v/>
      </c>
    </row>
    <row r="37" spans="1:7" ht="14.45" customHeight="1">
      <c r="A37" s="30" t="str">
        <f>IF(簿!M36="","",簿!M36)</f>
        <v/>
      </c>
      <c r="B37" s="19" t="str">
        <f>IF(簿!N36="","",簿!N36)</f>
        <v/>
      </c>
      <c r="C37" s="206" t="str">
        <f>IF(簿!O36="","",簿!O36)</f>
        <v/>
      </c>
      <c r="D37" s="55"/>
      <c r="E37" s="55">
        <f>IF(簿!P36="",0,簿!P36)</f>
        <v>0</v>
      </c>
      <c r="F37" s="55">
        <f>IF(簿!Q36="",0,簿!Q36)</f>
        <v>0</v>
      </c>
      <c r="G37" s="56" t="str">
        <f t="shared" si="1"/>
        <v/>
      </c>
    </row>
    <row r="38" spans="1:7" ht="14.45" customHeight="1">
      <c r="A38" s="30" t="str">
        <f>IF(簿!M37="","",簿!M37)</f>
        <v/>
      </c>
      <c r="B38" s="19" t="str">
        <f>IF(簿!N37="","",簿!N37)</f>
        <v/>
      </c>
      <c r="C38" s="206" t="str">
        <f>IF(簿!O37="","",簿!O37)</f>
        <v/>
      </c>
      <c r="D38" s="55"/>
      <c r="E38" s="55">
        <f>IF(簿!P37="",0,簿!P37)</f>
        <v>0</v>
      </c>
      <c r="F38" s="55">
        <f>IF(簿!Q37="",0,簿!Q37)</f>
        <v>0</v>
      </c>
      <c r="G38" s="56" t="str">
        <f t="shared" si="1"/>
        <v/>
      </c>
    </row>
    <row r="39" spans="1:7" ht="14.45" customHeight="1">
      <c r="A39" s="30" t="str">
        <f>IF(簿!M38="","",簿!M38)</f>
        <v/>
      </c>
      <c r="B39" s="19" t="str">
        <f>IF(簿!N38="","",簿!N38)</f>
        <v/>
      </c>
      <c r="C39" s="206" t="str">
        <f>IF(簿!O38="","",簿!O38)</f>
        <v/>
      </c>
      <c r="D39" s="55"/>
      <c r="E39" s="55">
        <f>IF(簿!P38="",0,簿!P38)</f>
        <v>0</v>
      </c>
      <c r="F39" s="55">
        <f>IF(簿!Q38="",0,簿!Q38)</f>
        <v>0</v>
      </c>
      <c r="G39" s="56" t="str">
        <f t="shared" si="1"/>
        <v/>
      </c>
    </row>
    <row r="40" spans="1:7" ht="14.45" customHeight="1">
      <c r="A40" s="30" t="str">
        <f>IF(簿!M39="","",簿!M39)</f>
        <v/>
      </c>
      <c r="B40" s="19" t="str">
        <f>IF(簿!N39="","",簿!N39)</f>
        <v/>
      </c>
      <c r="C40" s="206" t="str">
        <f>IF(簿!O39="","",簿!O39)</f>
        <v/>
      </c>
      <c r="D40" s="55"/>
      <c r="E40" s="55">
        <f>IF(簿!P39="",0,簿!P39)</f>
        <v>0</v>
      </c>
      <c r="F40" s="55">
        <f>IF(簿!Q39="",0,簿!Q39)</f>
        <v>0</v>
      </c>
      <c r="G40" s="56" t="str">
        <f t="shared" si="1"/>
        <v/>
      </c>
    </row>
    <row r="41" spans="1:7" ht="14.45" customHeight="1">
      <c r="A41" s="30" t="str">
        <f>IF(簿!M40="","",簿!M40)</f>
        <v/>
      </c>
      <c r="B41" s="19" t="str">
        <f>IF(簿!N40="","",簿!N40)</f>
        <v/>
      </c>
      <c r="C41" s="206" t="str">
        <f>IF(簿!O40="","",簿!O40)</f>
        <v/>
      </c>
      <c r="D41" s="55"/>
      <c r="E41" s="55">
        <f>IF(簿!P40="",0,簿!P40)</f>
        <v>0</v>
      </c>
      <c r="F41" s="55">
        <f>IF(簿!Q40="",0,簿!Q40)</f>
        <v>0</v>
      </c>
      <c r="G41" s="56" t="str">
        <f t="shared" si="1"/>
        <v/>
      </c>
    </row>
    <row r="42" spans="1:7" ht="14.45" customHeight="1">
      <c r="A42" s="30" t="str">
        <f>IF(簿!M41="","",簿!M41)</f>
        <v/>
      </c>
      <c r="B42" s="19" t="str">
        <f>IF(簿!N41="","",簿!N41)</f>
        <v/>
      </c>
      <c r="C42" s="206" t="str">
        <f>IF(簿!O41="","",簿!O41)</f>
        <v/>
      </c>
      <c r="D42" s="55"/>
      <c r="E42" s="55">
        <f>IF(簿!P41="",0,簿!P41)</f>
        <v>0</v>
      </c>
      <c r="F42" s="55">
        <f>IF(簿!Q41="",0,簿!Q41)</f>
        <v>0</v>
      </c>
      <c r="G42" s="56" t="str">
        <f t="shared" si="1"/>
        <v/>
      </c>
    </row>
    <row r="43" spans="1:7" ht="14.45" customHeight="1">
      <c r="A43" s="30" t="str">
        <f>IF(簿!M42="","",簿!M42)</f>
        <v/>
      </c>
      <c r="B43" s="19" t="str">
        <f>IF(簿!N42="","",簿!N42)</f>
        <v/>
      </c>
      <c r="C43" s="206" t="str">
        <f>IF(簿!O42="","",簿!O42)</f>
        <v/>
      </c>
      <c r="D43" s="55"/>
      <c r="E43" s="55">
        <f>IF(簿!P42="",0,簿!P42)</f>
        <v>0</v>
      </c>
      <c r="F43" s="55">
        <f>IF(簿!Q42="",0,簿!Q42)</f>
        <v>0</v>
      </c>
      <c r="G43" s="56" t="str">
        <f t="shared" si="1"/>
        <v/>
      </c>
    </row>
    <row r="44" spans="1:7" ht="14.45" customHeight="1">
      <c r="A44" s="30" t="str">
        <f>IF(簿!M43="","",簿!M43)</f>
        <v/>
      </c>
      <c r="B44" s="19" t="str">
        <f>IF(簿!N43="","",簿!N43)</f>
        <v/>
      </c>
      <c r="C44" s="206" t="str">
        <f>IF(簿!O43="","",簿!O43)</f>
        <v/>
      </c>
      <c r="D44" s="55"/>
      <c r="E44" s="55">
        <f>IF(簿!P43="",0,簿!P43)</f>
        <v>0</v>
      </c>
      <c r="F44" s="55">
        <f>IF(簿!Q43="",0,簿!Q43)</f>
        <v>0</v>
      </c>
      <c r="G44" s="56" t="str">
        <f t="shared" si="1"/>
        <v/>
      </c>
    </row>
    <row r="45" spans="1:7" ht="14.45" customHeight="1">
      <c r="A45" s="30" t="str">
        <f>IF(簿!M44="","",簿!M44)</f>
        <v/>
      </c>
      <c r="B45" s="19" t="str">
        <f>IF(簿!N44="","",簿!N44)</f>
        <v/>
      </c>
      <c r="C45" s="206" t="str">
        <f>IF(簿!O44="","",簿!O44)</f>
        <v/>
      </c>
      <c r="D45" s="55"/>
      <c r="E45" s="55">
        <f>IF(簿!P44="",0,簿!P44)</f>
        <v>0</v>
      </c>
      <c r="F45" s="55">
        <f>IF(簿!Q44="",0,簿!Q44)</f>
        <v>0</v>
      </c>
      <c r="G45" s="56" t="str">
        <f t="shared" si="1"/>
        <v/>
      </c>
    </row>
    <row r="46" spans="1:7" ht="14.45" customHeight="1">
      <c r="A46" s="30" t="str">
        <f>IF(簿!M45="","",簿!M45)</f>
        <v/>
      </c>
      <c r="B46" s="19" t="str">
        <f>IF(簿!N45="","",簿!N45)</f>
        <v/>
      </c>
      <c r="C46" s="206" t="str">
        <f>IF(簿!O45="","",簿!O45)</f>
        <v/>
      </c>
      <c r="D46" s="55"/>
      <c r="E46" s="55">
        <f>IF(簿!P45="",0,簿!P45)</f>
        <v>0</v>
      </c>
      <c r="F46" s="55">
        <f>IF(簿!Q45="",0,簿!Q45)</f>
        <v>0</v>
      </c>
      <c r="G46" s="56" t="str">
        <f t="shared" si="1"/>
        <v/>
      </c>
    </row>
    <row r="47" spans="1:7" ht="14.45" customHeight="1">
      <c r="A47" s="30" t="str">
        <f>IF(簿!M46="","",簿!M46)</f>
        <v/>
      </c>
      <c r="B47" s="19" t="str">
        <f>IF(簿!N46="","",簿!N46)</f>
        <v/>
      </c>
      <c r="C47" s="206" t="str">
        <f>IF(簿!O46="","",簿!O46)</f>
        <v/>
      </c>
      <c r="D47" s="55"/>
      <c r="E47" s="55">
        <f>IF(簿!P46="",0,簿!P46)</f>
        <v>0</v>
      </c>
      <c r="F47" s="55">
        <f>IF(簿!Q46="",0,簿!Q46)</f>
        <v>0</v>
      </c>
      <c r="G47" s="56" t="str">
        <f t="shared" si="1"/>
        <v/>
      </c>
    </row>
    <row r="48" spans="1:7" ht="14.45" customHeight="1">
      <c r="A48" s="30" t="str">
        <f>IF(簿!M47="","",簿!M47)</f>
        <v/>
      </c>
      <c r="B48" s="19" t="str">
        <f>IF(簿!N47="","",簿!N47)</f>
        <v/>
      </c>
      <c r="C48" s="206" t="str">
        <f>IF(簿!O47="","",簿!O47)</f>
        <v/>
      </c>
      <c r="D48" s="55"/>
      <c r="E48" s="55">
        <f>IF(簿!P47="",0,簿!P47)</f>
        <v>0</v>
      </c>
      <c r="F48" s="55">
        <f>IF(簿!Q47="",0,簿!Q47)</f>
        <v>0</v>
      </c>
      <c r="G48" s="56" t="str">
        <f t="shared" si="1"/>
        <v/>
      </c>
    </row>
    <row r="49" spans="1:7" ht="14.45" customHeight="1">
      <c r="A49" s="30" t="str">
        <f>IF(簿!M48="","",簿!M48)</f>
        <v/>
      </c>
      <c r="B49" s="19" t="str">
        <f>IF(簿!N48="","",簿!N48)</f>
        <v/>
      </c>
      <c r="C49" s="206" t="str">
        <f>IF(簿!O48="","",簿!O48)</f>
        <v/>
      </c>
      <c r="D49" s="55"/>
      <c r="E49" s="55">
        <f>IF(簿!P48="",0,簿!P48)</f>
        <v>0</v>
      </c>
      <c r="F49" s="55">
        <f>IF(簿!Q48="",0,簿!Q48)</f>
        <v>0</v>
      </c>
      <c r="G49" s="56" t="str">
        <f t="shared" si="1"/>
        <v/>
      </c>
    </row>
    <row r="50" spans="1:7" ht="14.45" customHeight="1">
      <c r="A50" s="30" t="str">
        <f>IF(簿!M49="","",簿!M49)</f>
        <v/>
      </c>
      <c r="B50" s="19" t="str">
        <f>IF(簿!N49="","",簿!N49)</f>
        <v/>
      </c>
      <c r="C50" s="206" t="str">
        <f>IF(簿!O49="","",簿!O49)</f>
        <v/>
      </c>
      <c r="D50" s="55"/>
      <c r="E50" s="55">
        <f>IF(簿!P49="",0,簿!P49)</f>
        <v>0</v>
      </c>
      <c r="F50" s="55">
        <f>IF(簿!Q49="",0,簿!Q49)</f>
        <v>0</v>
      </c>
      <c r="G50" s="56" t="str">
        <f t="shared" si="1"/>
        <v/>
      </c>
    </row>
    <row r="51" spans="1:7" ht="14.45" customHeight="1">
      <c r="A51" s="30" t="str">
        <f>IF(簿!M50="","",簿!M50)</f>
        <v/>
      </c>
      <c r="B51" s="19" t="str">
        <f>IF(簿!N50="","",簿!N50)</f>
        <v/>
      </c>
      <c r="C51" s="206" t="str">
        <f>IF(簿!O50="","",簿!O50)</f>
        <v/>
      </c>
      <c r="D51" s="55"/>
      <c r="E51" s="55">
        <f>IF(簿!P50="",0,簿!P50)</f>
        <v>0</v>
      </c>
      <c r="F51" s="55">
        <f>IF(簿!Q50="",0,簿!Q50)</f>
        <v>0</v>
      </c>
      <c r="G51" s="56" t="str">
        <f t="shared" si="1"/>
        <v/>
      </c>
    </row>
    <row r="52" spans="1:7" ht="14.45" customHeight="1">
      <c r="A52" s="30" t="str">
        <f>IF(簿!M51="","",簿!M51)</f>
        <v/>
      </c>
      <c r="B52" s="19" t="str">
        <f>IF(簿!N51="","",簿!N51)</f>
        <v/>
      </c>
      <c r="C52" s="206" t="str">
        <f>IF(簿!O51="","",簿!O51)</f>
        <v/>
      </c>
      <c r="D52" s="55"/>
      <c r="E52" s="55">
        <f>IF(簿!P51="",0,簿!P51)</f>
        <v>0</v>
      </c>
      <c r="F52" s="55">
        <f>IF(簿!Q51="",0,簿!Q51)</f>
        <v>0</v>
      </c>
      <c r="G52" s="56" t="str">
        <f t="shared" si="1"/>
        <v/>
      </c>
    </row>
    <row r="53" spans="1:7" ht="14.45" customHeight="1">
      <c r="A53" s="30" t="str">
        <f>IF(簿!M52="","",簿!M52)</f>
        <v/>
      </c>
      <c r="B53" s="19" t="str">
        <f>IF(簿!N52="","",簿!N52)</f>
        <v/>
      </c>
      <c r="C53" s="206" t="str">
        <f>IF(簿!O52="","",簿!O52)</f>
        <v/>
      </c>
      <c r="D53" s="55"/>
      <c r="E53" s="55">
        <f>IF(簿!P52="",0,簿!P52)</f>
        <v>0</v>
      </c>
      <c r="F53" s="55">
        <f>IF(簿!Q52="",0,簿!Q52)</f>
        <v>0</v>
      </c>
      <c r="G53" s="56" t="str">
        <f t="shared" si="1"/>
        <v/>
      </c>
    </row>
    <row r="54" spans="1:7" ht="14.45" customHeight="1">
      <c r="A54" s="30" t="str">
        <f>IF(簿!M53="","",簿!M53)</f>
        <v/>
      </c>
      <c r="B54" s="19" t="str">
        <f>IF(簿!N53="","",簿!N53)</f>
        <v/>
      </c>
      <c r="C54" s="206" t="str">
        <f>IF(簿!O53="","",簿!O53)</f>
        <v/>
      </c>
      <c r="D54" s="55"/>
      <c r="E54" s="55">
        <f>IF(簿!P53="",0,簿!P53)</f>
        <v>0</v>
      </c>
      <c r="F54" s="55">
        <f>IF(簿!Q53="",0,簿!Q53)</f>
        <v>0</v>
      </c>
      <c r="G54" s="56" t="str">
        <f t="shared" si="1"/>
        <v/>
      </c>
    </row>
    <row r="55" spans="1:7" ht="14.45" customHeight="1">
      <c r="A55" s="30" t="str">
        <f>IF(簿!M54="","",簿!M54)</f>
        <v/>
      </c>
      <c r="B55" s="19" t="str">
        <f>IF(簿!N54="","",簿!N54)</f>
        <v/>
      </c>
      <c r="C55" s="206" t="str">
        <f>IF(簿!O54="","",簿!O54)</f>
        <v/>
      </c>
      <c r="D55" s="55"/>
      <c r="E55" s="55">
        <f>IF(簿!P54="",0,簿!P54)</f>
        <v>0</v>
      </c>
      <c r="F55" s="55">
        <f>IF(簿!Q54="",0,簿!Q54)</f>
        <v>0</v>
      </c>
      <c r="G55" s="56" t="str">
        <f t="shared" si="1"/>
        <v/>
      </c>
    </row>
    <row r="56" spans="1:7">
      <c r="A56" s="433" t="str">
        <f>IF(簿!M205&lt;50,"","小　　　　　　　　　計")</f>
        <v/>
      </c>
      <c r="B56" s="434"/>
      <c r="C56" s="435"/>
      <c r="D56" s="57">
        <f>IF(簿!M205&lt;50,0,D6)</f>
        <v>0</v>
      </c>
      <c r="E56" s="57">
        <f>IF(簿!M205&lt;50,0,SUM(E7:E55))</f>
        <v>0</v>
      </c>
      <c r="F56" s="57">
        <f>IF(簿!M205&lt;50,0,SUM(F7:F55))</f>
        <v>0</v>
      </c>
      <c r="G56" s="58"/>
    </row>
    <row r="57" spans="1:7">
      <c r="A57" s="425" t="str">
        <f>IF(簿!M205&lt;50,"合　　　　　　　　　計","")</f>
        <v>合　　　　　　　　　計</v>
      </c>
      <c r="B57" s="426"/>
      <c r="C57" s="427"/>
      <c r="D57" s="59">
        <f>IF(簿!M205&lt;50,D6,0)</f>
        <v>0</v>
      </c>
      <c r="E57" s="59">
        <f>IF(簿!M205&lt;50,SUM(E7:E55),0)</f>
        <v>0</v>
      </c>
      <c r="F57" s="59">
        <f>IF(簿!M205&lt;50,SUM(F7:F55),0)</f>
        <v>0</v>
      </c>
      <c r="G57" s="60">
        <f>IF(簿!M205&lt;50,D57-E57-F57,"")</f>
        <v>0</v>
      </c>
    </row>
    <row r="58" spans="1:7" ht="16.5" customHeight="1">
      <c r="A58" s="98" t="str">
        <f>A3</f>
        <v>その他の経費（対象外）</v>
      </c>
    </row>
    <row r="59" spans="1:7" ht="15.75" customHeight="1">
      <c r="G59" s="13">
        <v>2</v>
      </c>
    </row>
    <row r="60" spans="1:7" ht="13.5" customHeight="1">
      <c r="A60" s="28" t="s">
        <v>16</v>
      </c>
      <c r="B60" s="428" t="s">
        <v>20</v>
      </c>
      <c r="C60" s="429"/>
      <c r="D60" s="15" t="s">
        <v>8</v>
      </c>
      <c r="E60" s="15" t="s">
        <v>23</v>
      </c>
      <c r="F60" s="16" t="s">
        <v>13</v>
      </c>
      <c r="G60" s="17" t="str">
        <f>IF(簿!M4&gt;9,"差引残額","収入未済額")</f>
        <v>差引残額</v>
      </c>
    </row>
    <row r="61" spans="1:7" ht="14.45" customHeight="1">
      <c r="A61" s="29" t="str">
        <f>IF(簿!M55="","",簿!M55)</f>
        <v/>
      </c>
      <c r="B61" s="18" t="str">
        <f>IF(簿!N55="","",簿!N55)</f>
        <v/>
      </c>
      <c r="C61" s="204" t="str">
        <f>IF(簿!O55="","",簿!O55)</f>
        <v/>
      </c>
      <c r="D61" s="53"/>
      <c r="E61" s="53">
        <f>IF(簿!P55="",0,簿!P55)</f>
        <v>0</v>
      </c>
      <c r="F61" s="53">
        <f>IF(簿!Q55="",0,簿!Q55)</f>
        <v>0</v>
      </c>
      <c r="G61" s="54" t="str">
        <f>IF(A61="","",G55-E61-F61)</f>
        <v/>
      </c>
    </row>
    <row r="62" spans="1:7" ht="14.45" customHeight="1">
      <c r="A62" s="62" t="str">
        <f>IF(簿!M56="","",簿!M56)</f>
        <v/>
      </c>
      <c r="B62" s="63" t="str">
        <f>IF(簿!N56="","",簿!N56)</f>
        <v/>
      </c>
      <c r="C62" s="205" t="str">
        <f>IF(簿!O56="","",簿!O56)</f>
        <v/>
      </c>
      <c r="D62" s="64"/>
      <c r="E62" s="64">
        <f>IF(簿!P56="",0,簿!P56)</f>
        <v>0</v>
      </c>
      <c r="F62" s="64">
        <f>IF(簿!Q56="",0,簿!Q56)</f>
        <v>0</v>
      </c>
      <c r="G62" s="65" t="str">
        <f>IF(A62="","",G61-E62-F62)</f>
        <v/>
      </c>
    </row>
    <row r="63" spans="1:7" ht="14.45" customHeight="1">
      <c r="A63" s="62" t="str">
        <f>IF(簿!M57="","",簿!M57)</f>
        <v/>
      </c>
      <c r="B63" s="63" t="str">
        <f>IF(簿!N57="","",簿!N57)</f>
        <v/>
      </c>
      <c r="C63" s="205" t="str">
        <f>IF(簿!O57="","",簿!O57)</f>
        <v/>
      </c>
      <c r="D63" s="64"/>
      <c r="E63" s="64">
        <f>IF(簿!P57="",0,簿!P57)</f>
        <v>0</v>
      </c>
      <c r="F63" s="64">
        <f>IF(簿!Q57="",0,簿!Q57)</f>
        <v>0</v>
      </c>
      <c r="G63" s="65" t="str">
        <f t="shared" ref="G63:G110" si="2">IF(A63="","",G62-E63-F63)</f>
        <v/>
      </c>
    </row>
    <row r="64" spans="1:7" ht="14.45" customHeight="1">
      <c r="A64" s="62" t="str">
        <f>IF(簿!M58="","",簿!M58)</f>
        <v/>
      </c>
      <c r="B64" s="63" t="str">
        <f>IF(簿!N58="","",簿!N58)</f>
        <v/>
      </c>
      <c r="C64" s="205" t="str">
        <f>IF(簿!O58="","",簿!O58)</f>
        <v/>
      </c>
      <c r="D64" s="64"/>
      <c r="E64" s="64">
        <f>IF(簿!P58="",0,簿!P58)</f>
        <v>0</v>
      </c>
      <c r="F64" s="64">
        <f>IF(簿!Q58="",0,簿!Q58)</f>
        <v>0</v>
      </c>
      <c r="G64" s="65" t="str">
        <f t="shared" si="2"/>
        <v/>
      </c>
    </row>
    <row r="65" spans="1:7" ht="14.45" customHeight="1">
      <c r="A65" s="62" t="str">
        <f>IF(簿!M59="","",簿!M59)</f>
        <v/>
      </c>
      <c r="B65" s="63" t="str">
        <f>IF(簿!N59="","",簿!N59)</f>
        <v/>
      </c>
      <c r="C65" s="205" t="str">
        <f>IF(簿!O59="","",簿!O59)</f>
        <v/>
      </c>
      <c r="D65" s="64"/>
      <c r="E65" s="64">
        <f>IF(簿!P59="",0,簿!P59)</f>
        <v>0</v>
      </c>
      <c r="F65" s="64">
        <f>IF(簿!Q59="",0,簿!Q59)</f>
        <v>0</v>
      </c>
      <c r="G65" s="65" t="str">
        <f t="shared" si="2"/>
        <v/>
      </c>
    </row>
    <row r="66" spans="1:7" ht="14.45" customHeight="1">
      <c r="A66" s="62" t="str">
        <f>IF(簿!M60="","",簿!M60)</f>
        <v/>
      </c>
      <c r="B66" s="63" t="str">
        <f>IF(簿!N60="","",簿!N60)</f>
        <v/>
      </c>
      <c r="C66" s="205" t="str">
        <f>IF(簿!O60="","",簿!O60)</f>
        <v/>
      </c>
      <c r="D66" s="64"/>
      <c r="E66" s="64">
        <f>IF(簿!P60="",0,簿!P60)</f>
        <v>0</v>
      </c>
      <c r="F66" s="64">
        <f>IF(簿!Q60="",0,簿!Q60)</f>
        <v>0</v>
      </c>
      <c r="G66" s="65" t="str">
        <f t="shared" si="2"/>
        <v/>
      </c>
    </row>
    <row r="67" spans="1:7" ht="14.45" customHeight="1">
      <c r="A67" s="62" t="str">
        <f>IF(簿!M61="","",簿!M61)</f>
        <v/>
      </c>
      <c r="B67" s="63" t="str">
        <f>IF(簿!N61="","",簿!N61)</f>
        <v/>
      </c>
      <c r="C67" s="205" t="str">
        <f>IF(簿!O61="","",簿!O61)</f>
        <v/>
      </c>
      <c r="D67" s="64"/>
      <c r="E67" s="64">
        <f>IF(簿!P61="",0,簿!P61)</f>
        <v>0</v>
      </c>
      <c r="F67" s="64">
        <f>IF(簿!Q61="",0,簿!Q61)</f>
        <v>0</v>
      </c>
      <c r="G67" s="65" t="str">
        <f t="shared" si="2"/>
        <v/>
      </c>
    </row>
    <row r="68" spans="1:7" ht="14.45" customHeight="1">
      <c r="A68" s="62" t="str">
        <f>IF(簿!M62="","",簿!M62)</f>
        <v/>
      </c>
      <c r="B68" s="63" t="str">
        <f>IF(簿!N62="","",簿!N62)</f>
        <v/>
      </c>
      <c r="C68" s="205" t="str">
        <f>IF(簿!O62="","",簿!O62)</f>
        <v/>
      </c>
      <c r="D68" s="64"/>
      <c r="E68" s="64">
        <f>IF(簿!P62="",0,簿!P62)</f>
        <v>0</v>
      </c>
      <c r="F68" s="64">
        <f>IF(簿!Q62="",0,簿!Q62)</f>
        <v>0</v>
      </c>
      <c r="G68" s="65" t="str">
        <f t="shared" si="2"/>
        <v/>
      </c>
    </row>
    <row r="69" spans="1:7" ht="14.45" customHeight="1">
      <c r="A69" s="62" t="str">
        <f>IF(簿!M63="","",簿!M63)</f>
        <v/>
      </c>
      <c r="B69" s="63" t="str">
        <f>IF(簿!N63="","",簿!N63)</f>
        <v/>
      </c>
      <c r="C69" s="205" t="str">
        <f>IF(簿!O63="","",簿!O63)</f>
        <v/>
      </c>
      <c r="D69" s="64"/>
      <c r="E69" s="64">
        <f>IF(簿!P63="",0,簿!P63)</f>
        <v>0</v>
      </c>
      <c r="F69" s="64">
        <f>IF(簿!Q63="",0,簿!Q63)</f>
        <v>0</v>
      </c>
      <c r="G69" s="65" t="str">
        <f t="shared" si="2"/>
        <v/>
      </c>
    </row>
    <row r="70" spans="1:7" ht="14.45" customHeight="1">
      <c r="A70" s="62" t="str">
        <f>IF(簿!M64="","",簿!M64)</f>
        <v/>
      </c>
      <c r="B70" s="63" t="str">
        <f>IF(簿!N64="","",簿!N64)</f>
        <v/>
      </c>
      <c r="C70" s="205" t="str">
        <f>IF(簿!O64="","",簿!O64)</f>
        <v/>
      </c>
      <c r="D70" s="64"/>
      <c r="E70" s="64">
        <f>IF(簿!P64="",0,簿!P64)</f>
        <v>0</v>
      </c>
      <c r="F70" s="64">
        <f>IF(簿!Q64="",0,簿!Q64)</f>
        <v>0</v>
      </c>
      <c r="G70" s="65" t="str">
        <f t="shared" si="2"/>
        <v/>
      </c>
    </row>
    <row r="71" spans="1:7" ht="14.45" customHeight="1">
      <c r="A71" s="62" t="str">
        <f>IF(簿!M65="","",簿!M65)</f>
        <v/>
      </c>
      <c r="B71" s="63" t="str">
        <f>IF(簿!N65="","",簿!N65)</f>
        <v/>
      </c>
      <c r="C71" s="205" t="str">
        <f>IF(簿!O65="","",簿!O65)</f>
        <v/>
      </c>
      <c r="D71" s="64"/>
      <c r="E71" s="64">
        <f>IF(簿!P65="",0,簿!P65)</f>
        <v>0</v>
      </c>
      <c r="F71" s="64">
        <f>IF(簿!Q65="",0,簿!Q65)</f>
        <v>0</v>
      </c>
      <c r="G71" s="65" t="str">
        <f t="shared" si="2"/>
        <v/>
      </c>
    </row>
    <row r="72" spans="1:7" ht="14.45" customHeight="1">
      <c r="A72" s="62" t="str">
        <f>IF(簿!M66="","",簿!M66)</f>
        <v/>
      </c>
      <c r="B72" s="63" t="str">
        <f>IF(簿!N66="","",簿!N66)</f>
        <v/>
      </c>
      <c r="C72" s="205" t="str">
        <f>IF(簿!O66="","",簿!O66)</f>
        <v/>
      </c>
      <c r="D72" s="64"/>
      <c r="E72" s="64">
        <f>IF(簿!P66="",0,簿!P66)</f>
        <v>0</v>
      </c>
      <c r="F72" s="64">
        <f>IF(簿!Q66="",0,簿!Q66)</f>
        <v>0</v>
      </c>
      <c r="G72" s="65" t="str">
        <f t="shared" si="2"/>
        <v/>
      </c>
    </row>
    <row r="73" spans="1:7" ht="14.45" customHeight="1">
      <c r="A73" s="62" t="str">
        <f>IF(簿!M67="","",簿!M67)</f>
        <v/>
      </c>
      <c r="B73" s="63" t="str">
        <f>IF(簿!N67="","",簿!N67)</f>
        <v/>
      </c>
      <c r="C73" s="205" t="str">
        <f>IF(簿!O67="","",簿!O67)</f>
        <v/>
      </c>
      <c r="D73" s="64"/>
      <c r="E73" s="64">
        <f>IF(簿!P67="",0,簿!P67)</f>
        <v>0</v>
      </c>
      <c r="F73" s="64">
        <f>IF(簿!Q67="",0,簿!Q67)</f>
        <v>0</v>
      </c>
      <c r="G73" s="65" t="str">
        <f t="shared" si="2"/>
        <v/>
      </c>
    </row>
    <row r="74" spans="1:7" ht="14.45" customHeight="1">
      <c r="A74" s="62" t="str">
        <f>IF(簿!M68="","",簿!M68)</f>
        <v/>
      </c>
      <c r="B74" s="63" t="str">
        <f>IF(簿!N68="","",簿!N68)</f>
        <v/>
      </c>
      <c r="C74" s="205" t="str">
        <f>IF(簿!O68="","",簿!O68)</f>
        <v/>
      </c>
      <c r="D74" s="64"/>
      <c r="E74" s="64">
        <f>IF(簿!P68="",0,簿!P68)</f>
        <v>0</v>
      </c>
      <c r="F74" s="64">
        <f>IF(簿!Q68="",0,簿!Q68)</f>
        <v>0</v>
      </c>
      <c r="G74" s="65" t="str">
        <f t="shared" si="2"/>
        <v/>
      </c>
    </row>
    <row r="75" spans="1:7" ht="14.45" customHeight="1">
      <c r="A75" s="62" t="str">
        <f>IF(簿!M69="","",簿!M69)</f>
        <v/>
      </c>
      <c r="B75" s="63" t="str">
        <f>IF(簿!N69="","",簿!N69)</f>
        <v/>
      </c>
      <c r="C75" s="205" t="str">
        <f>IF(簿!O69="","",簿!O69)</f>
        <v/>
      </c>
      <c r="D75" s="64"/>
      <c r="E75" s="64">
        <f>IF(簿!P69="",0,簿!P69)</f>
        <v>0</v>
      </c>
      <c r="F75" s="64">
        <f>IF(簿!Q69="",0,簿!Q69)</f>
        <v>0</v>
      </c>
      <c r="G75" s="65" t="str">
        <f t="shared" si="2"/>
        <v/>
      </c>
    </row>
    <row r="76" spans="1:7" ht="14.45" customHeight="1">
      <c r="A76" s="62" t="str">
        <f>IF(簿!M70="","",簿!M70)</f>
        <v/>
      </c>
      <c r="B76" s="63" t="str">
        <f>IF(簿!N70="","",簿!N70)</f>
        <v/>
      </c>
      <c r="C76" s="205" t="str">
        <f>IF(簿!O70="","",簿!O70)</f>
        <v/>
      </c>
      <c r="D76" s="64"/>
      <c r="E76" s="64">
        <f>IF(簿!P70="",0,簿!P70)</f>
        <v>0</v>
      </c>
      <c r="F76" s="64">
        <f>IF(簿!Q70="",0,簿!Q70)</f>
        <v>0</v>
      </c>
      <c r="G76" s="65" t="str">
        <f t="shared" si="2"/>
        <v/>
      </c>
    </row>
    <row r="77" spans="1:7" ht="14.45" customHeight="1">
      <c r="A77" s="62" t="str">
        <f>IF(簿!M71="","",簿!M71)</f>
        <v/>
      </c>
      <c r="B77" s="63" t="str">
        <f>IF(簿!N71="","",簿!N71)</f>
        <v/>
      </c>
      <c r="C77" s="205" t="str">
        <f>IF(簿!O71="","",簿!O71)</f>
        <v/>
      </c>
      <c r="D77" s="64"/>
      <c r="E77" s="64">
        <f>IF(簿!P71="",0,簿!P71)</f>
        <v>0</v>
      </c>
      <c r="F77" s="64">
        <f>IF(簿!Q71="",0,簿!Q71)</f>
        <v>0</v>
      </c>
      <c r="G77" s="65" t="str">
        <f t="shared" si="2"/>
        <v/>
      </c>
    </row>
    <row r="78" spans="1:7" ht="14.45" customHeight="1">
      <c r="A78" s="62" t="str">
        <f>IF(簿!M72="","",簿!M72)</f>
        <v/>
      </c>
      <c r="B78" s="63" t="str">
        <f>IF(簿!N72="","",簿!N72)</f>
        <v/>
      </c>
      <c r="C78" s="205" t="str">
        <f>IF(簿!O72="","",簿!O72)</f>
        <v/>
      </c>
      <c r="D78" s="64"/>
      <c r="E78" s="64">
        <f>IF(簿!P72="",0,簿!P72)</f>
        <v>0</v>
      </c>
      <c r="F78" s="64">
        <f>IF(簿!Q72="",0,簿!Q72)</f>
        <v>0</v>
      </c>
      <c r="G78" s="65" t="str">
        <f t="shared" si="2"/>
        <v/>
      </c>
    </row>
    <row r="79" spans="1:7" ht="14.45" customHeight="1">
      <c r="A79" s="62" t="str">
        <f>IF(簿!M73="","",簿!M73)</f>
        <v/>
      </c>
      <c r="B79" s="63" t="str">
        <f>IF(簿!N73="","",簿!N73)</f>
        <v/>
      </c>
      <c r="C79" s="205" t="str">
        <f>IF(簿!O73="","",簿!O73)</f>
        <v/>
      </c>
      <c r="D79" s="64"/>
      <c r="E79" s="64">
        <f>IF(簿!P73="",0,簿!P73)</f>
        <v>0</v>
      </c>
      <c r="F79" s="64">
        <f>IF(簿!Q73="",0,簿!Q73)</f>
        <v>0</v>
      </c>
      <c r="G79" s="65" t="str">
        <f t="shared" si="2"/>
        <v/>
      </c>
    </row>
    <row r="80" spans="1:7" ht="14.45" customHeight="1">
      <c r="A80" s="62" t="str">
        <f>IF(簿!M74="","",簿!M74)</f>
        <v/>
      </c>
      <c r="B80" s="63" t="str">
        <f>IF(簿!N74="","",簿!N74)</f>
        <v/>
      </c>
      <c r="C80" s="205" t="str">
        <f>IF(簿!O74="","",簿!O74)</f>
        <v/>
      </c>
      <c r="D80" s="64"/>
      <c r="E80" s="64">
        <f>IF(簿!P74="",0,簿!P74)</f>
        <v>0</v>
      </c>
      <c r="F80" s="64">
        <f>IF(簿!Q74="",0,簿!Q74)</f>
        <v>0</v>
      </c>
      <c r="G80" s="65" t="str">
        <f t="shared" si="2"/>
        <v/>
      </c>
    </row>
    <row r="81" spans="1:7" ht="14.45" customHeight="1">
      <c r="A81" s="62" t="str">
        <f>IF(簿!M75="","",簿!M75)</f>
        <v/>
      </c>
      <c r="B81" s="63" t="str">
        <f>IF(簿!N75="","",簿!N75)</f>
        <v/>
      </c>
      <c r="C81" s="205" t="str">
        <f>IF(簿!O75="","",簿!O75)</f>
        <v/>
      </c>
      <c r="D81" s="64"/>
      <c r="E81" s="64">
        <f>IF(簿!P75="",0,簿!P75)</f>
        <v>0</v>
      </c>
      <c r="F81" s="64">
        <f>IF(簿!Q75="",0,簿!Q75)</f>
        <v>0</v>
      </c>
      <c r="G81" s="65" t="str">
        <f t="shared" si="2"/>
        <v/>
      </c>
    </row>
    <row r="82" spans="1:7" ht="14.45" customHeight="1">
      <c r="A82" s="62" t="str">
        <f>IF(簿!M76="","",簿!M76)</f>
        <v/>
      </c>
      <c r="B82" s="63" t="str">
        <f>IF(簿!N76="","",簿!N76)</f>
        <v/>
      </c>
      <c r="C82" s="205" t="str">
        <f>IF(簿!O76="","",簿!O76)</f>
        <v/>
      </c>
      <c r="D82" s="64"/>
      <c r="E82" s="64">
        <f>IF(簿!P76="",0,簿!P76)</f>
        <v>0</v>
      </c>
      <c r="F82" s="64">
        <f>IF(簿!Q76="",0,簿!Q76)</f>
        <v>0</v>
      </c>
      <c r="G82" s="65" t="str">
        <f t="shared" si="2"/>
        <v/>
      </c>
    </row>
    <row r="83" spans="1:7" ht="14.45" customHeight="1">
      <c r="A83" s="62" t="str">
        <f>IF(簿!M77="","",簿!M77)</f>
        <v/>
      </c>
      <c r="B83" s="63" t="str">
        <f>IF(簿!N77="","",簿!N77)</f>
        <v/>
      </c>
      <c r="C83" s="205" t="str">
        <f>IF(簿!O77="","",簿!O77)</f>
        <v/>
      </c>
      <c r="D83" s="64"/>
      <c r="E83" s="64">
        <f>IF(簿!P77="",0,簿!P77)</f>
        <v>0</v>
      </c>
      <c r="F83" s="64">
        <f>IF(簿!Q77="",0,簿!Q77)</f>
        <v>0</v>
      </c>
      <c r="G83" s="65" t="str">
        <f t="shared" si="2"/>
        <v/>
      </c>
    </row>
    <row r="84" spans="1:7" ht="14.45" customHeight="1">
      <c r="A84" s="62" t="str">
        <f>IF(簿!M78="","",簿!M78)</f>
        <v/>
      </c>
      <c r="B84" s="63" t="str">
        <f>IF(簿!N78="","",簿!N78)</f>
        <v/>
      </c>
      <c r="C84" s="205" t="str">
        <f>IF(簿!O78="","",簿!O78)</f>
        <v/>
      </c>
      <c r="D84" s="64"/>
      <c r="E84" s="64">
        <f>IF(簿!P78="",0,簿!P78)</f>
        <v>0</v>
      </c>
      <c r="F84" s="64">
        <f>IF(簿!Q78="",0,簿!Q78)</f>
        <v>0</v>
      </c>
      <c r="G84" s="65" t="str">
        <f t="shared" si="2"/>
        <v/>
      </c>
    </row>
    <row r="85" spans="1:7" ht="14.45" customHeight="1">
      <c r="A85" s="62" t="str">
        <f>IF(簿!M79="","",簿!M79)</f>
        <v/>
      </c>
      <c r="B85" s="63" t="str">
        <f>IF(簿!N79="","",簿!N79)</f>
        <v/>
      </c>
      <c r="C85" s="205" t="str">
        <f>IF(簿!O79="","",簿!O79)</f>
        <v/>
      </c>
      <c r="D85" s="64"/>
      <c r="E85" s="64">
        <f>IF(簿!P79="",0,簿!P79)</f>
        <v>0</v>
      </c>
      <c r="F85" s="64">
        <f>IF(簿!Q79="",0,簿!Q79)</f>
        <v>0</v>
      </c>
      <c r="G85" s="65" t="str">
        <f t="shared" si="2"/>
        <v/>
      </c>
    </row>
    <row r="86" spans="1:7" ht="14.45" customHeight="1">
      <c r="A86" s="62" t="str">
        <f>IF(簿!M80="","",簿!M80)</f>
        <v/>
      </c>
      <c r="B86" s="63" t="str">
        <f>IF(簿!N80="","",簿!N80)</f>
        <v/>
      </c>
      <c r="C86" s="205" t="str">
        <f>IF(簿!O80="","",簿!O80)</f>
        <v/>
      </c>
      <c r="D86" s="64"/>
      <c r="E86" s="64">
        <f>IF(簿!P80="",0,簿!P80)</f>
        <v>0</v>
      </c>
      <c r="F86" s="64">
        <f>IF(簿!Q80="",0,簿!Q80)</f>
        <v>0</v>
      </c>
      <c r="G86" s="65" t="str">
        <f t="shared" si="2"/>
        <v/>
      </c>
    </row>
    <row r="87" spans="1:7" ht="14.45" customHeight="1">
      <c r="A87" s="62" t="str">
        <f>IF(簿!M81="","",簿!M81)</f>
        <v/>
      </c>
      <c r="B87" s="63" t="str">
        <f>IF(簿!N81="","",簿!N81)</f>
        <v/>
      </c>
      <c r="C87" s="205" t="str">
        <f>IF(簿!O81="","",簿!O81)</f>
        <v/>
      </c>
      <c r="D87" s="64"/>
      <c r="E87" s="64">
        <f>IF(簿!P81="",0,簿!P81)</f>
        <v>0</v>
      </c>
      <c r="F87" s="64">
        <f>IF(簿!Q81="",0,簿!Q81)</f>
        <v>0</v>
      </c>
      <c r="G87" s="65" t="str">
        <f t="shared" si="2"/>
        <v/>
      </c>
    </row>
    <row r="88" spans="1:7" ht="14.45" customHeight="1">
      <c r="A88" s="62" t="str">
        <f>IF(簿!M82="","",簿!M82)</f>
        <v/>
      </c>
      <c r="B88" s="63" t="str">
        <f>IF(簿!N82="","",簿!N82)</f>
        <v/>
      </c>
      <c r="C88" s="205" t="str">
        <f>IF(簿!O82="","",簿!O82)</f>
        <v/>
      </c>
      <c r="D88" s="64"/>
      <c r="E88" s="64">
        <f>IF(簿!P82="",0,簿!P82)</f>
        <v>0</v>
      </c>
      <c r="F88" s="64">
        <f>IF(簿!Q82="",0,簿!Q82)</f>
        <v>0</v>
      </c>
      <c r="G88" s="65" t="str">
        <f t="shared" si="2"/>
        <v/>
      </c>
    </row>
    <row r="89" spans="1:7" ht="14.45" customHeight="1">
      <c r="A89" s="62" t="str">
        <f>IF(簿!M83="","",簿!M83)</f>
        <v/>
      </c>
      <c r="B89" s="63" t="str">
        <f>IF(簿!N83="","",簿!N83)</f>
        <v/>
      </c>
      <c r="C89" s="205" t="str">
        <f>IF(簿!O83="","",簿!O83)</f>
        <v/>
      </c>
      <c r="D89" s="64"/>
      <c r="E89" s="64">
        <f>IF(簿!P83="",0,簿!P83)</f>
        <v>0</v>
      </c>
      <c r="F89" s="64">
        <f>IF(簿!Q83="",0,簿!Q83)</f>
        <v>0</v>
      </c>
      <c r="G89" s="65" t="str">
        <f t="shared" si="2"/>
        <v/>
      </c>
    </row>
    <row r="90" spans="1:7" ht="14.45" customHeight="1">
      <c r="A90" s="62" t="str">
        <f>IF(簿!M84="","",簿!M84)</f>
        <v/>
      </c>
      <c r="B90" s="63" t="str">
        <f>IF(簿!N84="","",簿!N84)</f>
        <v/>
      </c>
      <c r="C90" s="205" t="str">
        <f>IF(簿!O84="","",簿!O84)</f>
        <v/>
      </c>
      <c r="D90" s="64"/>
      <c r="E90" s="64">
        <f>IF(簿!P84="",0,簿!P84)</f>
        <v>0</v>
      </c>
      <c r="F90" s="64">
        <f>IF(簿!Q84="",0,簿!Q84)</f>
        <v>0</v>
      </c>
      <c r="G90" s="65" t="str">
        <f t="shared" si="2"/>
        <v/>
      </c>
    </row>
    <row r="91" spans="1:7" ht="14.45" customHeight="1">
      <c r="A91" s="62" t="str">
        <f>IF(簿!M85="","",簿!M85)</f>
        <v/>
      </c>
      <c r="B91" s="63" t="str">
        <f>IF(簿!N85="","",簿!N85)</f>
        <v/>
      </c>
      <c r="C91" s="205" t="str">
        <f>IF(簿!O85="","",簿!O85)</f>
        <v/>
      </c>
      <c r="D91" s="64"/>
      <c r="E91" s="64">
        <f>IF(簿!P85="",0,簿!P85)</f>
        <v>0</v>
      </c>
      <c r="F91" s="64">
        <f>IF(簿!Q85="",0,簿!Q85)</f>
        <v>0</v>
      </c>
      <c r="G91" s="65" t="str">
        <f t="shared" si="2"/>
        <v/>
      </c>
    </row>
    <row r="92" spans="1:7" ht="14.45" customHeight="1">
      <c r="A92" s="62" t="str">
        <f>IF(簿!M86="","",簿!M86)</f>
        <v/>
      </c>
      <c r="B92" s="63" t="str">
        <f>IF(簿!N86="","",簿!N86)</f>
        <v/>
      </c>
      <c r="C92" s="205" t="str">
        <f>IF(簿!O86="","",簿!O86)</f>
        <v/>
      </c>
      <c r="D92" s="64"/>
      <c r="E92" s="64">
        <f>IF(簿!P86="",0,簿!P86)</f>
        <v>0</v>
      </c>
      <c r="F92" s="64">
        <f>IF(簿!Q86="",0,簿!Q86)</f>
        <v>0</v>
      </c>
      <c r="G92" s="65" t="str">
        <f t="shared" si="2"/>
        <v/>
      </c>
    </row>
    <row r="93" spans="1:7" ht="14.45" customHeight="1">
      <c r="A93" s="62" t="str">
        <f>IF(簿!M87="","",簿!M87)</f>
        <v/>
      </c>
      <c r="B93" s="63" t="str">
        <f>IF(簿!N87="","",簿!N87)</f>
        <v/>
      </c>
      <c r="C93" s="205" t="str">
        <f>IF(簿!O87="","",簿!O87)</f>
        <v/>
      </c>
      <c r="D93" s="64"/>
      <c r="E93" s="64">
        <f>IF(簿!P87="",0,簿!P87)</f>
        <v>0</v>
      </c>
      <c r="F93" s="64">
        <f>IF(簿!Q87="",0,簿!Q87)</f>
        <v>0</v>
      </c>
      <c r="G93" s="65" t="str">
        <f t="shared" si="2"/>
        <v/>
      </c>
    </row>
    <row r="94" spans="1:7" ht="14.45" customHeight="1">
      <c r="A94" s="62" t="str">
        <f>IF(簿!M88="","",簿!M88)</f>
        <v/>
      </c>
      <c r="B94" s="63" t="str">
        <f>IF(簿!N88="","",簿!N88)</f>
        <v/>
      </c>
      <c r="C94" s="205" t="str">
        <f>IF(簿!O88="","",簿!O88)</f>
        <v/>
      </c>
      <c r="D94" s="64"/>
      <c r="E94" s="64">
        <f>IF(簿!P88="",0,簿!P88)</f>
        <v>0</v>
      </c>
      <c r="F94" s="64">
        <f>IF(簿!Q88="",0,簿!Q88)</f>
        <v>0</v>
      </c>
      <c r="G94" s="65" t="str">
        <f t="shared" si="2"/>
        <v/>
      </c>
    </row>
    <row r="95" spans="1:7" ht="14.45" customHeight="1">
      <c r="A95" s="62" t="str">
        <f>IF(簿!M89="","",簿!M89)</f>
        <v/>
      </c>
      <c r="B95" s="63" t="str">
        <f>IF(簿!N89="","",簿!N89)</f>
        <v/>
      </c>
      <c r="C95" s="205" t="str">
        <f>IF(簿!O89="","",簿!O89)</f>
        <v/>
      </c>
      <c r="D95" s="64"/>
      <c r="E95" s="64">
        <f>IF(簿!P89="",0,簿!P89)</f>
        <v>0</v>
      </c>
      <c r="F95" s="64">
        <f>IF(簿!Q89="",0,簿!Q89)</f>
        <v>0</v>
      </c>
      <c r="G95" s="65" t="str">
        <f t="shared" si="2"/>
        <v/>
      </c>
    </row>
    <row r="96" spans="1:7" ht="14.45" customHeight="1">
      <c r="A96" s="62" t="str">
        <f>IF(簿!M90="","",簿!M90)</f>
        <v/>
      </c>
      <c r="B96" s="63" t="str">
        <f>IF(簿!N90="","",簿!N90)</f>
        <v/>
      </c>
      <c r="C96" s="205" t="str">
        <f>IF(簿!O90="","",簿!O90)</f>
        <v/>
      </c>
      <c r="D96" s="64"/>
      <c r="E96" s="64">
        <f>IF(簿!P90="",0,簿!P90)</f>
        <v>0</v>
      </c>
      <c r="F96" s="64">
        <f>IF(簿!Q90="",0,簿!Q90)</f>
        <v>0</v>
      </c>
      <c r="G96" s="65" t="str">
        <f t="shared" si="2"/>
        <v/>
      </c>
    </row>
    <row r="97" spans="1:7" ht="14.45" customHeight="1">
      <c r="A97" s="62" t="str">
        <f>IF(簿!M91="","",簿!M91)</f>
        <v/>
      </c>
      <c r="B97" s="63" t="str">
        <f>IF(簿!N91="","",簿!N91)</f>
        <v/>
      </c>
      <c r="C97" s="205" t="str">
        <f>IF(簿!O91="","",簿!O91)</f>
        <v/>
      </c>
      <c r="D97" s="64"/>
      <c r="E97" s="64">
        <f>IF(簿!P91="",0,簿!P91)</f>
        <v>0</v>
      </c>
      <c r="F97" s="64">
        <f>IF(簿!Q91="",0,簿!Q91)</f>
        <v>0</v>
      </c>
      <c r="G97" s="65" t="str">
        <f t="shared" si="2"/>
        <v/>
      </c>
    </row>
    <row r="98" spans="1:7" ht="14.45" customHeight="1">
      <c r="A98" s="62" t="str">
        <f>IF(簿!M92="","",簿!M92)</f>
        <v/>
      </c>
      <c r="B98" s="63" t="str">
        <f>IF(簿!N92="","",簿!N92)</f>
        <v/>
      </c>
      <c r="C98" s="205" t="str">
        <f>IF(簿!O92="","",簿!O92)</f>
        <v/>
      </c>
      <c r="D98" s="64"/>
      <c r="E98" s="64">
        <f>IF(簿!P92="",0,簿!P92)</f>
        <v>0</v>
      </c>
      <c r="F98" s="64">
        <f>IF(簿!Q92="",0,簿!Q92)</f>
        <v>0</v>
      </c>
      <c r="G98" s="65" t="str">
        <f t="shared" si="2"/>
        <v/>
      </c>
    </row>
    <row r="99" spans="1:7" ht="14.45" customHeight="1">
      <c r="A99" s="62" t="str">
        <f>IF(簿!M93="","",簿!M93)</f>
        <v/>
      </c>
      <c r="B99" s="63" t="str">
        <f>IF(簿!N93="","",簿!N93)</f>
        <v/>
      </c>
      <c r="C99" s="205" t="str">
        <f>IF(簿!O93="","",簿!O93)</f>
        <v/>
      </c>
      <c r="D99" s="64"/>
      <c r="E99" s="64">
        <f>IF(簿!P93="",0,簿!P93)</f>
        <v>0</v>
      </c>
      <c r="F99" s="64">
        <f>IF(簿!Q93="",0,簿!Q93)</f>
        <v>0</v>
      </c>
      <c r="G99" s="65" t="str">
        <f t="shared" si="2"/>
        <v/>
      </c>
    </row>
    <row r="100" spans="1:7" ht="14.45" customHeight="1">
      <c r="A100" s="62" t="str">
        <f>IF(簿!M94="","",簿!M94)</f>
        <v/>
      </c>
      <c r="B100" s="63" t="str">
        <f>IF(簿!N94="","",簿!N94)</f>
        <v/>
      </c>
      <c r="C100" s="205" t="str">
        <f>IF(簿!O94="","",簿!O94)</f>
        <v/>
      </c>
      <c r="D100" s="64"/>
      <c r="E100" s="64">
        <f>IF(簿!P94="",0,簿!P94)</f>
        <v>0</v>
      </c>
      <c r="F100" s="64">
        <f>IF(簿!Q94="",0,簿!Q94)</f>
        <v>0</v>
      </c>
      <c r="G100" s="65" t="str">
        <f t="shared" si="2"/>
        <v/>
      </c>
    </row>
    <row r="101" spans="1:7" ht="14.45" customHeight="1">
      <c r="A101" s="62" t="str">
        <f>IF(簿!M95="","",簿!M95)</f>
        <v/>
      </c>
      <c r="B101" s="63" t="str">
        <f>IF(簿!N95="","",簿!N95)</f>
        <v/>
      </c>
      <c r="C101" s="205" t="str">
        <f>IF(簿!O95="","",簿!O95)</f>
        <v/>
      </c>
      <c r="D101" s="64"/>
      <c r="E101" s="64">
        <f>IF(簿!P95="",0,簿!P95)</f>
        <v>0</v>
      </c>
      <c r="F101" s="64">
        <f>IF(簿!Q95="",0,簿!Q95)</f>
        <v>0</v>
      </c>
      <c r="G101" s="65" t="str">
        <f t="shared" si="2"/>
        <v/>
      </c>
    </row>
    <row r="102" spans="1:7" ht="14.45" customHeight="1">
      <c r="A102" s="62" t="str">
        <f>IF(簿!M96="","",簿!M96)</f>
        <v/>
      </c>
      <c r="B102" s="63" t="str">
        <f>IF(簿!N96="","",簿!N96)</f>
        <v/>
      </c>
      <c r="C102" s="205" t="str">
        <f>IF(簿!O96="","",簿!O96)</f>
        <v/>
      </c>
      <c r="D102" s="64"/>
      <c r="E102" s="64">
        <f>IF(簿!P96="",0,簿!P96)</f>
        <v>0</v>
      </c>
      <c r="F102" s="64">
        <f>IF(簿!Q96="",0,簿!Q96)</f>
        <v>0</v>
      </c>
      <c r="G102" s="65" t="str">
        <f t="shared" si="2"/>
        <v/>
      </c>
    </row>
    <row r="103" spans="1:7" ht="14.45" customHeight="1">
      <c r="A103" s="62" t="str">
        <f>IF(簿!M97="","",簿!M97)</f>
        <v/>
      </c>
      <c r="B103" s="63" t="str">
        <f>IF(簿!N97="","",簿!N97)</f>
        <v/>
      </c>
      <c r="C103" s="205" t="str">
        <f>IF(簿!O97="","",簿!O97)</f>
        <v/>
      </c>
      <c r="D103" s="64"/>
      <c r="E103" s="64">
        <f>IF(簿!P97="",0,簿!P97)</f>
        <v>0</v>
      </c>
      <c r="F103" s="64">
        <f>IF(簿!Q97="",0,簿!Q97)</f>
        <v>0</v>
      </c>
      <c r="G103" s="65" t="str">
        <f t="shared" si="2"/>
        <v/>
      </c>
    </row>
    <row r="104" spans="1:7" ht="14.45" customHeight="1">
      <c r="A104" s="62" t="str">
        <f>IF(簿!M98="","",簿!M98)</f>
        <v/>
      </c>
      <c r="B104" s="63" t="str">
        <f>IF(簿!N98="","",簿!N98)</f>
        <v/>
      </c>
      <c r="C104" s="205" t="str">
        <f>IF(簿!O98="","",簿!O98)</f>
        <v/>
      </c>
      <c r="D104" s="64"/>
      <c r="E104" s="64">
        <f>IF(簿!P98="",0,簿!P98)</f>
        <v>0</v>
      </c>
      <c r="F104" s="64">
        <f>IF(簿!Q98="",0,簿!Q98)</f>
        <v>0</v>
      </c>
      <c r="G104" s="65" t="str">
        <f t="shared" si="2"/>
        <v/>
      </c>
    </row>
    <row r="105" spans="1:7" ht="14.45" customHeight="1">
      <c r="A105" s="62" t="str">
        <f>IF(簿!M99="","",簿!M99)</f>
        <v/>
      </c>
      <c r="B105" s="63" t="str">
        <f>IF(簿!N99="","",簿!N99)</f>
        <v/>
      </c>
      <c r="C105" s="205" t="str">
        <f>IF(簿!O99="","",簿!O99)</f>
        <v/>
      </c>
      <c r="D105" s="64"/>
      <c r="E105" s="64">
        <f>IF(簿!P99="",0,簿!P99)</f>
        <v>0</v>
      </c>
      <c r="F105" s="64">
        <f>IF(簿!Q99="",0,簿!Q99)</f>
        <v>0</v>
      </c>
      <c r="G105" s="65" t="str">
        <f t="shared" si="2"/>
        <v/>
      </c>
    </row>
    <row r="106" spans="1:7" ht="14.45" customHeight="1">
      <c r="A106" s="62" t="str">
        <f>IF(簿!M100="","",簿!M100)</f>
        <v/>
      </c>
      <c r="B106" s="63" t="str">
        <f>IF(簿!N100="","",簿!N100)</f>
        <v/>
      </c>
      <c r="C106" s="205" t="str">
        <f>IF(簿!O100="","",簿!O100)</f>
        <v/>
      </c>
      <c r="D106" s="64"/>
      <c r="E106" s="64">
        <f>IF(簿!P100="",0,簿!P100)</f>
        <v>0</v>
      </c>
      <c r="F106" s="64">
        <f>IF(簿!Q100="",0,簿!Q100)</f>
        <v>0</v>
      </c>
      <c r="G106" s="65" t="str">
        <f t="shared" si="2"/>
        <v/>
      </c>
    </row>
    <row r="107" spans="1:7" ht="14.45" customHeight="1">
      <c r="A107" s="62" t="str">
        <f>IF(簿!M101="","",簿!M101)</f>
        <v/>
      </c>
      <c r="B107" s="63" t="str">
        <f>IF(簿!N101="","",簿!N101)</f>
        <v/>
      </c>
      <c r="C107" s="205" t="str">
        <f>IF(簿!O101="","",簿!O101)</f>
        <v/>
      </c>
      <c r="D107" s="64"/>
      <c r="E107" s="64">
        <f>IF(簿!P101="",0,簿!P101)</f>
        <v>0</v>
      </c>
      <c r="F107" s="64">
        <f>IF(簿!Q101="",0,簿!Q101)</f>
        <v>0</v>
      </c>
      <c r="G107" s="65" t="str">
        <f t="shared" si="2"/>
        <v/>
      </c>
    </row>
    <row r="108" spans="1:7" ht="14.45" customHeight="1">
      <c r="A108" s="62" t="str">
        <f>IF(簿!M102="","",簿!M102)</f>
        <v/>
      </c>
      <c r="B108" s="63" t="str">
        <f>IF(簿!N102="","",簿!N102)</f>
        <v/>
      </c>
      <c r="C108" s="205" t="str">
        <f>IF(簿!O102="","",簿!O102)</f>
        <v/>
      </c>
      <c r="D108" s="64"/>
      <c r="E108" s="64">
        <f>IF(簿!P102="",0,簿!P102)</f>
        <v>0</v>
      </c>
      <c r="F108" s="64">
        <f>IF(簿!Q102="",0,簿!Q102)</f>
        <v>0</v>
      </c>
      <c r="G108" s="65" t="str">
        <f t="shared" si="2"/>
        <v/>
      </c>
    </row>
    <row r="109" spans="1:7" ht="14.45" customHeight="1">
      <c r="A109" s="62" t="str">
        <f>IF(簿!M103="","",簿!M103)</f>
        <v/>
      </c>
      <c r="B109" s="63" t="str">
        <f>IF(簿!N103="","",簿!N103)</f>
        <v/>
      </c>
      <c r="C109" s="205" t="str">
        <f>IF(簿!O103="","",簿!O103)</f>
        <v/>
      </c>
      <c r="D109" s="64"/>
      <c r="E109" s="64">
        <f>IF(簿!P103="",0,簿!P103)</f>
        <v>0</v>
      </c>
      <c r="F109" s="64">
        <f>IF(簿!Q103="",0,簿!Q103)</f>
        <v>0</v>
      </c>
      <c r="G109" s="65" t="str">
        <f t="shared" si="2"/>
        <v/>
      </c>
    </row>
    <row r="110" spans="1:7" ht="14.45" customHeight="1">
      <c r="A110" s="62" t="str">
        <f>IF(簿!M104="","",簿!M104)</f>
        <v/>
      </c>
      <c r="B110" s="63" t="str">
        <f>IF(簿!N104="","",簿!N104)</f>
        <v/>
      </c>
      <c r="C110" s="205" t="str">
        <f>IF(簿!O104="","",簿!O104)</f>
        <v/>
      </c>
      <c r="D110" s="64"/>
      <c r="E110" s="64">
        <f>IF(簿!P104="",0,簿!P104)</f>
        <v>0</v>
      </c>
      <c r="F110" s="64">
        <f>IF(簿!Q104="",0,簿!Q104)</f>
        <v>0</v>
      </c>
      <c r="G110" s="65" t="str">
        <f t="shared" si="2"/>
        <v/>
      </c>
    </row>
    <row r="111" spans="1:7">
      <c r="A111" s="433" t="s">
        <v>21</v>
      </c>
      <c r="B111" s="434"/>
      <c r="C111" s="435"/>
      <c r="D111" s="57"/>
      <c r="E111" s="57">
        <f>SUM(E61:E110)</f>
        <v>0</v>
      </c>
      <c r="F111" s="57">
        <f>SUM(F61:F110)</f>
        <v>0</v>
      </c>
      <c r="G111" s="58"/>
    </row>
    <row r="112" spans="1:7">
      <c r="A112" s="425" t="str">
        <f>IF(簿!M205&lt;100,"合　　　　　　　　　計","")</f>
        <v>合　　　　　　　　　計</v>
      </c>
      <c r="B112" s="426"/>
      <c r="C112" s="427"/>
      <c r="D112" s="59">
        <f>IF(簿!M205&lt;100,D6,0)</f>
        <v>0</v>
      </c>
      <c r="E112" s="59">
        <f>IF(簿!M205&lt;100,E56+E111,0)</f>
        <v>0</v>
      </c>
      <c r="F112" s="59">
        <f>IF(簿!M205&lt;100,F56+F111,0)</f>
        <v>0</v>
      </c>
      <c r="G112" s="60">
        <f>D112-E112-F112</f>
        <v>0</v>
      </c>
    </row>
    <row r="113" spans="1:7" ht="16.5" customHeight="1">
      <c r="A113" s="98" t="str">
        <f>A3</f>
        <v>その他の経費（対象外）</v>
      </c>
    </row>
    <row r="114" spans="1:7" ht="15.75" customHeight="1">
      <c r="G114" s="13">
        <v>3</v>
      </c>
    </row>
    <row r="115" spans="1:7" ht="13.5" customHeight="1">
      <c r="A115" s="28" t="s">
        <v>16</v>
      </c>
      <c r="B115" s="428" t="s">
        <v>20</v>
      </c>
      <c r="C115" s="429"/>
      <c r="D115" s="15" t="s">
        <v>8</v>
      </c>
      <c r="E115" s="15" t="s">
        <v>23</v>
      </c>
      <c r="F115" s="16" t="s">
        <v>13</v>
      </c>
      <c r="G115" s="17" t="str">
        <f>IF(簿!M4&gt;9,"差引残額","収入未済額")</f>
        <v>差引残額</v>
      </c>
    </row>
    <row r="116" spans="1:7" ht="14.45" customHeight="1">
      <c r="A116" s="29" t="str">
        <f>IF(簿!M105="","",簿!M105)</f>
        <v/>
      </c>
      <c r="B116" s="18" t="str">
        <f>IF(簿!N105="","",簿!N105)</f>
        <v/>
      </c>
      <c r="C116" s="204" t="str">
        <f>IF(簿!O105="","",簿!O105)</f>
        <v/>
      </c>
      <c r="D116" s="53"/>
      <c r="E116" s="53">
        <f>IF(簿!P105="",0,簿!P105)</f>
        <v>0</v>
      </c>
      <c r="F116" s="53">
        <f>IF(簿!Q105="",0,簿!Q105)</f>
        <v>0</v>
      </c>
      <c r="G116" s="54" t="str">
        <f>IF(A116="","",G110-E116-F116)</f>
        <v/>
      </c>
    </row>
    <row r="117" spans="1:7" ht="14.45" customHeight="1">
      <c r="A117" s="62" t="str">
        <f>IF(簿!M106="","",簿!M106)</f>
        <v/>
      </c>
      <c r="B117" s="63" t="str">
        <f>IF(簿!N106="","",簿!N106)</f>
        <v/>
      </c>
      <c r="C117" s="205" t="str">
        <f>IF(簿!O106="","",簿!O106)</f>
        <v/>
      </c>
      <c r="D117" s="64"/>
      <c r="E117" s="64">
        <f>IF(簿!P106="",0,簿!P106)</f>
        <v>0</v>
      </c>
      <c r="F117" s="64">
        <f>IF(簿!Q106="",0,簿!Q106)</f>
        <v>0</v>
      </c>
      <c r="G117" s="65" t="str">
        <f>IF(A117="","",G116-E117-F117)</f>
        <v/>
      </c>
    </row>
    <row r="118" spans="1:7" ht="14.45" customHeight="1">
      <c r="A118" s="62" t="str">
        <f>IF(簿!M107="","",簿!M107)</f>
        <v/>
      </c>
      <c r="B118" s="63" t="str">
        <f>IF(簿!N107="","",簿!N107)</f>
        <v/>
      </c>
      <c r="C118" s="205" t="str">
        <f>IF(簿!O107="","",簿!O107)</f>
        <v/>
      </c>
      <c r="D118" s="64"/>
      <c r="E118" s="64">
        <f>IF(簿!P107="",0,簿!P107)</f>
        <v>0</v>
      </c>
      <c r="F118" s="64">
        <f>IF(簿!Q107="",0,簿!Q107)</f>
        <v>0</v>
      </c>
      <c r="G118" s="65" t="str">
        <f t="shared" ref="G118:G165" si="3">IF(A118="","",G117-E118-F118)</f>
        <v/>
      </c>
    </row>
    <row r="119" spans="1:7" ht="14.45" customHeight="1">
      <c r="A119" s="62" t="str">
        <f>IF(簿!M108="","",簿!M108)</f>
        <v/>
      </c>
      <c r="B119" s="63" t="str">
        <f>IF(簿!N108="","",簿!N108)</f>
        <v/>
      </c>
      <c r="C119" s="205" t="str">
        <f>IF(簿!O108="","",簿!O108)</f>
        <v/>
      </c>
      <c r="D119" s="64"/>
      <c r="E119" s="64">
        <f>IF(簿!P108="",0,簿!P108)</f>
        <v>0</v>
      </c>
      <c r="F119" s="64">
        <f>IF(簿!Q108="",0,簿!Q108)</f>
        <v>0</v>
      </c>
      <c r="G119" s="65" t="str">
        <f t="shared" si="3"/>
        <v/>
      </c>
    </row>
    <row r="120" spans="1:7" ht="14.45" customHeight="1">
      <c r="A120" s="62" t="str">
        <f>IF(簿!M109="","",簿!M109)</f>
        <v/>
      </c>
      <c r="B120" s="63" t="str">
        <f>IF(簿!N109="","",簿!N109)</f>
        <v/>
      </c>
      <c r="C120" s="205" t="str">
        <f>IF(簿!O109="","",簿!O109)</f>
        <v/>
      </c>
      <c r="D120" s="64"/>
      <c r="E120" s="64">
        <f>IF(簿!P109="",0,簿!P109)</f>
        <v>0</v>
      </c>
      <c r="F120" s="64">
        <f>IF(簿!Q109="",0,簿!Q109)</f>
        <v>0</v>
      </c>
      <c r="G120" s="65" t="str">
        <f t="shared" si="3"/>
        <v/>
      </c>
    </row>
    <row r="121" spans="1:7" ht="14.45" customHeight="1">
      <c r="A121" s="62" t="str">
        <f>IF(簿!M110="","",簿!M110)</f>
        <v/>
      </c>
      <c r="B121" s="63" t="str">
        <f>IF(簿!N110="","",簿!N110)</f>
        <v/>
      </c>
      <c r="C121" s="205" t="str">
        <f>IF(簿!O110="","",簿!O110)</f>
        <v/>
      </c>
      <c r="D121" s="64"/>
      <c r="E121" s="64">
        <f>IF(簿!P110="",0,簿!P110)</f>
        <v>0</v>
      </c>
      <c r="F121" s="64">
        <f>IF(簿!Q110="",0,簿!Q110)</f>
        <v>0</v>
      </c>
      <c r="G121" s="65" t="str">
        <f t="shared" si="3"/>
        <v/>
      </c>
    </row>
    <row r="122" spans="1:7" ht="14.45" customHeight="1">
      <c r="A122" s="62" t="str">
        <f>IF(簿!M111="","",簿!M111)</f>
        <v/>
      </c>
      <c r="B122" s="63" t="str">
        <f>IF(簿!N111="","",簿!N111)</f>
        <v/>
      </c>
      <c r="C122" s="205" t="str">
        <f>IF(簿!O111="","",簿!O111)</f>
        <v/>
      </c>
      <c r="D122" s="64"/>
      <c r="E122" s="64">
        <f>IF(簿!P111="",0,簿!P111)</f>
        <v>0</v>
      </c>
      <c r="F122" s="64">
        <f>IF(簿!Q111="",0,簿!Q111)</f>
        <v>0</v>
      </c>
      <c r="G122" s="65" t="str">
        <f t="shared" si="3"/>
        <v/>
      </c>
    </row>
    <row r="123" spans="1:7" ht="14.45" customHeight="1">
      <c r="A123" s="62" t="str">
        <f>IF(簿!M112="","",簿!M112)</f>
        <v/>
      </c>
      <c r="B123" s="63" t="str">
        <f>IF(簿!N112="","",簿!N112)</f>
        <v/>
      </c>
      <c r="C123" s="205" t="str">
        <f>IF(簿!O112="","",簿!O112)</f>
        <v/>
      </c>
      <c r="D123" s="64"/>
      <c r="E123" s="64">
        <f>IF(簿!P112="",0,簿!P112)</f>
        <v>0</v>
      </c>
      <c r="F123" s="64">
        <f>IF(簿!Q112="",0,簿!Q112)</f>
        <v>0</v>
      </c>
      <c r="G123" s="65" t="str">
        <f t="shared" si="3"/>
        <v/>
      </c>
    </row>
    <row r="124" spans="1:7" ht="14.45" customHeight="1">
      <c r="A124" s="62" t="str">
        <f>IF(簿!M113="","",簿!M113)</f>
        <v/>
      </c>
      <c r="B124" s="63" t="str">
        <f>IF(簿!N113="","",簿!N113)</f>
        <v/>
      </c>
      <c r="C124" s="205" t="str">
        <f>IF(簿!O113="","",簿!O113)</f>
        <v/>
      </c>
      <c r="D124" s="64"/>
      <c r="E124" s="64">
        <f>IF(簿!P113="",0,簿!P113)</f>
        <v>0</v>
      </c>
      <c r="F124" s="64">
        <f>IF(簿!Q113="",0,簿!Q113)</f>
        <v>0</v>
      </c>
      <c r="G124" s="65" t="str">
        <f t="shared" si="3"/>
        <v/>
      </c>
    </row>
    <row r="125" spans="1:7" ht="14.45" customHeight="1">
      <c r="A125" s="62" t="str">
        <f>IF(簿!M114="","",簿!M114)</f>
        <v/>
      </c>
      <c r="B125" s="63" t="str">
        <f>IF(簿!N114="","",簿!N114)</f>
        <v/>
      </c>
      <c r="C125" s="205" t="str">
        <f>IF(簿!O114="","",簿!O114)</f>
        <v/>
      </c>
      <c r="D125" s="64"/>
      <c r="E125" s="64">
        <f>IF(簿!P114="",0,簿!P114)</f>
        <v>0</v>
      </c>
      <c r="F125" s="64">
        <f>IF(簿!Q114="",0,簿!Q114)</f>
        <v>0</v>
      </c>
      <c r="G125" s="65" t="str">
        <f t="shared" si="3"/>
        <v/>
      </c>
    </row>
    <row r="126" spans="1:7" ht="14.45" customHeight="1">
      <c r="A126" s="62" t="str">
        <f>IF(簿!M115="","",簿!M115)</f>
        <v/>
      </c>
      <c r="B126" s="63" t="str">
        <f>IF(簿!N115="","",簿!N115)</f>
        <v/>
      </c>
      <c r="C126" s="205" t="str">
        <f>IF(簿!O115="","",簿!O115)</f>
        <v/>
      </c>
      <c r="D126" s="64"/>
      <c r="E126" s="64">
        <f>IF(簿!P115="",0,簿!P115)</f>
        <v>0</v>
      </c>
      <c r="F126" s="64">
        <f>IF(簿!Q115="",0,簿!Q115)</f>
        <v>0</v>
      </c>
      <c r="G126" s="65" t="str">
        <f t="shared" si="3"/>
        <v/>
      </c>
    </row>
    <row r="127" spans="1:7" ht="14.45" customHeight="1">
      <c r="A127" s="62" t="str">
        <f>IF(簿!M116="","",簿!M116)</f>
        <v/>
      </c>
      <c r="B127" s="63" t="str">
        <f>IF(簿!N116="","",簿!N116)</f>
        <v/>
      </c>
      <c r="C127" s="205" t="str">
        <f>IF(簿!O116="","",簿!O116)</f>
        <v/>
      </c>
      <c r="D127" s="64"/>
      <c r="E127" s="64">
        <f>IF(簿!P116="",0,簿!P116)</f>
        <v>0</v>
      </c>
      <c r="F127" s="64">
        <f>IF(簿!Q116="",0,簿!Q116)</f>
        <v>0</v>
      </c>
      <c r="G127" s="65" t="str">
        <f t="shared" si="3"/>
        <v/>
      </c>
    </row>
    <row r="128" spans="1:7" ht="14.45" customHeight="1">
      <c r="A128" s="62" t="str">
        <f>IF(簿!M117="","",簿!M117)</f>
        <v/>
      </c>
      <c r="B128" s="63" t="str">
        <f>IF(簿!N117="","",簿!N117)</f>
        <v/>
      </c>
      <c r="C128" s="205" t="str">
        <f>IF(簿!O117="","",簿!O117)</f>
        <v/>
      </c>
      <c r="D128" s="64"/>
      <c r="E128" s="64">
        <f>IF(簿!P117="",0,簿!P117)</f>
        <v>0</v>
      </c>
      <c r="F128" s="64">
        <f>IF(簿!Q117="",0,簿!Q117)</f>
        <v>0</v>
      </c>
      <c r="G128" s="65" t="str">
        <f t="shared" si="3"/>
        <v/>
      </c>
    </row>
    <row r="129" spans="1:7" ht="14.45" customHeight="1">
      <c r="A129" s="62" t="str">
        <f>IF(簿!M118="","",簿!M118)</f>
        <v/>
      </c>
      <c r="B129" s="63" t="str">
        <f>IF(簿!N118="","",簿!N118)</f>
        <v/>
      </c>
      <c r="C129" s="205" t="str">
        <f>IF(簿!O118="","",簿!O118)</f>
        <v/>
      </c>
      <c r="D129" s="64"/>
      <c r="E129" s="64">
        <f>IF(簿!P118="",0,簿!P118)</f>
        <v>0</v>
      </c>
      <c r="F129" s="64">
        <f>IF(簿!Q118="",0,簿!Q118)</f>
        <v>0</v>
      </c>
      <c r="G129" s="65" t="str">
        <f t="shared" si="3"/>
        <v/>
      </c>
    </row>
    <row r="130" spans="1:7" ht="14.45" customHeight="1">
      <c r="A130" s="62" t="str">
        <f>IF(簿!M119="","",簿!M119)</f>
        <v/>
      </c>
      <c r="B130" s="63" t="str">
        <f>IF(簿!N119="","",簿!N119)</f>
        <v/>
      </c>
      <c r="C130" s="205" t="str">
        <f>IF(簿!O119="","",簿!O119)</f>
        <v/>
      </c>
      <c r="D130" s="64"/>
      <c r="E130" s="64">
        <f>IF(簿!P119="",0,簿!P119)</f>
        <v>0</v>
      </c>
      <c r="F130" s="64">
        <f>IF(簿!Q119="",0,簿!Q119)</f>
        <v>0</v>
      </c>
      <c r="G130" s="65" t="str">
        <f t="shared" si="3"/>
        <v/>
      </c>
    </row>
    <row r="131" spans="1:7" ht="14.45" customHeight="1">
      <c r="A131" s="62" t="str">
        <f>IF(簿!M120="","",簿!M120)</f>
        <v/>
      </c>
      <c r="B131" s="63" t="str">
        <f>IF(簿!N120="","",簿!N120)</f>
        <v/>
      </c>
      <c r="C131" s="205" t="str">
        <f>IF(簿!O120="","",簿!O120)</f>
        <v/>
      </c>
      <c r="D131" s="64"/>
      <c r="E131" s="64">
        <f>IF(簿!P120="",0,簿!P120)</f>
        <v>0</v>
      </c>
      <c r="F131" s="64">
        <f>IF(簿!Q120="",0,簿!Q120)</f>
        <v>0</v>
      </c>
      <c r="G131" s="65" t="str">
        <f t="shared" si="3"/>
        <v/>
      </c>
    </row>
    <row r="132" spans="1:7" ht="14.45" customHeight="1">
      <c r="A132" s="62" t="str">
        <f>IF(簿!M121="","",簿!M121)</f>
        <v/>
      </c>
      <c r="B132" s="63" t="str">
        <f>IF(簿!N121="","",簿!N121)</f>
        <v/>
      </c>
      <c r="C132" s="205" t="str">
        <f>IF(簿!O121="","",簿!O121)</f>
        <v/>
      </c>
      <c r="D132" s="64"/>
      <c r="E132" s="64">
        <f>IF(簿!P121="",0,簿!P121)</f>
        <v>0</v>
      </c>
      <c r="F132" s="64">
        <f>IF(簿!Q121="",0,簿!Q121)</f>
        <v>0</v>
      </c>
      <c r="G132" s="65" t="str">
        <f t="shared" si="3"/>
        <v/>
      </c>
    </row>
    <row r="133" spans="1:7" ht="14.45" customHeight="1">
      <c r="A133" s="62" t="str">
        <f>IF(簿!M122="","",簿!M122)</f>
        <v/>
      </c>
      <c r="B133" s="63" t="str">
        <f>IF(簿!N122="","",簿!N122)</f>
        <v/>
      </c>
      <c r="C133" s="205" t="str">
        <f>IF(簿!O122="","",簿!O122)</f>
        <v/>
      </c>
      <c r="D133" s="64"/>
      <c r="E133" s="64">
        <f>IF(簿!P122="",0,簿!P122)</f>
        <v>0</v>
      </c>
      <c r="F133" s="64">
        <f>IF(簿!Q122="",0,簿!Q122)</f>
        <v>0</v>
      </c>
      <c r="G133" s="65" t="str">
        <f t="shared" si="3"/>
        <v/>
      </c>
    </row>
    <row r="134" spans="1:7" ht="14.45" customHeight="1">
      <c r="A134" s="62" t="str">
        <f>IF(簿!M123="","",簿!M123)</f>
        <v/>
      </c>
      <c r="B134" s="63" t="str">
        <f>IF(簿!N123="","",簿!N123)</f>
        <v/>
      </c>
      <c r="C134" s="205" t="str">
        <f>IF(簿!O123="","",簿!O123)</f>
        <v/>
      </c>
      <c r="D134" s="64"/>
      <c r="E134" s="64">
        <f>IF(簿!P123="",0,簿!P123)</f>
        <v>0</v>
      </c>
      <c r="F134" s="64">
        <f>IF(簿!Q123="",0,簿!Q123)</f>
        <v>0</v>
      </c>
      <c r="G134" s="65" t="str">
        <f t="shared" si="3"/>
        <v/>
      </c>
    </row>
    <row r="135" spans="1:7" ht="14.45" customHeight="1">
      <c r="A135" s="62" t="str">
        <f>IF(簿!M124="","",簿!M124)</f>
        <v/>
      </c>
      <c r="B135" s="63" t="str">
        <f>IF(簿!N124="","",簿!N124)</f>
        <v/>
      </c>
      <c r="C135" s="205" t="str">
        <f>IF(簿!O124="","",簿!O124)</f>
        <v/>
      </c>
      <c r="D135" s="64"/>
      <c r="E135" s="64">
        <f>IF(簿!P124="",0,簿!P124)</f>
        <v>0</v>
      </c>
      <c r="F135" s="64">
        <f>IF(簿!Q124="",0,簿!Q124)</f>
        <v>0</v>
      </c>
      <c r="G135" s="65" t="str">
        <f t="shared" si="3"/>
        <v/>
      </c>
    </row>
    <row r="136" spans="1:7" ht="14.45" customHeight="1">
      <c r="A136" s="62" t="str">
        <f>IF(簿!M125="","",簿!M125)</f>
        <v/>
      </c>
      <c r="B136" s="63" t="str">
        <f>IF(簿!N125="","",簿!N125)</f>
        <v/>
      </c>
      <c r="C136" s="205" t="str">
        <f>IF(簿!O125="","",簿!O125)</f>
        <v/>
      </c>
      <c r="D136" s="64"/>
      <c r="E136" s="64">
        <f>IF(簿!P125="",0,簿!P125)</f>
        <v>0</v>
      </c>
      <c r="F136" s="64">
        <f>IF(簿!Q125="",0,簿!Q125)</f>
        <v>0</v>
      </c>
      <c r="G136" s="65" t="str">
        <f t="shared" si="3"/>
        <v/>
      </c>
    </row>
    <row r="137" spans="1:7" ht="14.45" customHeight="1">
      <c r="A137" s="62" t="str">
        <f>IF(簿!M126="","",簿!M126)</f>
        <v/>
      </c>
      <c r="B137" s="63" t="str">
        <f>IF(簿!N126="","",簿!N126)</f>
        <v/>
      </c>
      <c r="C137" s="205" t="str">
        <f>IF(簿!O126="","",簿!O126)</f>
        <v/>
      </c>
      <c r="D137" s="64"/>
      <c r="E137" s="64">
        <f>IF(簿!P126="",0,簿!P126)</f>
        <v>0</v>
      </c>
      <c r="F137" s="64">
        <f>IF(簿!Q126="",0,簿!Q126)</f>
        <v>0</v>
      </c>
      <c r="G137" s="65" t="str">
        <f t="shared" si="3"/>
        <v/>
      </c>
    </row>
    <row r="138" spans="1:7" ht="14.45" customHeight="1">
      <c r="A138" s="62" t="str">
        <f>IF(簿!M127="","",簿!M127)</f>
        <v/>
      </c>
      <c r="B138" s="63" t="str">
        <f>IF(簿!N127="","",簿!N127)</f>
        <v/>
      </c>
      <c r="C138" s="205" t="str">
        <f>IF(簿!O127="","",簿!O127)</f>
        <v/>
      </c>
      <c r="D138" s="64"/>
      <c r="E138" s="64">
        <f>IF(簿!P127="",0,簿!P127)</f>
        <v>0</v>
      </c>
      <c r="F138" s="64">
        <f>IF(簿!Q127="",0,簿!Q127)</f>
        <v>0</v>
      </c>
      <c r="G138" s="65" t="str">
        <f t="shared" si="3"/>
        <v/>
      </c>
    </row>
    <row r="139" spans="1:7" ht="14.45" customHeight="1">
      <c r="A139" s="62" t="str">
        <f>IF(簿!M128="","",簿!M128)</f>
        <v/>
      </c>
      <c r="B139" s="63" t="str">
        <f>IF(簿!N128="","",簿!N128)</f>
        <v/>
      </c>
      <c r="C139" s="205" t="str">
        <f>IF(簿!O128="","",簿!O128)</f>
        <v/>
      </c>
      <c r="D139" s="64"/>
      <c r="E139" s="64">
        <f>IF(簿!P128="",0,簿!P128)</f>
        <v>0</v>
      </c>
      <c r="F139" s="64">
        <f>IF(簿!Q128="",0,簿!Q128)</f>
        <v>0</v>
      </c>
      <c r="G139" s="65" t="str">
        <f t="shared" si="3"/>
        <v/>
      </c>
    </row>
    <row r="140" spans="1:7" ht="14.45" customHeight="1">
      <c r="A140" s="62" t="str">
        <f>IF(簿!M129="","",簿!M129)</f>
        <v/>
      </c>
      <c r="B140" s="63" t="str">
        <f>IF(簿!N129="","",簿!N129)</f>
        <v/>
      </c>
      <c r="C140" s="205" t="str">
        <f>IF(簿!O129="","",簿!O129)</f>
        <v/>
      </c>
      <c r="D140" s="64"/>
      <c r="E140" s="64">
        <f>IF(簿!P129="",0,簿!P129)</f>
        <v>0</v>
      </c>
      <c r="F140" s="64">
        <f>IF(簿!Q129="",0,簿!Q129)</f>
        <v>0</v>
      </c>
      <c r="G140" s="65" t="str">
        <f t="shared" si="3"/>
        <v/>
      </c>
    </row>
    <row r="141" spans="1:7" ht="14.45" customHeight="1">
      <c r="A141" s="62" t="str">
        <f>IF(簿!M130="","",簿!M130)</f>
        <v/>
      </c>
      <c r="B141" s="63" t="str">
        <f>IF(簿!N130="","",簿!N130)</f>
        <v/>
      </c>
      <c r="C141" s="205" t="str">
        <f>IF(簿!O130="","",簿!O130)</f>
        <v/>
      </c>
      <c r="D141" s="64"/>
      <c r="E141" s="64">
        <f>IF(簿!P130="",0,簿!P130)</f>
        <v>0</v>
      </c>
      <c r="F141" s="64">
        <f>IF(簿!Q130="",0,簿!Q130)</f>
        <v>0</v>
      </c>
      <c r="G141" s="65" t="str">
        <f t="shared" si="3"/>
        <v/>
      </c>
    </row>
    <row r="142" spans="1:7" ht="14.45" customHeight="1">
      <c r="A142" s="62" t="str">
        <f>IF(簿!M131="","",簿!M131)</f>
        <v/>
      </c>
      <c r="B142" s="63" t="str">
        <f>IF(簿!N131="","",簿!N131)</f>
        <v/>
      </c>
      <c r="C142" s="205" t="str">
        <f>IF(簿!O131="","",簿!O131)</f>
        <v/>
      </c>
      <c r="D142" s="64"/>
      <c r="E142" s="64">
        <f>IF(簿!P131="",0,簿!P131)</f>
        <v>0</v>
      </c>
      <c r="F142" s="64">
        <f>IF(簿!Q131="",0,簿!Q131)</f>
        <v>0</v>
      </c>
      <c r="G142" s="65" t="str">
        <f t="shared" si="3"/>
        <v/>
      </c>
    </row>
    <row r="143" spans="1:7" ht="14.45" customHeight="1">
      <c r="A143" s="62" t="str">
        <f>IF(簿!M132="","",簿!M132)</f>
        <v/>
      </c>
      <c r="B143" s="63" t="str">
        <f>IF(簿!N132="","",簿!N132)</f>
        <v/>
      </c>
      <c r="C143" s="205" t="str">
        <f>IF(簿!O132="","",簿!O132)</f>
        <v/>
      </c>
      <c r="D143" s="64"/>
      <c r="E143" s="64">
        <f>IF(簿!P132="",0,簿!P132)</f>
        <v>0</v>
      </c>
      <c r="F143" s="64">
        <f>IF(簿!Q132="",0,簿!Q132)</f>
        <v>0</v>
      </c>
      <c r="G143" s="65" t="str">
        <f t="shared" si="3"/>
        <v/>
      </c>
    </row>
    <row r="144" spans="1:7" ht="14.45" customHeight="1">
      <c r="A144" s="62" t="str">
        <f>IF(簿!M133="","",簿!M133)</f>
        <v/>
      </c>
      <c r="B144" s="63" t="str">
        <f>IF(簿!N133="","",簿!N133)</f>
        <v/>
      </c>
      <c r="C144" s="205" t="str">
        <f>IF(簿!O133="","",簿!O133)</f>
        <v/>
      </c>
      <c r="D144" s="64"/>
      <c r="E144" s="64">
        <f>IF(簿!P133="",0,簿!P133)</f>
        <v>0</v>
      </c>
      <c r="F144" s="64">
        <f>IF(簿!Q133="",0,簿!Q133)</f>
        <v>0</v>
      </c>
      <c r="G144" s="65" t="str">
        <f t="shared" si="3"/>
        <v/>
      </c>
    </row>
    <row r="145" spans="1:7" ht="14.45" customHeight="1">
      <c r="A145" s="62" t="str">
        <f>IF(簿!M134="","",簿!M134)</f>
        <v/>
      </c>
      <c r="B145" s="63" t="str">
        <f>IF(簿!N134="","",簿!N134)</f>
        <v/>
      </c>
      <c r="C145" s="205" t="str">
        <f>IF(簿!O134="","",簿!O134)</f>
        <v/>
      </c>
      <c r="D145" s="64"/>
      <c r="E145" s="64">
        <f>IF(簿!P134="",0,簿!P134)</f>
        <v>0</v>
      </c>
      <c r="F145" s="64">
        <f>IF(簿!Q134="",0,簿!Q134)</f>
        <v>0</v>
      </c>
      <c r="G145" s="65" t="str">
        <f t="shared" si="3"/>
        <v/>
      </c>
    </row>
    <row r="146" spans="1:7" ht="14.45" customHeight="1">
      <c r="A146" s="62" t="str">
        <f>IF(簿!M135="","",簿!M135)</f>
        <v/>
      </c>
      <c r="B146" s="63" t="str">
        <f>IF(簿!N135="","",簿!N135)</f>
        <v/>
      </c>
      <c r="C146" s="205" t="str">
        <f>IF(簿!O135="","",簿!O135)</f>
        <v/>
      </c>
      <c r="D146" s="64"/>
      <c r="E146" s="64">
        <f>IF(簿!P135="",0,簿!P135)</f>
        <v>0</v>
      </c>
      <c r="F146" s="64">
        <f>IF(簿!Q135="",0,簿!Q135)</f>
        <v>0</v>
      </c>
      <c r="G146" s="65" t="str">
        <f t="shared" si="3"/>
        <v/>
      </c>
    </row>
    <row r="147" spans="1:7" ht="14.45" customHeight="1">
      <c r="A147" s="62" t="str">
        <f>IF(簿!M136="","",簿!M136)</f>
        <v/>
      </c>
      <c r="B147" s="63" t="str">
        <f>IF(簿!N136="","",簿!N136)</f>
        <v/>
      </c>
      <c r="C147" s="205" t="str">
        <f>IF(簿!O136="","",簿!O136)</f>
        <v/>
      </c>
      <c r="D147" s="64"/>
      <c r="E147" s="64">
        <f>IF(簿!P136="",0,簿!P136)</f>
        <v>0</v>
      </c>
      <c r="F147" s="64">
        <f>IF(簿!Q136="",0,簿!Q136)</f>
        <v>0</v>
      </c>
      <c r="G147" s="65" t="str">
        <f t="shared" si="3"/>
        <v/>
      </c>
    </row>
    <row r="148" spans="1:7" ht="14.45" customHeight="1">
      <c r="A148" s="62" t="str">
        <f>IF(簿!M137="","",簿!M137)</f>
        <v/>
      </c>
      <c r="B148" s="63" t="str">
        <f>IF(簿!N137="","",簿!N137)</f>
        <v/>
      </c>
      <c r="C148" s="205" t="str">
        <f>IF(簿!O137="","",簿!O137)</f>
        <v/>
      </c>
      <c r="D148" s="64"/>
      <c r="E148" s="64">
        <f>IF(簿!P137="",0,簿!P137)</f>
        <v>0</v>
      </c>
      <c r="F148" s="64">
        <f>IF(簿!Q137="",0,簿!Q137)</f>
        <v>0</v>
      </c>
      <c r="G148" s="65" t="str">
        <f t="shared" si="3"/>
        <v/>
      </c>
    </row>
    <row r="149" spans="1:7" ht="14.45" customHeight="1">
      <c r="A149" s="62" t="str">
        <f>IF(簿!M138="","",簿!M138)</f>
        <v/>
      </c>
      <c r="B149" s="63" t="str">
        <f>IF(簿!N138="","",簿!N138)</f>
        <v/>
      </c>
      <c r="C149" s="205" t="str">
        <f>IF(簿!O138="","",簿!O138)</f>
        <v/>
      </c>
      <c r="D149" s="64"/>
      <c r="E149" s="64">
        <f>IF(簿!P138="",0,簿!P138)</f>
        <v>0</v>
      </c>
      <c r="F149" s="64">
        <f>IF(簿!Q138="",0,簿!Q138)</f>
        <v>0</v>
      </c>
      <c r="G149" s="65" t="str">
        <f t="shared" si="3"/>
        <v/>
      </c>
    </row>
    <row r="150" spans="1:7" ht="14.45" customHeight="1">
      <c r="A150" s="62" t="str">
        <f>IF(簿!M139="","",簿!M139)</f>
        <v/>
      </c>
      <c r="B150" s="63" t="str">
        <f>IF(簿!N139="","",簿!N139)</f>
        <v/>
      </c>
      <c r="C150" s="205" t="str">
        <f>IF(簿!O139="","",簿!O139)</f>
        <v/>
      </c>
      <c r="D150" s="64"/>
      <c r="E150" s="64">
        <f>IF(簿!P139="",0,簿!P139)</f>
        <v>0</v>
      </c>
      <c r="F150" s="64">
        <f>IF(簿!Q139="",0,簿!Q139)</f>
        <v>0</v>
      </c>
      <c r="G150" s="65" t="str">
        <f t="shared" si="3"/>
        <v/>
      </c>
    </row>
    <row r="151" spans="1:7" ht="14.45" customHeight="1">
      <c r="A151" s="62" t="str">
        <f>IF(簿!M140="","",簿!M140)</f>
        <v/>
      </c>
      <c r="B151" s="63" t="str">
        <f>IF(簿!N140="","",簿!N140)</f>
        <v/>
      </c>
      <c r="C151" s="205" t="str">
        <f>IF(簿!O140="","",簿!O140)</f>
        <v/>
      </c>
      <c r="D151" s="64"/>
      <c r="E151" s="64">
        <f>IF(簿!P140="",0,簿!P140)</f>
        <v>0</v>
      </c>
      <c r="F151" s="64">
        <f>IF(簿!Q140="",0,簿!Q140)</f>
        <v>0</v>
      </c>
      <c r="G151" s="65" t="str">
        <f t="shared" si="3"/>
        <v/>
      </c>
    </row>
    <row r="152" spans="1:7" ht="14.45" customHeight="1">
      <c r="A152" s="62" t="str">
        <f>IF(簿!M141="","",簿!M141)</f>
        <v/>
      </c>
      <c r="B152" s="63" t="str">
        <f>IF(簿!N141="","",簿!N141)</f>
        <v/>
      </c>
      <c r="C152" s="205" t="str">
        <f>IF(簿!O141="","",簿!O141)</f>
        <v/>
      </c>
      <c r="D152" s="64"/>
      <c r="E152" s="64">
        <f>IF(簿!P141="",0,簿!P141)</f>
        <v>0</v>
      </c>
      <c r="F152" s="64">
        <f>IF(簿!Q141="",0,簿!Q141)</f>
        <v>0</v>
      </c>
      <c r="G152" s="65" t="str">
        <f t="shared" si="3"/>
        <v/>
      </c>
    </row>
    <row r="153" spans="1:7" ht="14.45" customHeight="1">
      <c r="A153" s="62" t="str">
        <f>IF(簿!M142="","",簿!M142)</f>
        <v/>
      </c>
      <c r="B153" s="63" t="str">
        <f>IF(簿!N142="","",簿!N142)</f>
        <v/>
      </c>
      <c r="C153" s="205" t="str">
        <f>IF(簿!O142="","",簿!O142)</f>
        <v/>
      </c>
      <c r="D153" s="64"/>
      <c r="E153" s="64">
        <f>IF(簿!P142="",0,簿!P142)</f>
        <v>0</v>
      </c>
      <c r="F153" s="64">
        <f>IF(簿!Q142="",0,簿!Q142)</f>
        <v>0</v>
      </c>
      <c r="G153" s="65" t="str">
        <f t="shared" si="3"/>
        <v/>
      </c>
    </row>
    <row r="154" spans="1:7" ht="14.45" customHeight="1">
      <c r="A154" s="62" t="str">
        <f>IF(簿!M143="","",簿!M143)</f>
        <v/>
      </c>
      <c r="B154" s="63" t="str">
        <f>IF(簿!N143="","",簿!N143)</f>
        <v/>
      </c>
      <c r="C154" s="205" t="str">
        <f>IF(簿!O143="","",簿!O143)</f>
        <v/>
      </c>
      <c r="D154" s="64"/>
      <c r="E154" s="64">
        <f>IF(簿!P143="",0,簿!P143)</f>
        <v>0</v>
      </c>
      <c r="F154" s="64">
        <f>IF(簿!Q143="",0,簿!Q143)</f>
        <v>0</v>
      </c>
      <c r="G154" s="65" t="str">
        <f t="shared" si="3"/>
        <v/>
      </c>
    </row>
    <row r="155" spans="1:7" ht="14.45" customHeight="1">
      <c r="A155" s="62" t="str">
        <f>IF(簿!M144="","",簿!M144)</f>
        <v/>
      </c>
      <c r="B155" s="63" t="str">
        <f>IF(簿!N144="","",簿!N144)</f>
        <v/>
      </c>
      <c r="C155" s="205" t="str">
        <f>IF(簿!O144="","",簿!O144)</f>
        <v/>
      </c>
      <c r="D155" s="64"/>
      <c r="E155" s="64">
        <f>IF(簿!P144="",0,簿!P144)</f>
        <v>0</v>
      </c>
      <c r="F155" s="64">
        <f>IF(簿!Q144="",0,簿!Q144)</f>
        <v>0</v>
      </c>
      <c r="G155" s="65" t="str">
        <f t="shared" si="3"/>
        <v/>
      </c>
    </row>
    <row r="156" spans="1:7" ht="14.45" customHeight="1">
      <c r="A156" s="62" t="str">
        <f>IF(簿!M145="","",簿!M145)</f>
        <v/>
      </c>
      <c r="B156" s="63" t="str">
        <f>IF(簿!N145="","",簿!N145)</f>
        <v/>
      </c>
      <c r="C156" s="205" t="str">
        <f>IF(簿!O145="","",簿!O145)</f>
        <v/>
      </c>
      <c r="D156" s="64"/>
      <c r="E156" s="64">
        <f>IF(簿!P145="",0,簿!P145)</f>
        <v>0</v>
      </c>
      <c r="F156" s="64">
        <f>IF(簿!Q145="",0,簿!Q145)</f>
        <v>0</v>
      </c>
      <c r="G156" s="65" t="str">
        <f t="shared" si="3"/>
        <v/>
      </c>
    </row>
    <row r="157" spans="1:7" ht="14.45" customHeight="1">
      <c r="A157" s="62" t="str">
        <f>IF(簿!M146="","",簿!M146)</f>
        <v/>
      </c>
      <c r="B157" s="63" t="str">
        <f>IF(簿!N146="","",簿!N146)</f>
        <v/>
      </c>
      <c r="C157" s="205" t="str">
        <f>IF(簿!O146="","",簿!O146)</f>
        <v/>
      </c>
      <c r="D157" s="64"/>
      <c r="E157" s="64">
        <f>IF(簿!P146="",0,簿!P146)</f>
        <v>0</v>
      </c>
      <c r="F157" s="64">
        <f>IF(簿!Q146="",0,簿!Q146)</f>
        <v>0</v>
      </c>
      <c r="G157" s="65" t="str">
        <f t="shared" si="3"/>
        <v/>
      </c>
    </row>
    <row r="158" spans="1:7" ht="14.45" customHeight="1">
      <c r="A158" s="62" t="str">
        <f>IF(簿!M147="","",簿!M147)</f>
        <v/>
      </c>
      <c r="B158" s="63" t="str">
        <f>IF(簿!N147="","",簿!N147)</f>
        <v/>
      </c>
      <c r="C158" s="205" t="str">
        <f>IF(簿!O147="","",簿!O147)</f>
        <v/>
      </c>
      <c r="D158" s="64"/>
      <c r="E158" s="64">
        <f>IF(簿!P147="",0,簿!P147)</f>
        <v>0</v>
      </c>
      <c r="F158" s="64">
        <f>IF(簿!Q147="",0,簿!Q147)</f>
        <v>0</v>
      </c>
      <c r="G158" s="65" t="str">
        <f t="shared" si="3"/>
        <v/>
      </c>
    </row>
    <row r="159" spans="1:7" ht="14.45" customHeight="1">
      <c r="A159" s="62" t="str">
        <f>IF(簿!M148="","",簿!M148)</f>
        <v/>
      </c>
      <c r="B159" s="63" t="str">
        <f>IF(簿!N148="","",簿!N148)</f>
        <v/>
      </c>
      <c r="C159" s="205" t="str">
        <f>IF(簿!O148="","",簿!O148)</f>
        <v/>
      </c>
      <c r="D159" s="64"/>
      <c r="E159" s="64">
        <f>IF(簿!P148="",0,簿!P148)</f>
        <v>0</v>
      </c>
      <c r="F159" s="64">
        <f>IF(簿!Q148="",0,簿!Q148)</f>
        <v>0</v>
      </c>
      <c r="G159" s="65" t="str">
        <f t="shared" si="3"/>
        <v/>
      </c>
    </row>
    <row r="160" spans="1:7" ht="14.45" customHeight="1">
      <c r="A160" s="62" t="str">
        <f>IF(簿!M149="","",簿!M149)</f>
        <v/>
      </c>
      <c r="B160" s="63" t="str">
        <f>IF(簿!N149="","",簿!N149)</f>
        <v/>
      </c>
      <c r="C160" s="205" t="str">
        <f>IF(簿!O149="","",簿!O149)</f>
        <v/>
      </c>
      <c r="D160" s="64"/>
      <c r="E160" s="64">
        <f>IF(簿!P149="",0,簿!P149)</f>
        <v>0</v>
      </c>
      <c r="F160" s="64">
        <f>IF(簿!Q149="",0,簿!Q149)</f>
        <v>0</v>
      </c>
      <c r="G160" s="65" t="str">
        <f t="shared" si="3"/>
        <v/>
      </c>
    </row>
    <row r="161" spans="1:7" ht="14.45" customHeight="1">
      <c r="A161" s="62" t="str">
        <f>IF(簿!M150="","",簿!M150)</f>
        <v/>
      </c>
      <c r="B161" s="63" t="str">
        <f>IF(簿!N150="","",簿!N150)</f>
        <v/>
      </c>
      <c r="C161" s="205" t="str">
        <f>IF(簿!O150="","",簿!O150)</f>
        <v/>
      </c>
      <c r="D161" s="64"/>
      <c r="E161" s="64">
        <f>IF(簿!P150="",0,簿!P150)</f>
        <v>0</v>
      </c>
      <c r="F161" s="64">
        <f>IF(簿!Q150="",0,簿!Q150)</f>
        <v>0</v>
      </c>
      <c r="G161" s="65" t="str">
        <f t="shared" si="3"/>
        <v/>
      </c>
    </row>
    <row r="162" spans="1:7" ht="14.45" customHeight="1">
      <c r="A162" s="62" t="str">
        <f>IF(簿!M151="","",簿!M151)</f>
        <v/>
      </c>
      <c r="B162" s="63" t="str">
        <f>IF(簿!N151="","",簿!N151)</f>
        <v/>
      </c>
      <c r="C162" s="205" t="str">
        <f>IF(簿!O151="","",簿!O151)</f>
        <v/>
      </c>
      <c r="D162" s="64"/>
      <c r="E162" s="64">
        <f>IF(簿!P151="",0,簿!P151)</f>
        <v>0</v>
      </c>
      <c r="F162" s="64">
        <f>IF(簿!Q151="",0,簿!Q151)</f>
        <v>0</v>
      </c>
      <c r="G162" s="65" t="str">
        <f t="shared" si="3"/>
        <v/>
      </c>
    </row>
    <row r="163" spans="1:7" ht="14.45" customHeight="1">
      <c r="A163" s="62" t="str">
        <f>IF(簿!M152="","",簿!M152)</f>
        <v/>
      </c>
      <c r="B163" s="63" t="str">
        <f>IF(簿!N152="","",簿!N152)</f>
        <v/>
      </c>
      <c r="C163" s="205" t="str">
        <f>IF(簿!O152="","",簿!O152)</f>
        <v/>
      </c>
      <c r="D163" s="64"/>
      <c r="E163" s="64">
        <f>IF(簿!P152="",0,簿!P152)</f>
        <v>0</v>
      </c>
      <c r="F163" s="64">
        <f>IF(簿!Q152="",0,簿!Q152)</f>
        <v>0</v>
      </c>
      <c r="G163" s="65" t="str">
        <f t="shared" si="3"/>
        <v/>
      </c>
    </row>
    <row r="164" spans="1:7" ht="14.45" customHeight="1">
      <c r="A164" s="62" t="str">
        <f>IF(簿!M153="","",簿!M153)</f>
        <v/>
      </c>
      <c r="B164" s="63" t="str">
        <f>IF(簿!N153="","",簿!N153)</f>
        <v/>
      </c>
      <c r="C164" s="205" t="str">
        <f>IF(簿!O153="","",簿!O153)</f>
        <v/>
      </c>
      <c r="D164" s="64"/>
      <c r="E164" s="64">
        <f>IF(簿!P153="",0,簿!P153)</f>
        <v>0</v>
      </c>
      <c r="F164" s="64">
        <f>IF(簿!Q153="",0,簿!Q153)</f>
        <v>0</v>
      </c>
      <c r="G164" s="65" t="str">
        <f t="shared" si="3"/>
        <v/>
      </c>
    </row>
    <row r="165" spans="1:7" ht="14.45" customHeight="1">
      <c r="A165" s="62" t="str">
        <f>IF(簿!M154="","",簿!M154)</f>
        <v/>
      </c>
      <c r="B165" s="63" t="str">
        <f>IF(簿!N154="","",簿!N154)</f>
        <v/>
      </c>
      <c r="C165" s="205" t="str">
        <f>IF(簿!O154="","",簿!O154)</f>
        <v/>
      </c>
      <c r="D165" s="64"/>
      <c r="E165" s="64">
        <f>IF(簿!P154="",0,簿!P154)</f>
        <v>0</v>
      </c>
      <c r="F165" s="64">
        <f>IF(簿!Q154="",0,簿!Q154)</f>
        <v>0</v>
      </c>
      <c r="G165" s="65" t="str">
        <f t="shared" si="3"/>
        <v/>
      </c>
    </row>
    <row r="166" spans="1:7">
      <c r="A166" s="433" t="s">
        <v>21</v>
      </c>
      <c r="B166" s="434"/>
      <c r="C166" s="435"/>
      <c r="D166" s="57"/>
      <c r="E166" s="57">
        <f>SUM(E116:E165)</f>
        <v>0</v>
      </c>
      <c r="F166" s="57">
        <f>SUM(F116:F165)</f>
        <v>0</v>
      </c>
      <c r="G166" s="58"/>
    </row>
    <row r="167" spans="1:7">
      <c r="A167" s="425" t="str">
        <f>IF(簿!M205&lt;150,"合　　　　　　　　　計","")</f>
        <v>合　　　　　　　　　計</v>
      </c>
      <c r="B167" s="426"/>
      <c r="C167" s="427"/>
      <c r="D167" s="59">
        <f>IF(簿!M205&lt;150,D6,0)</f>
        <v>0</v>
      </c>
      <c r="E167" s="59">
        <f>IF(簿!M205&lt;150,E56+E111+E166,0)</f>
        <v>0</v>
      </c>
      <c r="F167" s="59">
        <f>IF(簿!M205&lt;150,F56+F111+F166,0)</f>
        <v>0</v>
      </c>
      <c r="G167" s="60">
        <f>IF(簿!M205&lt;150,D167-E167-F167,0)</f>
        <v>0</v>
      </c>
    </row>
    <row r="168" spans="1:7" ht="16.5" customHeight="1">
      <c r="A168" s="98" t="str">
        <f>A3</f>
        <v>その他の経費（対象外）</v>
      </c>
    </row>
    <row r="169" spans="1:7" ht="15.75" customHeight="1">
      <c r="G169" s="13">
        <v>4</v>
      </c>
    </row>
    <row r="170" spans="1:7" ht="13.5" customHeight="1">
      <c r="A170" s="28" t="s">
        <v>16</v>
      </c>
      <c r="B170" s="428" t="s">
        <v>20</v>
      </c>
      <c r="C170" s="429"/>
      <c r="D170" s="15" t="s">
        <v>8</v>
      </c>
      <c r="E170" s="15" t="s">
        <v>23</v>
      </c>
      <c r="F170" s="16" t="s">
        <v>13</v>
      </c>
      <c r="G170" s="17" t="str">
        <f>IF(簿!M4&gt;9,"差引残額","収入未済額")</f>
        <v>差引残額</v>
      </c>
    </row>
    <row r="171" spans="1:7" ht="14.45" customHeight="1">
      <c r="A171" s="29" t="str">
        <f>IF(簿!M155="","",簿!M155)</f>
        <v/>
      </c>
      <c r="B171" s="18" t="str">
        <f>IF(簿!N155="","",簿!N155)</f>
        <v/>
      </c>
      <c r="C171" s="204" t="str">
        <f>IF(簿!O155="","",簿!O155)</f>
        <v/>
      </c>
      <c r="D171" s="53"/>
      <c r="E171" s="53">
        <f>IF(簿!P155="",0,簿!P155)</f>
        <v>0</v>
      </c>
      <c r="F171" s="53">
        <f>IF(簿!Q155="",0,簿!Q155)</f>
        <v>0</v>
      </c>
      <c r="G171" s="54" t="str">
        <f>IF(A171="","",G165-E171-F171)</f>
        <v/>
      </c>
    </row>
    <row r="172" spans="1:7" ht="14.45" customHeight="1">
      <c r="A172" s="62" t="str">
        <f>IF(簿!M156="","",簿!M156)</f>
        <v/>
      </c>
      <c r="B172" s="63" t="str">
        <f>IF(簿!N156="","",簿!N156)</f>
        <v/>
      </c>
      <c r="C172" s="205" t="str">
        <f>IF(簿!O156="","",簿!O156)</f>
        <v/>
      </c>
      <c r="D172" s="64"/>
      <c r="E172" s="64">
        <f>IF(簿!P156="",0,簿!P156)</f>
        <v>0</v>
      </c>
      <c r="F172" s="64">
        <f>IF(簿!Q156="",0,簿!Q156)</f>
        <v>0</v>
      </c>
      <c r="G172" s="65" t="str">
        <f>IF(A172="","",G171-E172-F172)</f>
        <v/>
      </c>
    </row>
    <row r="173" spans="1:7" ht="14.45" customHeight="1">
      <c r="A173" s="62" t="str">
        <f>IF(簿!M157="","",簿!M157)</f>
        <v/>
      </c>
      <c r="B173" s="63" t="str">
        <f>IF(簿!N157="","",簿!N157)</f>
        <v/>
      </c>
      <c r="C173" s="205" t="str">
        <f>IF(簿!O157="","",簿!O157)</f>
        <v/>
      </c>
      <c r="D173" s="64"/>
      <c r="E173" s="64">
        <f>IF(簿!P157="",0,簿!P157)</f>
        <v>0</v>
      </c>
      <c r="F173" s="64">
        <f>IF(簿!Q157="",0,簿!Q157)</f>
        <v>0</v>
      </c>
      <c r="G173" s="65" t="str">
        <f t="shared" ref="G173:G220" si="4">IF(A173="","",G172-E173-F173)</f>
        <v/>
      </c>
    </row>
    <row r="174" spans="1:7" ht="14.45" customHeight="1">
      <c r="A174" s="62" t="str">
        <f>IF(簿!M158="","",簿!M158)</f>
        <v/>
      </c>
      <c r="B174" s="63" t="str">
        <f>IF(簿!N158="","",簿!N158)</f>
        <v/>
      </c>
      <c r="C174" s="205" t="str">
        <f>IF(簿!O158="","",簿!O158)</f>
        <v/>
      </c>
      <c r="D174" s="64"/>
      <c r="E174" s="64">
        <f>IF(簿!P158="",0,簿!P158)</f>
        <v>0</v>
      </c>
      <c r="F174" s="64">
        <f>IF(簿!Q158="",0,簿!Q158)</f>
        <v>0</v>
      </c>
      <c r="G174" s="65" t="str">
        <f t="shared" si="4"/>
        <v/>
      </c>
    </row>
    <row r="175" spans="1:7" ht="14.45" customHeight="1">
      <c r="A175" s="62" t="str">
        <f>IF(簿!M159="","",簿!M159)</f>
        <v/>
      </c>
      <c r="B175" s="63" t="str">
        <f>IF(簿!N159="","",簿!N159)</f>
        <v/>
      </c>
      <c r="C175" s="205" t="str">
        <f>IF(簿!O159="","",簿!O159)</f>
        <v/>
      </c>
      <c r="D175" s="64"/>
      <c r="E175" s="64">
        <f>IF(簿!P159="",0,簿!P159)</f>
        <v>0</v>
      </c>
      <c r="F175" s="64">
        <f>IF(簿!Q159="",0,簿!Q159)</f>
        <v>0</v>
      </c>
      <c r="G175" s="65" t="str">
        <f t="shared" si="4"/>
        <v/>
      </c>
    </row>
    <row r="176" spans="1:7" ht="14.45" customHeight="1">
      <c r="A176" s="62" t="str">
        <f>IF(簿!M160="","",簿!M160)</f>
        <v/>
      </c>
      <c r="B176" s="63" t="str">
        <f>IF(簿!N160="","",簿!N160)</f>
        <v/>
      </c>
      <c r="C176" s="205" t="str">
        <f>IF(簿!O160="","",簿!O160)</f>
        <v/>
      </c>
      <c r="D176" s="64"/>
      <c r="E176" s="64">
        <f>IF(簿!P160="",0,簿!P160)</f>
        <v>0</v>
      </c>
      <c r="F176" s="64">
        <f>IF(簿!Q160="",0,簿!Q160)</f>
        <v>0</v>
      </c>
      <c r="G176" s="65" t="str">
        <f t="shared" si="4"/>
        <v/>
      </c>
    </row>
    <row r="177" spans="1:7" ht="14.45" customHeight="1">
      <c r="A177" s="62" t="str">
        <f>IF(簿!M161="","",簿!M161)</f>
        <v/>
      </c>
      <c r="B177" s="63" t="str">
        <f>IF(簿!N161="","",簿!N161)</f>
        <v/>
      </c>
      <c r="C177" s="205" t="str">
        <f>IF(簿!O161="","",簿!O161)</f>
        <v/>
      </c>
      <c r="D177" s="64"/>
      <c r="E177" s="64">
        <f>IF(簿!P161="",0,簿!P161)</f>
        <v>0</v>
      </c>
      <c r="F177" s="64">
        <f>IF(簿!Q161="",0,簿!Q161)</f>
        <v>0</v>
      </c>
      <c r="G177" s="65" t="str">
        <f t="shared" si="4"/>
        <v/>
      </c>
    </row>
    <row r="178" spans="1:7" ht="14.45" customHeight="1">
      <c r="A178" s="62" t="str">
        <f>IF(簿!M162="","",簿!M162)</f>
        <v/>
      </c>
      <c r="B178" s="63" t="str">
        <f>IF(簿!N162="","",簿!N162)</f>
        <v/>
      </c>
      <c r="C178" s="205" t="str">
        <f>IF(簿!O162="","",簿!O162)</f>
        <v/>
      </c>
      <c r="D178" s="64"/>
      <c r="E178" s="64">
        <f>IF(簿!P162="",0,簿!P162)</f>
        <v>0</v>
      </c>
      <c r="F178" s="64">
        <f>IF(簿!Q162="",0,簿!Q162)</f>
        <v>0</v>
      </c>
      <c r="G178" s="65" t="str">
        <f t="shared" si="4"/>
        <v/>
      </c>
    </row>
    <row r="179" spans="1:7" ht="14.45" customHeight="1">
      <c r="A179" s="62" t="str">
        <f>IF(簿!M163="","",簿!M163)</f>
        <v/>
      </c>
      <c r="B179" s="63" t="str">
        <f>IF(簿!N163="","",簿!N163)</f>
        <v/>
      </c>
      <c r="C179" s="205" t="str">
        <f>IF(簿!O163="","",簿!O163)</f>
        <v/>
      </c>
      <c r="D179" s="64"/>
      <c r="E179" s="64">
        <f>IF(簿!P163="",0,簿!P163)</f>
        <v>0</v>
      </c>
      <c r="F179" s="64">
        <f>IF(簿!Q163="",0,簿!Q163)</f>
        <v>0</v>
      </c>
      <c r="G179" s="65" t="str">
        <f t="shared" si="4"/>
        <v/>
      </c>
    </row>
    <row r="180" spans="1:7" ht="14.45" customHeight="1">
      <c r="A180" s="62" t="str">
        <f>IF(簿!M164="","",簿!M164)</f>
        <v/>
      </c>
      <c r="B180" s="63" t="str">
        <f>IF(簿!N164="","",簿!N164)</f>
        <v/>
      </c>
      <c r="C180" s="205" t="str">
        <f>IF(簿!O164="","",簿!O164)</f>
        <v/>
      </c>
      <c r="D180" s="64"/>
      <c r="E180" s="64">
        <f>IF(簿!P164="",0,簿!P164)</f>
        <v>0</v>
      </c>
      <c r="F180" s="64">
        <f>IF(簿!Q164="",0,簿!Q164)</f>
        <v>0</v>
      </c>
      <c r="G180" s="65" t="str">
        <f t="shared" si="4"/>
        <v/>
      </c>
    </row>
    <row r="181" spans="1:7" ht="14.45" customHeight="1">
      <c r="A181" s="62" t="str">
        <f>IF(簿!M165="","",簿!M165)</f>
        <v/>
      </c>
      <c r="B181" s="63" t="str">
        <f>IF(簿!N165="","",簿!N165)</f>
        <v/>
      </c>
      <c r="C181" s="205" t="str">
        <f>IF(簿!O165="","",簿!O165)</f>
        <v/>
      </c>
      <c r="D181" s="64"/>
      <c r="E181" s="64">
        <f>IF(簿!P165="",0,簿!P165)</f>
        <v>0</v>
      </c>
      <c r="F181" s="64">
        <f>IF(簿!Q165="",0,簿!Q165)</f>
        <v>0</v>
      </c>
      <c r="G181" s="65" t="str">
        <f t="shared" si="4"/>
        <v/>
      </c>
    </row>
    <row r="182" spans="1:7" ht="14.45" customHeight="1">
      <c r="A182" s="62" t="str">
        <f>IF(簿!M166="","",簿!M166)</f>
        <v/>
      </c>
      <c r="B182" s="63" t="str">
        <f>IF(簿!N166="","",簿!N166)</f>
        <v/>
      </c>
      <c r="C182" s="205" t="str">
        <f>IF(簿!O166="","",簿!O166)</f>
        <v/>
      </c>
      <c r="D182" s="64"/>
      <c r="E182" s="64">
        <f>IF(簿!P166="",0,簿!P166)</f>
        <v>0</v>
      </c>
      <c r="F182" s="64">
        <f>IF(簿!Q166="",0,簿!Q166)</f>
        <v>0</v>
      </c>
      <c r="G182" s="65" t="str">
        <f t="shared" si="4"/>
        <v/>
      </c>
    </row>
    <row r="183" spans="1:7" ht="14.45" customHeight="1">
      <c r="A183" s="62" t="str">
        <f>IF(簿!M167="","",簿!M167)</f>
        <v/>
      </c>
      <c r="B183" s="63" t="str">
        <f>IF(簿!N167="","",簿!N167)</f>
        <v/>
      </c>
      <c r="C183" s="205" t="str">
        <f>IF(簿!O167="","",簿!O167)</f>
        <v/>
      </c>
      <c r="D183" s="64"/>
      <c r="E183" s="64">
        <f>IF(簿!P167="",0,簿!P167)</f>
        <v>0</v>
      </c>
      <c r="F183" s="64">
        <f>IF(簿!Q167="",0,簿!Q167)</f>
        <v>0</v>
      </c>
      <c r="G183" s="65" t="str">
        <f t="shared" si="4"/>
        <v/>
      </c>
    </row>
    <row r="184" spans="1:7" ht="14.45" customHeight="1">
      <c r="A184" s="62" t="str">
        <f>IF(簿!M168="","",簿!M168)</f>
        <v/>
      </c>
      <c r="B184" s="63" t="str">
        <f>IF(簿!N168="","",簿!N168)</f>
        <v/>
      </c>
      <c r="C184" s="205" t="str">
        <f>IF(簿!O168="","",簿!O168)</f>
        <v/>
      </c>
      <c r="D184" s="64"/>
      <c r="E184" s="64">
        <f>IF(簿!P168="",0,簿!P168)</f>
        <v>0</v>
      </c>
      <c r="F184" s="64">
        <f>IF(簿!Q168="",0,簿!Q168)</f>
        <v>0</v>
      </c>
      <c r="G184" s="65" t="str">
        <f t="shared" si="4"/>
        <v/>
      </c>
    </row>
    <row r="185" spans="1:7" ht="14.45" customHeight="1">
      <c r="A185" s="62" t="str">
        <f>IF(簿!M169="","",簿!M169)</f>
        <v/>
      </c>
      <c r="B185" s="63" t="str">
        <f>IF(簿!N169="","",簿!N169)</f>
        <v/>
      </c>
      <c r="C185" s="205" t="str">
        <f>IF(簿!O169="","",簿!O169)</f>
        <v/>
      </c>
      <c r="D185" s="64"/>
      <c r="E185" s="64">
        <f>IF(簿!P169="",0,簿!P169)</f>
        <v>0</v>
      </c>
      <c r="F185" s="64">
        <f>IF(簿!Q169="",0,簿!Q169)</f>
        <v>0</v>
      </c>
      <c r="G185" s="65" t="str">
        <f t="shared" si="4"/>
        <v/>
      </c>
    </row>
    <row r="186" spans="1:7" ht="14.45" customHeight="1">
      <c r="A186" s="62" t="str">
        <f>IF(簿!M170="","",簿!M170)</f>
        <v/>
      </c>
      <c r="B186" s="63" t="str">
        <f>IF(簿!N170="","",簿!N170)</f>
        <v/>
      </c>
      <c r="C186" s="205" t="str">
        <f>IF(簿!O170="","",簿!O170)</f>
        <v/>
      </c>
      <c r="D186" s="64"/>
      <c r="E186" s="64">
        <f>IF(簿!P170="",0,簿!P170)</f>
        <v>0</v>
      </c>
      <c r="F186" s="64">
        <f>IF(簿!Q170="",0,簿!Q170)</f>
        <v>0</v>
      </c>
      <c r="G186" s="65" t="str">
        <f t="shared" si="4"/>
        <v/>
      </c>
    </row>
    <row r="187" spans="1:7" ht="14.45" customHeight="1">
      <c r="A187" s="62" t="str">
        <f>IF(簿!M171="","",簿!M171)</f>
        <v/>
      </c>
      <c r="B187" s="63" t="str">
        <f>IF(簿!N171="","",簿!N171)</f>
        <v/>
      </c>
      <c r="C187" s="205" t="str">
        <f>IF(簿!O171="","",簿!O171)</f>
        <v/>
      </c>
      <c r="D187" s="64"/>
      <c r="E187" s="64">
        <f>IF(簿!P171="",0,簿!P171)</f>
        <v>0</v>
      </c>
      <c r="F187" s="64">
        <f>IF(簿!Q171="",0,簿!Q171)</f>
        <v>0</v>
      </c>
      <c r="G187" s="65" t="str">
        <f t="shared" si="4"/>
        <v/>
      </c>
    </row>
    <row r="188" spans="1:7" ht="14.45" customHeight="1">
      <c r="A188" s="62" t="str">
        <f>IF(簿!M172="","",簿!M172)</f>
        <v/>
      </c>
      <c r="B188" s="63" t="str">
        <f>IF(簿!N172="","",簿!N172)</f>
        <v/>
      </c>
      <c r="C188" s="205" t="str">
        <f>IF(簿!O172="","",簿!O172)</f>
        <v/>
      </c>
      <c r="D188" s="64"/>
      <c r="E188" s="64">
        <f>IF(簿!P172="",0,簿!P172)</f>
        <v>0</v>
      </c>
      <c r="F188" s="64">
        <f>IF(簿!Q172="",0,簿!Q172)</f>
        <v>0</v>
      </c>
      <c r="G188" s="65" t="str">
        <f t="shared" si="4"/>
        <v/>
      </c>
    </row>
    <row r="189" spans="1:7" ht="14.45" customHeight="1">
      <c r="A189" s="62" t="str">
        <f>IF(簿!M173="","",簿!M173)</f>
        <v/>
      </c>
      <c r="B189" s="63" t="str">
        <f>IF(簿!N173="","",簿!N173)</f>
        <v/>
      </c>
      <c r="C189" s="205" t="str">
        <f>IF(簿!O173="","",簿!O173)</f>
        <v/>
      </c>
      <c r="D189" s="64"/>
      <c r="E189" s="64">
        <f>IF(簿!P173="",0,簿!P173)</f>
        <v>0</v>
      </c>
      <c r="F189" s="64">
        <f>IF(簿!Q173="",0,簿!Q173)</f>
        <v>0</v>
      </c>
      <c r="G189" s="65" t="str">
        <f t="shared" si="4"/>
        <v/>
      </c>
    </row>
    <row r="190" spans="1:7" ht="14.45" customHeight="1">
      <c r="A190" s="62" t="str">
        <f>IF(簿!M174="","",簿!M174)</f>
        <v/>
      </c>
      <c r="B190" s="63" t="str">
        <f>IF(簿!N174="","",簿!N174)</f>
        <v/>
      </c>
      <c r="C190" s="205" t="str">
        <f>IF(簿!O174="","",簿!O174)</f>
        <v/>
      </c>
      <c r="D190" s="64"/>
      <c r="E190" s="64">
        <f>IF(簿!P174="",0,簿!P174)</f>
        <v>0</v>
      </c>
      <c r="F190" s="64">
        <f>IF(簿!Q174="",0,簿!Q174)</f>
        <v>0</v>
      </c>
      <c r="G190" s="65" t="str">
        <f t="shared" si="4"/>
        <v/>
      </c>
    </row>
    <row r="191" spans="1:7" ht="14.45" customHeight="1">
      <c r="A191" s="62" t="str">
        <f>IF(簿!M175="","",簿!M175)</f>
        <v/>
      </c>
      <c r="B191" s="63" t="str">
        <f>IF(簿!N175="","",簿!N175)</f>
        <v/>
      </c>
      <c r="C191" s="205" t="str">
        <f>IF(簿!O175="","",簿!O175)</f>
        <v/>
      </c>
      <c r="D191" s="64"/>
      <c r="E191" s="64">
        <f>IF(簿!P175="",0,簿!P175)</f>
        <v>0</v>
      </c>
      <c r="F191" s="64">
        <f>IF(簿!Q175="",0,簿!Q175)</f>
        <v>0</v>
      </c>
      <c r="G191" s="65" t="str">
        <f t="shared" si="4"/>
        <v/>
      </c>
    </row>
    <row r="192" spans="1:7" ht="14.45" customHeight="1">
      <c r="A192" s="62" t="str">
        <f>IF(簿!M176="","",簿!M176)</f>
        <v/>
      </c>
      <c r="B192" s="63" t="str">
        <f>IF(簿!N176="","",簿!N176)</f>
        <v/>
      </c>
      <c r="C192" s="205" t="str">
        <f>IF(簿!O176="","",簿!O176)</f>
        <v/>
      </c>
      <c r="D192" s="64"/>
      <c r="E192" s="64">
        <f>IF(簿!P176="",0,簿!P176)</f>
        <v>0</v>
      </c>
      <c r="F192" s="64">
        <f>IF(簿!Q176="",0,簿!Q176)</f>
        <v>0</v>
      </c>
      <c r="G192" s="65" t="str">
        <f t="shared" si="4"/>
        <v/>
      </c>
    </row>
    <row r="193" spans="1:7" ht="14.45" customHeight="1">
      <c r="A193" s="62" t="str">
        <f>IF(簿!M177="","",簿!M177)</f>
        <v/>
      </c>
      <c r="B193" s="63" t="str">
        <f>IF(簿!N177="","",簿!N177)</f>
        <v/>
      </c>
      <c r="C193" s="205" t="str">
        <f>IF(簿!O177="","",簿!O177)</f>
        <v/>
      </c>
      <c r="D193" s="64"/>
      <c r="E193" s="64">
        <f>IF(簿!P177="",0,簿!P177)</f>
        <v>0</v>
      </c>
      <c r="F193" s="64">
        <f>IF(簿!Q177="",0,簿!Q177)</f>
        <v>0</v>
      </c>
      <c r="G193" s="65" t="str">
        <f t="shared" si="4"/>
        <v/>
      </c>
    </row>
    <row r="194" spans="1:7" ht="14.45" customHeight="1">
      <c r="A194" s="62" t="str">
        <f>IF(簿!M178="","",簿!M178)</f>
        <v/>
      </c>
      <c r="B194" s="63" t="str">
        <f>IF(簿!N178="","",簿!N178)</f>
        <v/>
      </c>
      <c r="C194" s="205" t="str">
        <f>IF(簿!O178="","",簿!O178)</f>
        <v/>
      </c>
      <c r="D194" s="64"/>
      <c r="E194" s="64">
        <f>IF(簿!P178="",0,簿!P178)</f>
        <v>0</v>
      </c>
      <c r="F194" s="64">
        <f>IF(簿!Q178="",0,簿!Q178)</f>
        <v>0</v>
      </c>
      <c r="G194" s="65" t="str">
        <f t="shared" si="4"/>
        <v/>
      </c>
    </row>
    <row r="195" spans="1:7" ht="14.45" customHeight="1">
      <c r="A195" s="62" t="str">
        <f>IF(簿!M179="","",簿!M179)</f>
        <v/>
      </c>
      <c r="B195" s="63" t="str">
        <f>IF(簿!N179="","",簿!N179)</f>
        <v/>
      </c>
      <c r="C195" s="205" t="str">
        <f>IF(簿!O179="","",簿!O179)</f>
        <v/>
      </c>
      <c r="D195" s="64"/>
      <c r="E195" s="64">
        <f>IF(簿!P179="",0,簿!P179)</f>
        <v>0</v>
      </c>
      <c r="F195" s="64">
        <f>IF(簿!Q179="",0,簿!Q179)</f>
        <v>0</v>
      </c>
      <c r="G195" s="65" t="str">
        <f t="shared" si="4"/>
        <v/>
      </c>
    </row>
    <row r="196" spans="1:7" ht="14.45" customHeight="1">
      <c r="A196" s="62" t="str">
        <f>IF(簿!M180="","",簿!M180)</f>
        <v/>
      </c>
      <c r="B196" s="63" t="str">
        <f>IF(簿!N180="","",簿!N180)</f>
        <v/>
      </c>
      <c r="C196" s="205" t="str">
        <f>IF(簿!O180="","",簿!O180)</f>
        <v/>
      </c>
      <c r="D196" s="64"/>
      <c r="E196" s="64">
        <f>IF(簿!P180="",0,簿!P180)</f>
        <v>0</v>
      </c>
      <c r="F196" s="64">
        <f>IF(簿!Q180="",0,簿!Q180)</f>
        <v>0</v>
      </c>
      <c r="G196" s="65" t="str">
        <f t="shared" si="4"/>
        <v/>
      </c>
    </row>
    <row r="197" spans="1:7" ht="14.45" customHeight="1">
      <c r="A197" s="62" t="str">
        <f>IF(簿!M181="","",簿!M181)</f>
        <v/>
      </c>
      <c r="B197" s="63" t="str">
        <f>IF(簿!N181="","",簿!N181)</f>
        <v/>
      </c>
      <c r="C197" s="205" t="str">
        <f>IF(簿!O181="","",簿!O181)</f>
        <v/>
      </c>
      <c r="D197" s="64"/>
      <c r="E197" s="64">
        <f>IF(簿!P181="",0,簿!P181)</f>
        <v>0</v>
      </c>
      <c r="F197" s="64">
        <f>IF(簿!Q181="",0,簿!Q181)</f>
        <v>0</v>
      </c>
      <c r="G197" s="65" t="str">
        <f t="shared" si="4"/>
        <v/>
      </c>
    </row>
    <row r="198" spans="1:7" ht="14.45" customHeight="1">
      <c r="A198" s="62" t="str">
        <f>IF(簿!M182="","",簿!M182)</f>
        <v/>
      </c>
      <c r="B198" s="63" t="str">
        <f>IF(簿!N182="","",簿!N182)</f>
        <v/>
      </c>
      <c r="C198" s="205" t="str">
        <f>IF(簿!O182="","",簿!O182)</f>
        <v/>
      </c>
      <c r="D198" s="64"/>
      <c r="E198" s="64">
        <f>IF(簿!P182="",0,簿!P182)</f>
        <v>0</v>
      </c>
      <c r="F198" s="64">
        <f>IF(簿!Q182="",0,簿!Q182)</f>
        <v>0</v>
      </c>
      <c r="G198" s="65" t="str">
        <f t="shared" si="4"/>
        <v/>
      </c>
    </row>
    <row r="199" spans="1:7" ht="14.45" customHeight="1">
      <c r="A199" s="62" t="str">
        <f>IF(簿!M183="","",簿!M183)</f>
        <v/>
      </c>
      <c r="B199" s="63" t="str">
        <f>IF(簿!N183="","",簿!N183)</f>
        <v/>
      </c>
      <c r="C199" s="205" t="str">
        <f>IF(簿!O183="","",簿!O183)</f>
        <v/>
      </c>
      <c r="D199" s="64"/>
      <c r="E199" s="64">
        <f>IF(簿!P183="",0,簿!P183)</f>
        <v>0</v>
      </c>
      <c r="F199" s="64">
        <f>IF(簿!Q183="",0,簿!Q183)</f>
        <v>0</v>
      </c>
      <c r="G199" s="65" t="str">
        <f t="shared" si="4"/>
        <v/>
      </c>
    </row>
    <row r="200" spans="1:7" ht="14.45" customHeight="1">
      <c r="A200" s="62" t="str">
        <f>IF(簿!M184="","",簿!M184)</f>
        <v/>
      </c>
      <c r="B200" s="63" t="str">
        <f>IF(簿!N184="","",簿!N184)</f>
        <v/>
      </c>
      <c r="C200" s="205" t="str">
        <f>IF(簿!O184="","",簿!O184)</f>
        <v/>
      </c>
      <c r="D200" s="64"/>
      <c r="E200" s="64">
        <f>IF(簿!P184="",0,簿!P184)</f>
        <v>0</v>
      </c>
      <c r="F200" s="64">
        <f>IF(簿!Q184="",0,簿!Q184)</f>
        <v>0</v>
      </c>
      <c r="G200" s="65" t="str">
        <f t="shared" si="4"/>
        <v/>
      </c>
    </row>
    <row r="201" spans="1:7" ht="14.45" customHeight="1">
      <c r="A201" s="62" t="str">
        <f>IF(簿!M185="","",簿!M185)</f>
        <v/>
      </c>
      <c r="B201" s="63" t="str">
        <f>IF(簿!N185="","",簿!N185)</f>
        <v/>
      </c>
      <c r="C201" s="205" t="str">
        <f>IF(簿!O185="","",簿!O185)</f>
        <v/>
      </c>
      <c r="D201" s="64"/>
      <c r="E201" s="64">
        <f>IF(簿!P185="",0,簿!P185)</f>
        <v>0</v>
      </c>
      <c r="F201" s="64">
        <f>IF(簿!Q185="",0,簿!Q185)</f>
        <v>0</v>
      </c>
      <c r="G201" s="65" t="str">
        <f t="shared" si="4"/>
        <v/>
      </c>
    </row>
    <row r="202" spans="1:7" ht="14.45" customHeight="1">
      <c r="A202" s="62" t="str">
        <f>IF(簿!M186="","",簿!M186)</f>
        <v/>
      </c>
      <c r="B202" s="63" t="str">
        <f>IF(簿!N186="","",簿!N186)</f>
        <v/>
      </c>
      <c r="C202" s="205" t="str">
        <f>IF(簿!O186="","",簿!O186)</f>
        <v/>
      </c>
      <c r="D202" s="64"/>
      <c r="E202" s="64">
        <f>IF(簿!P186="",0,簿!P186)</f>
        <v>0</v>
      </c>
      <c r="F202" s="64">
        <f>IF(簿!Q186="",0,簿!Q186)</f>
        <v>0</v>
      </c>
      <c r="G202" s="65" t="str">
        <f t="shared" si="4"/>
        <v/>
      </c>
    </row>
    <row r="203" spans="1:7" ht="14.45" customHeight="1">
      <c r="A203" s="62" t="str">
        <f>IF(簿!M187="","",簿!M187)</f>
        <v/>
      </c>
      <c r="B203" s="63" t="str">
        <f>IF(簿!N187="","",簿!N187)</f>
        <v/>
      </c>
      <c r="C203" s="205" t="str">
        <f>IF(簿!O187="","",簿!O187)</f>
        <v/>
      </c>
      <c r="D203" s="64"/>
      <c r="E203" s="64">
        <f>IF(簿!P187="",0,簿!P187)</f>
        <v>0</v>
      </c>
      <c r="F203" s="64">
        <f>IF(簿!Q187="",0,簿!Q187)</f>
        <v>0</v>
      </c>
      <c r="G203" s="65" t="str">
        <f t="shared" si="4"/>
        <v/>
      </c>
    </row>
    <row r="204" spans="1:7" ht="14.45" customHeight="1">
      <c r="A204" s="62" t="str">
        <f>IF(簿!M188="","",簿!M188)</f>
        <v/>
      </c>
      <c r="B204" s="63" t="str">
        <f>IF(簿!N188="","",簿!N188)</f>
        <v/>
      </c>
      <c r="C204" s="205" t="str">
        <f>IF(簿!O188="","",簿!O188)</f>
        <v/>
      </c>
      <c r="D204" s="64"/>
      <c r="E204" s="64">
        <f>IF(簿!P188="",0,簿!P188)</f>
        <v>0</v>
      </c>
      <c r="F204" s="64">
        <f>IF(簿!Q188="",0,簿!Q188)</f>
        <v>0</v>
      </c>
      <c r="G204" s="65" t="str">
        <f t="shared" si="4"/>
        <v/>
      </c>
    </row>
    <row r="205" spans="1:7" ht="14.45" customHeight="1">
      <c r="A205" s="62" t="str">
        <f>IF(簿!M189="","",簿!M189)</f>
        <v/>
      </c>
      <c r="B205" s="63" t="str">
        <f>IF(簿!N189="","",簿!N189)</f>
        <v/>
      </c>
      <c r="C205" s="205" t="str">
        <f>IF(簿!O189="","",簿!O189)</f>
        <v/>
      </c>
      <c r="D205" s="64"/>
      <c r="E205" s="64">
        <f>IF(簿!P189="",0,簿!P189)</f>
        <v>0</v>
      </c>
      <c r="F205" s="64">
        <f>IF(簿!Q189="",0,簿!Q189)</f>
        <v>0</v>
      </c>
      <c r="G205" s="65" t="str">
        <f t="shared" si="4"/>
        <v/>
      </c>
    </row>
    <row r="206" spans="1:7" ht="14.45" customHeight="1">
      <c r="A206" s="62" t="str">
        <f>IF(簿!M190="","",簿!M190)</f>
        <v/>
      </c>
      <c r="B206" s="63" t="str">
        <f>IF(簿!N190="","",簿!N190)</f>
        <v/>
      </c>
      <c r="C206" s="205" t="str">
        <f>IF(簿!O190="","",簿!O190)</f>
        <v/>
      </c>
      <c r="D206" s="64"/>
      <c r="E206" s="64">
        <f>IF(簿!P190="",0,簿!P190)</f>
        <v>0</v>
      </c>
      <c r="F206" s="64">
        <f>IF(簿!Q190="",0,簿!Q190)</f>
        <v>0</v>
      </c>
      <c r="G206" s="65" t="str">
        <f t="shared" si="4"/>
        <v/>
      </c>
    </row>
    <row r="207" spans="1:7" ht="14.45" customHeight="1">
      <c r="A207" s="62" t="str">
        <f>IF(簿!M191="","",簿!M191)</f>
        <v/>
      </c>
      <c r="B207" s="63" t="str">
        <f>IF(簿!N191="","",簿!N191)</f>
        <v/>
      </c>
      <c r="C207" s="205" t="str">
        <f>IF(簿!O191="","",簿!O191)</f>
        <v/>
      </c>
      <c r="D207" s="64"/>
      <c r="E207" s="64">
        <f>IF(簿!P191="",0,簿!P191)</f>
        <v>0</v>
      </c>
      <c r="F207" s="64">
        <f>IF(簿!Q191="",0,簿!Q191)</f>
        <v>0</v>
      </c>
      <c r="G207" s="65" t="str">
        <f t="shared" si="4"/>
        <v/>
      </c>
    </row>
    <row r="208" spans="1:7" ht="14.45" customHeight="1">
      <c r="A208" s="62" t="str">
        <f>IF(簿!M192="","",簿!M192)</f>
        <v/>
      </c>
      <c r="B208" s="63" t="str">
        <f>IF(簿!N192="","",簿!N192)</f>
        <v/>
      </c>
      <c r="C208" s="205" t="str">
        <f>IF(簿!O192="","",簿!O192)</f>
        <v/>
      </c>
      <c r="D208" s="64"/>
      <c r="E208" s="64">
        <f>IF(簿!P192="",0,簿!P192)</f>
        <v>0</v>
      </c>
      <c r="F208" s="64">
        <f>IF(簿!Q192="",0,簿!Q192)</f>
        <v>0</v>
      </c>
      <c r="G208" s="65" t="str">
        <f t="shared" si="4"/>
        <v/>
      </c>
    </row>
    <row r="209" spans="1:7" ht="14.45" customHeight="1">
      <c r="A209" s="62" t="str">
        <f>IF(簿!M193="","",簿!M193)</f>
        <v/>
      </c>
      <c r="B209" s="63" t="str">
        <f>IF(簿!N193="","",簿!N193)</f>
        <v/>
      </c>
      <c r="C209" s="205" t="str">
        <f>IF(簿!O193="","",簿!O193)</f>
        <v/>
      </c>
      <c r="D209" s="64"/>
      <c r="E209" s="64">
        <f>IF(簿!P193="",0,簿!P193)</f>
        <v>0</v>
      </c>
      <c r="F209" s="64">
        <f>IF(簿!Q193="",0,簿!Q193)</f>
        <v>0</v>
      </c>
      <c r="G209" s="65" t="str">
        <f t="shared" si="4"/>
        <v/>
      </c>
    </row>
    <row r="210" spans="1:7" ht="14.45" customHeight="1">
      <c r="A210" s="62" t="str">
        <f>IF(簿!M194="","",簿!M194)</f>
        <v/>
      </c>
      <c r="B210" s="63" t="str">
        <f>IF(簿!N194="","",簿!N194)</f>
        <v/>
      </c>
      <c r="C210" s="205" t="str">
        <f>IF(簿!O194="","",簿!O194)</f>
        <v/>
      </c>
      <c r="D210" s="64"/>
      <c r="E210" s="64">
        <f>IF(簿!P194="",0,簿!P194)</f>
        <v>0</v>
      </c>
      <c r="F210" s="64">
        <f>IF(簿!Q194="",0,簿!Q194)</f>
        <v>0</v>
      </c>
      <c r="G210" s="65" t="str">
        <f t="shared" si="4"/>
        <v/>
      </c>
    </row>
    <row r="211" spans="1:7" ht="14.45" customHeight="1">
      <c r="A211" s="62" t="str">
        <f>IF(簿!M195="","",簿!M195)</f>
        <v/>
      </c>
      <c r="B211" s="63" t="str">
        <f>IF(簿!N195="","",簿!N195)</f>
        <v/>
      </c>
      <c r="C211" s="205" t="str">
        <f>IF(簿!O195="","",簿!O195)</f>
        <v/>
      </c>
      <c r="D211" s="64"/>
      <c r="E211" s="64">
        <f>IF(簿!P195="",0,簿!P195)</f>
        <v>0</v>
      </c>
      <c r="F211" s="64">
        <f>IF(簿!Q195="",0,簿!Q195)</f>
        <v>0</v>
      </c>
      <c r="G211" s="65" t="str">
        <f t="shared" si="4"/>
        <v/>
      </c>
    </row>
    <row r="212" spans="1:7" ht="14.45" customHeight="1">
      <c r="A212" s="62" t="str">
        <f>IF(簿!M196="","",簿!M196)</f>
        <v/>
      </c>
      <c r="B212" s="63" t="str">
        <f>IF(簿!N196="","",簿!N196)</f>
        <v/>
      </c>
      <c r="C212" s="205" t="str">
        <f>IF(簿!O196="","",簿!O196)</f>
        <v/>
      </c>
      <c r="D212" s="64"/>
      <c r="E212" s="64">
        <f>IF(簿!P196="",0,簿!P196)</f>
        <v>0</v>
      </c>
      <c r="F212" s="64">
        <f>IF(簿!Q196="",0,簿!Q196)</f>
        <v>0</v>
      </c>
      <c r="G212" s="65" t="str">
        <f t="shared" si="4"/>
        <v/>
      </c>
    </row>
    <row r="213" spans="1:7" ht="14.45" customHeight="1">
      <c r="A213" s="62" t="str">
        <f>IF(簿!M197="","",簿!M197)</f>
        <v/>
      </c>
      <c r="B213" s="63" t="str">
        <f>IF(簿!N197="","",簿!N197)</f>
        <v/>
      </c>
      <c r="C213" s="205" t="str">
        <f>IF(簿!O197="","",簿!O197)</f>
        <v/>
      </c>
      <c r="D213" s="64"/>
      <c r="E213" s="64">
        <f>IF(簿!P197="",0,簿!P197)</f>
        <v>0</v>
      </c>
      <c r="F213" s="64">
        <f>IF(簿!Q197="",0,簿!Q197)</f>
        <v>0</v>
      </c>
      <c r="G213" s="65" t="str">
        <f t="shared" si="4"/>
        <v/>
      </c>
    </row>
    <row r="214" spans="1:7" ht="14.45" customHeight="1">
      <c r="A214" s="62" t="str">
        <f>IF(簿!M198="","",簿!M198)</f>
        <v/>
      </c>
      <c r="B214" s="63" t="str">
        <f>IF(簿!N198="","",簿!N198)</f>
        <v/>
      </c>
      <c r="C214" s="205" t="str">
        <f>IF(簿!O198="","",簿!O198)</f>
        <v/>
      </c>
      <c r="D214" s="64"/>
      <c r="E214" s="64">
        <f>IF(簿!P198="",0,簿!P198)</f>
        <v>0</v>
      </c>
      <c r="F214" s="64">
        <f>IF(簿!Q198="",0,簿!Q198)</f>
        <v>0</v>
      </c>
      <c r="G214" s="65" t="str">
        <f t="shared" si="4"/>
        <v/>
      </c>
    </row>
    <row r="215" spans="1:7" ht="14.45" customHeight="1">
      <c r="A215" s="62" t="str">
        <f>IF(簿!M199="","",簿!M199)</f>
        <v/>
      </c>
      <c r="B215" s="63" t="str">
        <f>IF(簿!N199="","",簿!N199)</f>
        <v/>
      </c>
      <c r="C215" s="205" t="str">
        <f>IF(簿!O199="","",簿!O199)</f>
        <v/>
      </c>
      <c r="D215" s="64"/>
      <c r="E215" s="64">
        <f>IF(簿!P199="",0,簿!P199)</f>
        <v>0</v>
      </c>
      <c r="F215" s="64">
        <f>IF(簿!Q199="",0,簿!Q199)</f>
        <v>0</v>
      </c>
      <c r="G215" s="65" t="str">
        <f t="shared" si="4"/>
        <v/>
      </c>
    </row>
    <row r="216" spans="1:7" ht="14.45" customHeight="1">
      <c r="A216" s="62" t="str">
        <f>IF(簿!M200="","",簿!M200)</f>
        <v/>
      </c>
      <c r="B216" s="63" t="str">
        <f>IF(簿!N200="","",簿!N200)</f>
        <v/>
      </c>
      <c r="C216" s="205" t="str">
        <f>IF(簿!O200="","",簿!O200)</f>
        <v/>
      </c>
      <c r="D216" s="64"/>
      <c r="E216" s="64">
        <f>IF(簿!P200="",0,簿!P200)</f>
        <v>0</v>
      </c>
      <c r="F216" s="64">
        <f>IF(簿!Q200="",0,簿!Q200)</f>
        <v>0</v>
      </c>
      <c r="G216" s="65" t="str">
        <f t="shared" si="4"/>
        <v/>
      </c>
    </row>
    <row r="217" spans="1:7" ht="14.45" customHeight="1">
      <c r="A217" s="62" t="str">
        <f>IF(簿!M201="","",簿!M201)</f>
        <v/>
      </c>
      <c r="B217" s="63" t="str">
        <f>IF(簿!N201="","",簿!N201)</f>
        <v/>
      </c>
      <c r="C217" s="205" t="str">
        <f>IF(簿!O201="","",簿!O201)</f>
        <v/>
      </c>
      <c r="D217" s="64"/>
      <c r="E217" s="64">
        <f>IF(簿!P201="",0,簿!P201)</f>
        <v>0</v>
      </c>
      <c r="F217" s="64">
        <f>IF(簿!Q201="",0,簿!Q201)</f>
        <v>0</v>
      </c>
      <c r="G217" s="65" t="str">
        <f t="shared" si="4"/>
        <v/>
      </c>
    </row>
    <row r="218" spans="1:7" ht="14.45" customHeight="1">
      <c r="A218" s="62" t="str">
        <f>IF(簿!M202="","",簿!M202)</f>
        <v/>
      </c>
      <c r="B218" s="63" t="str">
        <f>IF(簿!N202="","",簿!N202)</f>
        <v/>
      </c>
      <c r="C218" s="205" t="str">
        <f>IF(簿!O202="","",簿!O202)</f>
        <v/>
      </c>
      <c r="D218" s="64"/>
      <c r="E218" s="64">
        <f>IF(簿!P202="",0,簿!P202)</f>
        <v>0</v>
      </c>
      <c r="F218" s="64">
        <f>IF(簿!Q202="",0,簿!Q202)</f>
        <v>0</v>
      </c>
      <c r="G218" s="65" t="str">
        <f t="shared" si="4"/>
        <v/>
      </c>
    </row>
    <row r="219" spans="1:7" ht="14.45" customHeight="1">
      <c r="A219" s="62" t="str">
        <f>IF(簿!M203="","",簿!M203)</f>
        <v/>
      </c>
      <c r="B219" s="63" t="str">
        <f>IF(簿!N203="","",簿!N203)</f>
        <v/>
      </c>
      <c r="C219" s="205" t="str">
        <f>IF(簿!O203="","",簿!O203)</f>
        <v/>
      </c>
      <c r="D219" s="64"/>
      <c r="E219" s="64">
        <f>IF(簿!P203="",0,簿!P203)</f>
        <v>0</v>
      </c>
      <c r="F219" s="64">
        <f>IF(簿!Q203="",0,簿!Q203)</f>
        <v>0</v>
      </c>
      <c r="G219" s="65" t="str">
        <f t="shared" si="4"/>
        <v/>
      </c>
    </row>
    <row r="220" spans="1:7" ht="14.45" customHeight="1">
      <c r="A220" s="62" t="str">
        <f>IF(簿!M204="","",簿!M204)</f>
        <v/>
      </c>
      <c r="B220" s="63" t="str">
        <f>IF(簿!N204="","",簿!N204)</f>
        <v/>
      </c>
      <c r="C220" s="205" t="str">
        <f>IF(簿!O204="","",簿!O204)</f>
        <v/>
      </c>
      <c r="D220" s="64"/>
      <c r="E220" s="64">
        <f>IF(簿!P204="",0,簿!P204)</f>
        <v>0</v>
      </c>
      <c r="F220" s="64">
        <f>IF(簿!Q204="",0,簿!Q204)</f>
        <v>0</v>
      </c>
      <c r="G220" s="65" t="str">
        <f t="shared" si="4"/>
        <v/>
      </c>
    </row>
    <row r="221" spans="1:7">
      <c r="A221" s="433" t="s">
        <v>21</v>
      </c>
      <c r="B221" s="434"/>
      <c r="C221" s="435"/>
      <c r="D221" s="57"/>
      <c r="E221" s="57">
        <f>SUM(E171:E220)</f>
        <v>0</v>
      </c>
      <c r="F221" s="57">
        <f>SUM(F171:F220)</f>
        <v>0</v>
      </c>
      <c r="G221" s="58"/>
    </row>
    <row r="222" spans="1:7">
      <c r="A222" s="425" t="s">
        <v>22</v>
      </c>
      <c r="B222" s="426"/>
      <c r="C222" s="427"/>
      <c r="D222" s="59">
        <f>D6</f>
        <v>0</v>
      </c>
      <c r="E222" s="59">
        <f>E56+E111+E166+E221</f>
        <v>0</v>
      </c>
      <c r="F222" s="59">
        <f>F56+F111+F166+F221</f>
        <v>0</v>
      </c>
      <c r="G222" s="60">
        <f>D222-E222-F222</f>
        <v>0</v>
      </c>
    </row>
    <row r="224" spans="1:7">
      <c r="A224" s="12" t="s">
        <v>37</v>
      </c>
      <c r="B224" s="12" t="str">
        <f>"A3:G"&amp;FIXED((INT((簿!M205)/50)+1)*55+2,0)</f>
        <v>A3:G57</v>
      </c>
    </row>
    <row r="225" spans="1:2">
      <c r="A225" s="12" t="s">
        <v>41</v>
      </c>
      <c r="B225" s="12" t="str">
        <f>IF(簿!M4&gt;10,"E:E","F:F")</f>
        <v>E:E</v>
      </c>
    </row>
    <row r="263" spans="1:7">
      <c r="A263" s="66"/>
      <c r="B263" s="66"/>
      <c r="C263" s="66"/>
      <c r="D263" s="66"/>
      <c r="E263" s="66"/>
      <c r="F263" s="66"/>
      <c r="G263" s="66"/>
    </row>
    <row r="264" spans="1:7">
      <c r="B264" s="47"/>
    </row>
  </sheetData>
  <sheetProtection sheet="1" objects="1" scenarios="1"/>
  <mergeCells count="12">
    <mergeCell ref="B5:C5"/>
    <mergeCell ref="A56:C56"/>
    <mergeCell ref="A57:C57"/>
    <mergeCell ref="B60:C60"/>
    <mergeCell ref="A111:C111"/>
    <mergeCell ref="A112:C112"/>
    <mergeCell ref="B115:C115"/>
    <mergeCell ref="A222:C222"/>
    <mergeCell ref="A166:C166"/>
    <mergeCell ref="A167:C167"/>
    <mergeCell ref="B170:C170"/>
    <mergeCell ref="A221:C221"/>
  </mergeCells>
  <phoneticPr fontId="5"/>
  <conditionalFormatting sqref="E7:F55 E61:F110 E116:F165 E171:F220 D56:F57 D111:G112 D166:G167">
    <cfRule type="cellIs" dxfId="0" priority="1" stopIfTrue="1" operator="equal">
      <formula>0</formula>
    </cfRule>
  </conditionalFormatting>
  <dataValidations count="1">
    <dataValidation imeMode="off" allowBlank="1" showInputMessage="1" showErrorMessage="1" sqref="A1"/>
  </dataValidations>
  <pageMargins left="1.37795275590551" right="0.98425196850393704" top="0.78740157480314998" bottom="0.39370078740157499" header="0.59055118110236227" footer="0.19685039370078741"/>
  <pageSetup paperSize="9" scale="91" orientation="portrait" horizontalDpi="4294967292" r:id="rId1"/>
  <headerFooter alignWithMargins="0"/>
  <rowBreaks count="3" manualBreakCount="3">
    <brk id="57" max="16383" man="1"/>
    <brk id="112" max="16383" man="1"/>
    <brk id="1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Line="0" autoPict="0" macro="[0]!見る">
                <anchor moveWithCells="1" sizeWithCells="1">
                  <from>
                    <xdr:col>1</xdr:col>
                    <xdr:colOff>1295400</xdr:colOff>
                    <xdr:row>0</xdr:row>
                    <xdr:rowOff>19050</xdr:rowOff>
                  </from>
                  <to>
                    <xdr:col>1</xdr:col>
                    <xdr:colOff>2143125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Line="0" autoPict="0" macro="[0]!選択印刷">
                <anchor moveWithCells="1" sizeWithCells="1">
                  <from>
                    <xdr:col>1</xdr:col>
                    <xdr:colOff>1295400</xdr:colOff>
                    <xdr:row>0</xdr:row>
                    <xdr:rowOff>304800</xdr:rowOff>
                  </from>
                  <to>
                    <xdr:col>1</xdr:col>
                    <xdr:colOff>2143125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autoFill="0" autoLine="0" autoPict="0" macro="[0]!メニュー">
                <anchor moveWithCells="1" sizeWithCells="1"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8</xdr:col>
                    <xdr:colOff>257175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V137"/>
  <sheetViews>
    <sheetView showGridLines="0" workbookViewId="0"/>
  </sheetViews>
  <sheetFormatPr defaultRowHeight="12"/>
  <cols>
    <col min="1" max="1" width="1.42578125" style="1" customWidth="1"/>
    <col min="2" max="2" width="12.5703125" style="1" customWidth="1"/>
    <col min="3" max="3" width="11.5703125" style="1" customWidth="1"/>
    <col min="4" max="4" width="7.85546875" style="1" customWidth="1"/>
    <col min="5" max="6" width="2.85546875" style="1" customWidth="1"/>
    <col min="7" max="7" width="4.85546875" style="1" customWidth="1"/>
    <col min="8" max="8" width="3.28515625" style="1" customWidth="1"/>
    <col min="9" max="9" width="15.140625" style="1" customWidth="1"/>
    <col min="10" max="10" width="0.5703125" style="1" customWidth="1"/>
    <col min="11" max="13" width="12.5703125" style="1" customWidth="1"/>
    <col min="14" max="14" width="16" style="1" customWidth="1"/>
    <col min="15" max="15" width="15.28515625" style="1" customWidth="1"/>
    <col min="16" max="16" width="2.85546875" style="1" customWidth="1"/>
    <col min="17" max="16384" width="9.140625" style="1"/>
  </cols>
  <sheetData>
    <row r="1" spans="2:16" ht="24">
      <c r="B1" s="168" t="s">
        <v>77</v>
      </c>
    </row>
    <row r="2" spans="2:16" ht="12.75" thickBot="1"/>
    <row r="3" spans="2:16" ht="15.95" customHeight="1" thickBot="1">
      <c r="B3" s="145" t="s">
        <v>64</v>
      </c>
      <c r="C3" s="180">
        <v>10.01</v>
      </c>
      <c r="D3" s="165" t="s">
        <v>68</v>
      </c>
    </row>
    <row r="4" spans="2:16" ht="15.95" customHeight="1" thickBot="1">
      <c r="B4" s="146" t="s">
        <v>65</v>
      </c>
      <c r="C4" s="181">
        <v>3.26</v>
      </c>
      <c r="D4" s="166" t="s">
        <v>73</v>
      </c>
      <c r="H4" s="500" t="s">
        <v>105</v>
      </c>
      <c r="I4" s="501"/>
      <c r="J4" s="501"/>
      <c r="K4" s="501"/>
      <c r="L4" s="501"/>
      <c r="M4" s="502" t="s">
        <v>95</v>
      </c>
    </row>
    <row r="5" spans="2:16" ht="15.95" customHeight="1" thickBot="1">
      <c r="B5" s="144" t="s">
        <v>106</v>
      </c>
      <c r="C5" s="490" t="s">
        <v>111</v>
      </c>
      <c r="D5" s="491"/>
      <c r="H5" s="501"/>
      <c r="I5" s="501"/>
      <c r="J5" s="501"/>
      <c r="K5" s="501"/>
      <c r="L5" s="501"/>
      <c r="M5" s="503"/>
      <c r="N5" s="169"/>
    </row>
    <row r="6" spans="2:16" ht="15.95" customHeight="1">
      <c r="B6" s="147" t="s">
        <v>66</v>
      </c>
      <c r="C6" s="492" t="s">
        <v>112</v>
      </c>
      <c r="D6" s="493"/>
    </row>
    <row r="7" spans="2:16" ht="15.95" customHeight="1" thickBot="1">
      <c r="B7" s="216" t="s">
        <v>67</v>
      </c>
      <c r="C7" s="494" t="s">
        <v>113</v>
      </c>
      <c r="D7" s="495"/>
    </row>
    <row r="8" spans="2:16" ht="15.95" customHeight="1">
      <c r="B8" s="217"/>
      <c r="C8" s="496"/>
      <c r="D8" s="497"/>
      <c r="F8" s="167"/>
      <c r="G8" s="167"/>
      <c r="H8" s="167"/>
      <c r="I8" s="167"/>
      <c r="J8" s="167"/>
      <c r="K8" s="167"/>
      <c r="L8" s="167"/>
      <c r="M8" s="167"/>
      <c r="N8" s="167"/>
      <c r="O8" s="167"/>
      <c r="P8" s="167"/>
    </row>
    <row r="9" spans="2:16" ht="25.5" customHeight="1">
      <c r="F9" s="167"/>
      <c r="G9" s="504" t="str">
        <f>"令和"&amp;FIXED(予算!E4,0)&amp;"年度　"&amp;予算!C2&amp;"会計"&amp;M4&amp;"報告書"</f>
        <v>令和8年度　〇〇中はまクル認定クラブ会計決算報告書</v>
      </c>
      <c r="H9" s="504"/>
      <c r="I9" s="504"/>
      <c r="J9" s="504"/>
      <c r="K9" s="504"/>
      <c r="L9" s="504"/>
      <c r="M9" s="504"/>
      <c r="N9" s="504"/>
      <c r="O9" s="504"/>
      <c r="P9" s="167"/>
    </row>
    <row r="10" spans="2:16" ht="5.25" customHeight="1">
      <c r="F10" s="167"/>
      <c r="P10" s="167"/>
    </row>
    <row r="11" spans="2:16" ht="21.75" customHeight="1">
      <c r="B11" s="174" t="s">
        <v>75</v>
      </c>
      <c r="F11" s="167"/>
      <c r="K11" s="160" t="s">
        <v>70</v>
      </c>
      <c r="L11" s="475">
        <f>L26</f>
        <v>677600</v>
      </c>
      <c r="M11" s="475"/>
      <c r="N11" s="9" t="s">
        <v>71</v>
      </c>
      <c r="P11" s="167"/>
    </row>
    <row r="12" spans="2:16" ht="19.5" customHeight="1">
      <c r="B12" s="175" t="s">
        <v>81</v>
      </c>
      <c r="F12" s="167"/>
      <c r="K12" s="160" t="s">
        <v>69</v>
      </c>
      <c r="L12" s="475">
        <f>L54</f>
        <v>677600</v>
      </c>
      <c r="M12" s="475"/>
      <c r="N12" s="9" t="s">
        <v>71</v>
      </c>
      <c r="P12" s="167"/>
    </row>
    <row r="13" spans="2:16" ht="19.5" customHeight="1">
      <c r="B13" s="211" t="s">
        <v>107</v>
      </c>
      <c r="F13" s="167"/>
      <c r="K13" s="161" t="s">
        <v>14</v>
      </c>
      <c r="L13" s="475">
        <f>L11-L12</f>
        <v>0</v>
      </c>
      <c r="M13" s="475"/>
      <c r="N13" s="9" t="str">
        <f>IF(M4="中間","円",IF(L13=0,"円","円（次年度へ繰越）"))</f>
        <v>円</v>
      </c>
      <c r="P13" s="167"/>
    </row>
    <row r="14" spans="2:16" ht="18.75" customHeight="1">
      <c r="B14" s="212" t="s">
        <v>108</v>
      </c>
      <c r="F14" s="167"/>
      <c r="G14" s="162" t="s">
        <v>87</v>
      </c>
      <c r="P14" s="167"/>
    </row>
    <row r="15" spans="2:16" ht="15" customHeight="1">
      <c r="B15" s="175" t="s">
        <v>82</v>
      </c>
      <c r="F15" s="167"/>
      <c r="G15" s="455" t="s">
        <v>89</v>
      </c>
      <c r="H15" s="456"/>
      <c r="I15" s="456"/>
      <c r="J15" s="457"/>
      <c r="K15" s="184" t="s">
        <v>80</v>
      </c>
      <c r="L15" s="163" t="str">
        <f>IF(M4="中間","収入済額","決 算 額")</f>
        <v>決 算 額</v>
      </c>
      <c r="M15" s="163" t="str">
        <f>IF(M4="中間","収入未済額","増　　減")</f>
        <v>増　　減</v>
      </c>
      <c r="N15" s="505" t="s">
        <v>72</v>
      </c>
      <c r="O15" s="506"/>
      <c r="P15" s="167"/>
    </row>
    <row r="16" spans="2:16" ht="15" customHeight="1">
      <c r="B16" s="176" t="s">
        <v>83</v>
      </c>
      <c r="F16" s="167"/>
      <c r="G16" s="187">
        <v>1</v>
      </c>
      <c r="H16" s="498" t="str">
        <f>予算!C7</f>
        <v>会費</v>
      </c>
      <c r="I16" s="498"/>
      <c r="J16" s="156"/>
      <c r="K16" s="186">
        <f>予算!D7</f>
        <v>360000</v>
      </c>
      <c r="L16" s="186">
        <f>予算!E7</f>
        <v>360000</v>
      </c>
      <c r="M16" s="191">
        <f>IF($M$4="中間",K16-L16,L16-K16)</f>
        <v>0</v>
      </c>
      <c r="N16" s="439"/>
      <c r="O16" s="440"/>
      <c r="P16" s="167"/>
    </row>
    <row r="17" spans="6:16" ht="15" customHeight="1">
      <c r="F17" s="167"/>
      <c r="G17" s="196">
        <v>2</v>
      </c>
      <c r="H17" s="499" t="str">
        <f>予算!C8</f>
        <v>保険料</v>
      </c>
      <c r="I17" s="499"/>
      <c r="J17" s="157"/>
      <c r="K17" s="155">
        <f>予算!D8</f>
        <v>0</v>
      </c>
      <c r="L17" s="155">
        <f>予算!E8</f>
        <v>0</v>
      </c>
      <c r="M17" s="55">
        <f>IF($M$4="中間",K17-L17,L17-K17)</f>
        <v>0</v>
      </c>
      <c r="N17" s="442"/>
      <c r="O17" s="443"/>
      <c r="P17" s="167"/>
    </row>
    <row r="18" spans="6:16" ht="15" customHeight="1">
      <c r="F18" s="167"/>
      <c r="G18" s="189">
        <v>3</v>
      </c>
      <c r="H18" s="507" t="str">
        <f>予算!C9</f>
        <v>雑収入</v>
      </c>
      <c r="I18" s="507"/>
      <c r="J18" s="195"/>
      <c r="K18" s="198">
        <f>予算!D9</f>
        <v>1000</v>
      </c>
      <c r="L18" s="198">
        <f>予算!E9</f>
        <v>1000</v>
      </c>
      <c r="M18" s="265">
        <f>IF($M$4="中間",K18-L18,L18-K18)</f>
        <v>0</v>
      </c>
      <c r="N18" s="345"/>
      <c r="O18" s="346"/>
      <c r="P18" s="167"/>
    </row>
    <row r="19" spans="6:16" ht="15" customHeight="1">
      <c r="F19" s="167"/>
      <c r="G19" s="255"/>
      <c r="H19" s="445" t="s">
        <v>215</v>
      </c>
      <c r="I19" s="446"/>
      <c r="J19" s="252"/>
      <c r="K19" s="253">
        <f>SUM(K16:K18)</f>
        <v>361000</v>
      </c>
      <c r="L19" s="253">
        <f>SUM(L16:L18)</f>
        <v>361000</v>
      </c>
      <c r="M19" s="254">
        <f t="shared" ref="M19:M20" si="0">IF($M$4="中間",K19-L19,L19-K19)</f>
        <v>0</v>
      </c>
      <c r="N19" s="510"/>
      <c r="O19" s="511"/>
      <c r="P19" s="167"/>
    </row>
    <row r="20" spans="6:16" ht="15" customHeight="1">
      <c r="F20" s="167"/>
      <c r="G20" s="261">
        <v>4</v>
      </c>
      <c r="H20" s="449" t="str">
        <f>予算!C10</f>
        <v>会費（対象外）</v>
      </c>
      <c r="I20" s="450"/>
      <c r="J20" s="156"/>
      <c r="K20" s="262">
        <f>予算!D10</f>
        <v>60000</v>
      </c>
      <c r="L20" s="262">
        <f>予算!E10</f>
        <v>60000</v>
      </c>
      <c r="M20" s="57">
        <f t="shared" si="0"/>
        <v>0</v>
      </c>
      <c r="N20" s="451"/>
      <c r="O20" s="452"/>
      <c r="P20" s="167"/>
    </row>
    <row r="21" spans="6:16" ht="15" customHeight="1">
      <c r="F21" s="167"/>
      <c r="G21" s="188">
        <v>5</v>
      </c>
      <c r="H21" s="449" t="str">
        <f>予算!C11</f>
        <v>繰越金（対象外）</v>
      </c>
      <c r="I21" s="450"/>
      <c r="J21" s="157"/>
      <c r="K21" s="155">
        <f>予算!D11</f>
        <v>0</v>
      </c>
      <c r="L21" s="155">
        <f>予算!E11</f>
        <v>0</v>
      </c>
      <c r="M21" s="55">
        <f t="shared" ref="M21:M24" si="1">IF($M$4="中間",K21-L21,L21-K21)</f>
        <v>0</v>
      </c>
      <c r="N21" s="442"/>
      <c r="O21" s="443"/>
      <c r="P21" s="167"/>
    </row>
    <row r="22" spans="6:16" ht="15" customHeight="1">
      <c r="F22" s="167"/>
      <c r="G22" s="188">
        <v>6</v>
      </c>
      <c r="H22" s="449" t="str">
        <f>予算!C12</f>
        <v>保険料（対象外）</v>
      </c>
      <c r="I22" s="450"/>
      <c r="J22" s="195"/>
      <c r="K22" s="198">
        <f>予算!D12</f>
        <v>17600</v>
      </c>
      <c r="L22" s="198">
        <f>予算!E12</f>
        <v>17600</v>
      </c>
      <c r="M22" s="265"/>
      <c r="N22" s="345"/>
      <c r="O22" s="346"/>
      <c r="P22" s="167"/>
    </row>
    <row r="23" spans="6:16" ht="15" customHeight="1">
      <c r="F23" s="167"/>
      <c r="G23" s="256">
        <v>7</v>
      </c>
      <c r="H23" s="508" t="str">
        <f>予算!C13</f>
        <v>雑収入（対象外）</v>
      </c>
      <c r="I23" s="509"/>
      <c r="J23" s="263"/>
      <c r="K23" s="266">
        <f>予算!D13</f>
        <v>0</v>
      </c>
      <c r="L23" s="266">
        <f>予算!E13</f>
        <v>0</v>
      </c>
      <c r="M23" s="267">
        <f t="shared" ref="M23" si="2">IF($M$4="中間",K23-L23,L23-K23)</f>
        <v>0</v>
      </c>
      <c r="N23" s="347"/>
      <c r="O23" s="348"/>
      <c r="P23" s="167"/>
    </row>
    <row r="24" spans="6:16" ht="15" customHeight="1">
      <c r="F24" s="167"/>
      <c r="G24" s="436" t="s">
        <v>216</v>
      </c>
      <c r="H24" s="437"/>
      <c r="I24" s="437"/>
      <c r="J24" s="252"/>
      <c r="K24" s="253">
        <f>SUM(K20:K23)</f>
        <v>77600</v>
      </c>
      <c r="L24" s="253">
        <f>SUM(L20:L23)</f>
        <v>77600</v>
      </c>
      <c r="M24" s="254">
        <f t="shared" si="1"/>
        <v>0</v>
      </c>
      <c r="N24" s="510"/>
      <c r="O24" s="511"/>
      <c r="P24" s="167"/>
    </row>
    <row r="25" spans="6:16" ht="15" customHeight="1" thickBot="1">
      <c r="F25" s="167"/>
      <c r="G25" s="248">
        <v>8</v>
      </c>
      <c r="H25" s="458" t="str">
        <f>予算!C14</f>
        <v>補助金</v>
      </c>
      <c r="I25" s="459"/>
      <c r="J25" s="249"/>
      <c r="K25" s="250">
        <f>予算!D14</f>
        <v>239000</v>
      </c>
      <c r="L25" s="250">
        <f>予算!E14</f>
        <v>239000</v>
      </c>
      <c r="M25" s="251">
        <f t="shared" ref="M25" si="3">IF($M$4="中間",K25-L25,L25-K25)</f>
        <v>0</v>
      </c>
      <c r="N25" s="453"/>
      <c r="O25" s="454"/>
      <c r="P25" s="167"/>
    </row>
    <row r="26" spans="6:16" ht="15" customHeight="1" thickTop="1">
      <c r="F26" s="167"/>
      <c r="G26" s="460" t="s">
        <v>90</v>
      </c>
      <c r="H26" s="461"/>
      <c r="I26" s="461"/>
      <c r="J26" s="462"/>
      <c r="K26" s="241">
        <f>K19+K24+K25</f>
        <v>677600</v>
      </c>
      <c r="L26" s="241">
        <f>L19+L24+L25</f>
        <v>677600</v>
      </c>
      <c r="M26" s="242">
        <f>IF($M$4="中間",K26-L26,L26-K26)</f>
        <v>0</v>
      </c>
      <c r="N26" s="463"/>
      <c r="O26" s="464"/>
      <c r="P26" s="167"/>
    </row>
    <row r="27" spans="6:16" ht="5.25" customHeight="1">
      <c r="F27" s="167"/>
      <c r="I27" s="149"/>
      <c r="K27" s="150"/>
      <c r="L27" s="150"/>
      <c r="M27" s="150"/>
      <c r="N27" s="182"/>
      <c r="O27" s="183"/>
      <c r="P27" s="167"/>
    </row>
    <row r="28" spans="6:16" ht="15" customHeight="1">
      <c r="F28" s="167"/>
      <c r="G28" s="162" t="s">
        <v>88</v>
      </c>
      <c r="I28" s="149"/>
      <c r="K28" s="150"/>
      <c r="L28" s="150"/>
      <c r="M28" s="150"/>
      <c r="N28" s="182"/>
      <c r="O28" s="183"/>
      <c r="P28" s="167"/>
    </row>
    <row r="29" spans="6:16" ht="15" customHeight="1">
      <c r="F29" s="167"/>
      <c r="G29" s="455" t="s">
        <v>89</v>
      </c>
      <c r="H29" s="456"/>
      <c r="I29" s="456"/>
      <c r="J29" s="457"/>
      <c r="K29" s="184" t="s">
        <v>80</v>
      </c>
      <c r="L29" s="163" t="str">
        <f>IF(M4="中間","支出済額","決 算 額")</f>
        <v>決 算 額</v>
      </c>
      <c r="M29" s="163" t="str">
        <f>IF(M4="中間","残　　額","増　　減")</f>
        <v>増　　減</v>
      </c>
      <c r="N29" s="465" t="s">
        <v>72</v>
      </c>
      <c r="O29" s="466"/>
      <c r="P29" s="167"/>
    </row>
    <row r="30" spans="6:16" ht="15" customHeight="1">
      <c r="F30" s="167"/>
      <c r="G30" s="513" t="s">
        <v>109</v>
      </c>
      <c r="H30" s="514"/>
      <c r="I30" s="514"/>
      <c r="J30" s="152"/>
      <c r="K30" s="158">
        <f>SUM(K31:K41)</f>
        <v>600000</v>
      </c>
      <c r="L30" s="158">
        <f>SUM(L31:L41)</f>
        <v>600000</v>
      </c>
      <c r="M30" s="193">
        <f t="shared" ref="M30:M54" si="4">IF($M$4="中間",K30-L30,L30-K30)</f>
        <v>0</v>
      </c>
      <c r="N30" s="488"/>
      <c r="O30" s="489"/>
      <c r="P30" s="167"/>
    </row>
    <row r="31" spans="6:16" ht="15" customHeight="1">
      <c r="F31" s="167"/>
      <c r="G31" s="151"/>
      <c r="H31" s="471" t="s">
        <v>231</v>
      </c>
      <c r="I31" s="472"/>
      <c r="J31" s="154"/>
      <c r="K31" s="155">
        <f>予算!D17</f>
        <v>287310</v>
      </c>
      <c r="L31" s="155">
        <f>予算!E17</f>
        <v>287310</v>
      </c>
      <c r="M31" s="55">
        <f t="shared" si="4"/>
        <v>0</v>
      </c>
      <c r="N31" s="442"/>
      <c r="O31" s="443"/>
      <c r="P31" s="167"/>
    </row>
    <row r="32" spans="6:16" ht="15" customHeight="1">
      <c r="F32" s="167"/>
      <c r="G32" s="151"/>
      <c r="H32" s="471" t="s">
        <v>232</v>
      </c>
      <c r="I32" s="472"/>
      <c r="J32" s="154"/>
      <c r="K32" s="155">
        <f>予算!D18</f>
        <v>42000</v>
      </c>
      <c r="L32" s="155">
        <f>予算!E18</f>
        <v>42000</v>
      </c>
      <c r="M32" s="55">
        <f t="shared" si="4"/>
        <v>0</v>
      </c>
      <c r="N32" s="442"/>
      <c r="O32" s="443"/>
      <c r="P32" s="167"/>
    </row>
    <row r="33" spans="6:16" ht="15" customHeight="1">
      <c r="F33" s="167"/>
      <c r="G33" s="151"/>
      <c r="H33" s="471" t="s">
        <v>233</v>
      </c>
      <c r="I33" s="472"/>
      <c r="J33" s="154"/>
      <c r="K33" s="155">
        <f>予算!D19</f>
        <v>13000</v>
      </c>
      <c r="L33" s="155">
        <f>予算!E19</f>
        <v>13000</v>
      </c>
      <c r="M33" s="55">
        <f t="shared" si="4"/>
        <v>0</v>
      </c>
      <c r="N33" s="442"/>
      <c r="O33" s="443"/>
      <c r="P33" s="167"/>
    </row>
    <row r="34" spans="6:16" ht="15" customHeight="1">
      <c r="F34" s="167"/>
      <c r="G34" s="190"/>
      <c r="H34" s="471" t="s">
        <v>234</v>
      </c>
      <c r="I34" s="472"/>
      <c r="J34" s="154"/>
      <c r="K34" s="155">
        <f>予算!D20</f>
        <v>30000</v>
      </c>
      <c r="L34" s="155">
        <f>予算!E20</f>
        <v>30000</v>
      </c>
      <c r="M34" s="55">
        <f t="shared" si="4"/>
        <v>0</v>
      </c>
      <c r="N34" s="442"/>
      <c r="O34" s="443"/>
      <c r="P34" s="167"/>
    </row>
    <row r="35" spans="6:16" ht="15" customHeight="1">
      <c r="F35" s="167"/>
      <c r="G35" s="151"/>
      <c r="H35" s="471" t="s">
        <v>235</v>
      </c>
      <c r="I35" s="472"/>
      <c r="J35" s="154"/>
      <c r="K35" s="155">
        <f>予算!D21</f>
        <v>0</v>
      </c>
      <c r="L35" s="155">
        <f>予算!E21</f>
        <v>0</v>
      </c>
      <c r="M35" s="55">
        <f t="shared" si="4"/>
        <v>0</v>
      </c>
      <c r="N35" s="442"/>
      <c r="O35" s="443"/>
      <c r="P35" s="167"/>
    </row>
    <row r="36" spans="6:16" ht="15" customHeight="1">
      <c r="F36" s="167"/>
      <c r="G36" s="153"/>
      <c r="H36" s="471" t="s">
        <v>165</v>
      </c>
      <c r="I36" s="472"/>
      <c r="J36" s="154"/>
      <c r="K36" s="197">
        <f>予算!D22</f>
        <v>83600</v>
      </c>
      <c r="L36" s="197">
        <f>予算!E22</f>
        <v>83600</v>
      </c>
      <c r="M36" s="194">
        <f>IF($M$4="中間",K36-L36,L36-K36)</f>
        <v>0</v>
      </c>
      <c r="N36" s="349"/>
      <c r="O36" s="350"/>
      <c r="P36" s="167"/>
    </row>
    <row r="37" spans="6:16" ht="15" customHeight="1">
      <c r="F37" s="167"/>
      <c r="G37" s="151"/>
      <c r="H37" s="473" t="s">
        <v>239</v>
      </c>
      <c r="I37" s="474"/>
      <c r="J37" s="154"/>
      <c r="K37" s="155">
        <f>予算!D23</f>
        <v>116810</v>
      </c>
      <c r="L37" s="155">
        <f>予算!E23</f>
        <v>116810</v>
      </c>
      <c r="M37" s="55">
        <f t="shared" si="4"/>
        <v>0</v>
      </c>
      <c r="N37" s="349"/>
      <c r="O37" s="350"/>
      <c r="P37" s="167"/>
    </row>
    <row r="38" spans="6:16" ht="15" customHeight="1">
      <c r="F38" s="167"/>
      <c r="G38" s="151"/>
      <c r="H38" s="471" t="s">
        <v>236</v>
      </c>
      <c r="I38" s="472"/>
      <c r="J38" s="154"/>
      <c r="K38" s="155">
        <f>予算!D24</f>
        <v>0</v>
      </c>
      <c r="L38" s="155">
        <f>予算!E24</f>
        <v>0</v>
      </c>
      <c r="M38" s="55">
        <f t="shared" si="4"/>
        <v>0</v>
      </c>
      <c r="N38" s="442"/>
      <c r="O38" s="443"/>
      <c r="P38" s="167"/>
    </row>
    <row r="39" spans="6:16" ht="15" customHeight="1">
      <c r="F39" s="167"/>
      <c r="G39" s="151"/>
      <c r="H39" s="471" t="s">
        <v>152</v>
      </c>
      <c r="I39" s="472"/>
      <c r="J39" s="154"/>
      <c r="K39" s="155">
        <f>予算!D25</f>
        <v>27280</v>
      </c>
      <c r="L39" s="155">
        <f>予算!E25</f>
        <v>27280</v>
      </c>
      <c r="M39" s="55">
        <f t="shared" si="4"/>
        <v>0</v>
      </c>
      <c r="N39" s="442"/>
      <c r="O39" s="443"/>
      <c r="P39" s="167"/>
    </row>
    <row r="40" spans="6:16" ht="15" hidden="1" customHeight="1">
      <c r="F40" s="167"/>
      <c r="G40" s="151"/>
      <c r="H40" s="521"/>
      <c r="I40" s="522"/>
      <c r="J40" s="154"/>
      <c r="K40" s="213">
        <f>予算!D27</f>
        <v>0</v>
      </c>
      <c r="L40" s="213">
        <f>予算!E27</f>
        <v>0</v>
      </c>
      <c r="M40" s="218">
        <f t="shared" si="4"/>
        <v>0</v>
      </c>
      <c r="N40" s="442"/>
      <c r="O40" s="443"/>
      <c r="P40" s="167"/>
    </row>
    <row r="41" spans="6:16" ht="15" hidden="1" customHeight="1">
      <c r="F41" s="167"/>
      <c r="G41" s="151"/>
      <c r="H41" s="523" t="s">
        <v>153</v>
      </c>
      <c r="I41" s="524"/>
      <c r="J41" s="154"/>
      <c r="K41" s="213">
        <f>予算!D28</f>
        <v>0</v>
      </c>
      <c r="L41" s="213">
        <f>予算!E28</f>
        <v>0</v>
      </c>
      <c r="M41" s="218">
        <f t="shared" si="4"/>
        <v>0</v>
      </c>
      <c r="N41" s="442"/>
      <c r="O41" s="443"/>
      <c r="P41" s="167"/>
    </row>
    <row r="42" spans="6:16" ht="15" customHeight="1">
      <c r="F42" s="167"/>
      <c r="G42" s="513" t="s">
        <v>110</v>
      </c>
      <c r="H42" s="514"/>
      <c r="I42" s="514"/>
      <c r="J42" s="515"/>
      <c r="K42" s="214">
        <f>SUM(K43:K53)</f>
        <v>77600</v>
      </c>
      <c r="L42" s="214">
        <f>SUM(L43:L53)</f>
        <v>77600</v>
      </c>
      <c r="M42" s="215">
        <f t="shared" ref="M42" si="5">IF($M$4="中間",K42-L42,L42-K42)</f>
        <v>0</v>
      </c>
      <c r="N42" s="351"/>
      <c r="O42" s="352"/>
      <c r="P42" s="167"/>
    </row>
    <row r="43" spans="6:16" ht="15" customHeight="1">
      <c r="F43" s="167"/>
      <c r="G43" s="151"/>
      <c r="H43" s="467" t="s">
        <v>231</v>
      </c>
      <c r="I43" s="468"/>
      <c r="J43" s="209"/>
      <c r="K43" s="155">
        <f>予算!D26</f>
        <v>47885</v>
      </c>
      <c r="L43" s="155">
        <f>予算!E26</f>
        <v>47885</v>
      </c>
      <c r="M43" s="55">
        <f t="shared" ref="M43:M47" si="6">IF($M$4="中間",K43-L43,L43-K43)</f>
        <v>0</v>
      </c>
      <c r="N43" s="442"/>
      <c r="O43" s="443"/>
      <c r="P43" s="167"/>
    </row>
    <row r="44" spans="6:16" ht="15" customHeight="1">
      <c r="F44" s="167"/>
      <c r="G44" s="151"/>
      <c r="H44" s="467" t="s">
        <v>232</v>
      </c>
      <c r="I44" s="468"/>
      <c r="J44" s="209"/>
      <c r="K44" s="155">
        <f>予算!D27</f>
        <v>0</v>
      </c>
      <c r="L44" s="155">
        <f>予算!E27</f>
        <v>0</v>
      </c>
      <c r="M44" s="55">
        <f t="shared" si="6"/>
        <v>0</v>
      </c>
      <c r="N44" s="442"/>
      <c r="O44" s="443"/>
      <c r="P44" s="167"/>
    </row>
    <row r="45" spans="6:16" ht="15" customHeight="1">
      <c r="F45" s="167"/>
      <c r="G45" s="151"/>
      <c r="H45" s="467" t="s">
        <v>233</v>
      </c>
      <c r="I45" s="468"/>
      <c r="J45" s="209"/>
      <c r="K45" s="155">
        <f>予算!D28</f>
        <v>0</v>
      </c>
      <c r="L45" s="155">
        <f>予算!E28</f>
        <v>0</v>
      </c>
      <c r="M45" s="55">
        <f t="shared" si="6"/>
        <v>0</v>
      </c>
      <c r="N45" s="442"/>
      <c r="O45" s="443"/>
      <c r="P45" s="167"/>
    </row>
    <row r="46" spans="6:16" ht="15" customHeight="1">
      <c r="F46" s="167"/>
      <c r="G46" s="190"/>
      <c r="H46" s="467" t="s">
        <v>234</v>
      </c>
      <c r="I46" s="468"/>
      <c r="J46" s="209"/>
      <c r="K46" s="155">
        <f>予算!D29</f>
        <v>0</v>
      </c>
      <c r="L46" s="155">
        <f>予算!E29</f>
        <v>0</v>
      </c>
      <c r="M46" s="55">
        <f t="shared" si="6"/>
        <v>0</v>
      </c>
      <c r="N46" s="442"/>
      <c r="O46" s="443"/>
      <c r="P46" s="167"/>
    </row>
    <row r="47" spans="6:16" ht="15" customHeight="1">
      <c r="F47" s="167"/>
      <c r="G47" s="151"/>
      <c r="H47" s="467" t="s">
        <v>235</v>
      </c>
      <c r="I47" s="468"/>
      <c r="J47" s="209"/>
      <c r="K47" s="155">
        <f>予算!D30</f>
        <v>0</v>
      </c>
      <c r="L47" s="155">
        <f>予算!E30</f>
        <v>0</v>
      </c>
      <c r="M47" s="55">
        <f t="shared" si="6"/>
        <v>0</v>
      </c>
      <c r="N47" s="442"/>
      <c r="O47" s="443"/>
      <c r="P47" s="167"/>
    </row>
    <row r="48" spans="6:16" ht="15" customHeight="1">
      <c r="F48" s="167"/>
      <c r="G48" s="153"/>
      <c r="H48" s="467" t="s">
        <v>165</v>
      </c>
      <c r="I48" s="468"/>
      <c r="J48" s="209"/>
      <c r="K48" s="197">
        <f>予算!D31</f>
        <v>12115</v>
      </c>
      <c r="L48" s="197">
        <f>予算!E31</f>
        <v>12115</v>
      </c>
      <c r="M48" s="194">
        <f>IF($M$4="中間",K48-L48,L48-K48)</f>
        <v>0</v>
      </c>
      <c r="N48" s="349"/>
      <c r="O48" s="350"/>
      <c r="P48" s="167"/>
    </row>
    <row r="49" spans="6:22" ht="15" customHeight="1">
      <c r="F49" s="167"/>
      <c r="G49" s="153"/>
      <c r="H49" s="469" t="s">
        <v>239</v>
      </c>
      <c r="I49" s="470"/>
      <c r="J49" s="219"/>
      <c r="K49" s="197">
        <f>予算!D32</f>
        <v>0</v>
      </c>
      <c r="L49" s="197">
        <f>予算!E32</f>
        <v>0</v>
      </c>
      <c r="M49" s="194">
        <f>IF($M$4="中間",K49-L49,L49-K49)</f>
        <v>0</v>
      </c>
      <c r="N49" s="349"/>
      <c r="O49" s="350"/>
      <c r="P49" s="167"/>
    </row>
    <row r="50" spans="6:22" ht="15" customHeight="1">
      <c r="F50" s="167"/>
      <c r="G50" s="151"/>
      <c r="H50" s="467" t="s">
        <v>236</v>
      </c>
      <c r="I50" s="468"/>
      <c r="J50" s="209"/>
      <c r="K50" s="155">
        <f>予算!D33</f>
        <v>17600</v>
      </c>
      <c r="L50" s="155">
        <f>予算!E33</f>
        <v>17600</v>
      </c>
      <c r="M50" s="55">
        <f t="shared" ref="M50:M53" si="7">IF($M$4="中間",K50-L50,L50-K50)</f>
        <v>0</v>
      </c>
      <c r="N50" s="349"/>
      <c r="O50" s="350"/>
      <c r="P50" s="167"/>
    </row>
    <row r="51" spans="6:22" ht="15" customHeight="1">
      <c r="F51" s="167"/>
      <c r="G51" s="151"/>
      <c r="H51" s="467" t="s">
        <v>152</v>
      </c>
      <c r="I51" s="468"/>
      <c r="J51" s="209"/>
      <c r="K51" s="155">
        <f>予算!D34</f>
        <v>0</v>
      </c>
      <c r="L51" s="155">
        <f>予算!E34</f>
        <v>0</v>
      </c>
      <c r="M51" s="55">
        <f t="shared" si="7"/>
        <v>0</v>
      </c>
      <c r="N51" s="442"/>
      <c r="O51" s="443"/>
      <c r="P51" s="167"/>
    </row>
    <row r="52" spans="6:22" ht="15" customHeight="1" thickBot="1">
      <c r="F52" s="167"/>
      <c r="G52" s="151"/>
      <c r="H52" s="469" t="s">
        <v>300</v>
      </c>
      <c r="I52" s="470"/>
      <c r="J52" s="209"/>
      <c r="K52" s="155">
        <f>予算!D38</f>
        <v>0</v>
      </c>
      <c r="L52" s="155">
        <f>予算!E38</f>
        <v>0</v>
      </c>
      <c r="M52" s="55">
        <f t="shared" si="7"/>
        <v>0</v>
      </c>
      <c r="N52" s="442"/>
      <c r="O52" s="443"/>
      <c r="P52" s="167"/>
    </row>
    <row r="53" spans="6:22" ht="15" hidden="1" customHeight="1" thickBot="1">
      <c r="F53" s="167"/>
      <c r="G53" s="190"/>
      <c r="H53" s="512">
        <f>予算!C39</f>
        <v>0</v>
      </c>
      <c r="I53" s="512"/>
      <c r="J53" s="243"/>
      <c r="K53" s="244">
        <f>予算!D39</f>
        <v>0</v>
      </c>
      <c r="L53" s="244">
        <f>予算!E39</f>
        <v>0</v>
      </c>
      <c r="M53" s="245">
        <f t="shared" si="7"/>
        <v>0</v>
      </c>
      <c r="N53" s="517"/>
      <c r="O53" s="518"/>
      <c r="P53" s="167"/>
    </row>
    <row r="54" spans="6:22" ht="15" customHeight="1" thickTop="1">
      <c r="F54" s="167"/>
      <c r="G54" s="525" t="s">
        <v>90</v>
      </c>
      <c r="H54" s="526"/>
      <c r="I54" s="526"/>
      <c r="J54" s="527"/>
      <c r="K54" s="246">
        <f>K30+K42</f>
        <v>677600</v>
      </c>
      <c r="L54" s="246">
        <f>L30+L42</f>
        <v>677600</v>
      </c>
      <c r="M54" s="247">
        <f t="shared" si="4"/>
        <v>0</v>
      </c>
      <c r="N54" s="476"/>
      <c r="O54" s="477"/>
      <c r="P54" s="167"/>
    </row>
    <row r="55" spans="6:22" ht="4.5" customHeight="1">
      <c r="F55" s="167"/>
      <c r="P55" s="167"/>
    </row>
    <row r="56" spans="6:22" ht="15" customHeight="1">
      <c r="F56" s="167"/>
      <c r="G56" s="1" t="str">
        <f>IF(M4="決算","　上記のとおり報告いたします","")</f>
        <v>　上記のとおり報告いたします</v>
      </c>
      <c r="N56" s="519" t="str">
        <f>IF(M4="中間","令和"&amp;FIXED(T63,0)&amp;"年"&amp;FIXED(U63,0)&amp;"月"&amp;FIXED(V63,0)&amp;"日 現在　","")</f>
        <v/>
      </c>
      <c r="O56" s="519"/>
      <c r="P56" s="167"/>
    </row>
    <row r="57" spans="6:22" ht="16.5" customHeight="1">
      <c r="F57" s="167"/>
      <c r="H57" s="148" t="str">
        <f>IF(M4="決算","令和"&amp;FIXED(T63,0)&amp;"年"&amp;FIXED(U63,0)&amp;"月"&amp;FIXED(V63,0)&amp;"日","")</f>
        <v>令和9年3月26日</v>
      </c>
      <c r="M57" s="520" t="str">
        <f>IF(M4="決算",予算!C4&amp;"代表者　","")</f>
        <v>代表者　</v>
      </c>
      <c r="N57" s="520"/>
      <c r="O57" s="12" t="str">
        <f>IF(M4="決算",C5,"")</f>
        <v>〇〇　〇〇</v>
      </c>
      <c r="P57" s="167"/>
    </row>
    <row r="58" spans="6:22" ht="3" customHeight="1">
      <c r="F58" s="167"/>
      <c r="P58" s="167"/>
    </row>
    <row r="59" spans="6:22" ht="15" customHeight="1">
      <c r="F59" s="167"/>
      <c r="G59" s="148" t="str">
        <f>IF(M4="決算","　監査の結果、正確であることを認めます","")</f>
        <v>　監査の結果、正確であることを認めます</v>
      </c>
      <c r="P59" s="167"/>
    </row>
    <row r="60" spans="6:22" ht="21.75" customHeight="1">
      <c r="F60" s="167"/>
      <c r="H60" s="148" t="str">
        <f>IF(M4="決算","令和"&amp;FIXED(T63,0)&amp;"年"&amp;FIXED(U63,0)&amp;"月"&amp;FIXED(V63,0)&amp;"日","")</f>
        <v>令和9年3月26日</v>
      </c>
      <c r="N60" s="164" t="str">
        <f>IF(M4="決算","監査委員　","")</f>
        <v>監査委員　</v>
      </c>
      <c r="O60" s="12" t="str">
        <f>IF(C6="","",IF(M4="決算",C6,""))</f>
        <v>△△　△△</v>
      </c>
      <c r="P60" s="167"/>
    </row>
    <row r="61" spans="6:22" ht="8.25" customHeight="1">
      <c r="F61" s="167"/>
      <c r="O61" s="528" t="str">
        <f>IF(C7="","",IF(M4="決算",C7,""))</f>
        <v>◇◇　◇◇</v>
      </c>
      <c r="P61" s="167"/>
    </row>
    <row r="62" spans="6:22" ht="8.25" customHeight="1">
      <c r="F62" s="167"/>
      <c r="O62" s="528"/>
      <c r="P62" s="167"/>
    </row>
    <row r="63" spans="6:22" ht="15" customHeight="1"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T63" s="1">
        <f>IF(U63&lt;4,予算!E4+1,予算!E4)</f>
        <v>9</v>
      </c>
      <c r="U63" s="1">
        <f>IF(M4="中間",INT(C3),INT(C4))</f>
        <v>3</v>
      </c>
      <c r="V63" s="1">
        <f>IF(M4="中間",C3,C4)*100-U63*100</f>
        <v>26</v>
      </c>
    </row>
    <row r="64" spans="6:22" ht="21" customHeight="1"/>
    <row r="65" spans="6:16" ht="18" customHeight="1"/>
    <row r="66" spans="6:16" ht="14.1" customHeight="1"/>
    <row r="67" spans="6:16" ht="21" customHeight="1"/>
    <row r="68" spans="6:16" ht="21" customHeight="1"/>
    <row r="69" spans="6:16" ht="21" customHeight="1"/>
    <row r="70" spans="6:16" ht="15.75" customHeight="1"/>
    <row r="78" spans="6:16"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</row>
    <row r="79" spans="6:16" ht="25.5" customHeight="1">
      <c r="F79" s="167"/>
      <c r="G79" s="504" t="str">
        <f>"令和"&amp;FIXED(予算!E4+1,0)&amp;"年度　"&amp;予算!C4&amp;""&amp;予算!C2&amp;"会計"&amp;"予算書(案)"</f>
        <v>令和9年度　〇〇中はまクル認定クラブ会計予算書(案)</v>
      </c>
      <c r="H79" s="504"/>
      <c r="I79" s="504"/>
      <c r="J79" s="504"/>
      <c r="K79" s="504"/>
      <c r="L79" s="504"/>
      <c r="M79" s="504"/>
      <c r="N79" s="504"/>
      <c r="O79" s="504"/>
      <c r="P79" s="167"/>
    </row>
    <row r="80" spans="6:16" ht="9" customHeight="1">
      <c r="F80" s="167"/>
      <c r="P80" s="167"/>
    </row>
    <row r="81" spans="2:16" ht="24" customHeight="1">
      <c r="F81" s="167"/>
      <c r="K81" s="160" t="s">
        <v>70</v>
      </c>
      <c r="L81" s="475">
        <f>K96</f>
        <v>677600</v>
      </c>
      <c r="M81" s="475"/>
      <c r="N81" s="9" t="s">
        <v>71</v>
      </c>
      <c r="P81" s="167"/>
    </row>
    <row r="82" spans="2:16" ht="24" customHeight="1">
      <c r="F82" s="167"/>
      <c r="K82" s="160" t="s">
        <v>69</v>
      </c>
      <c r="L82" s="475">
        <f>K121</f>
        <v>677600</v>
      </c>
      <c r="M82" s="475"/>
      <c r="N82" s="9" t="s">
        <v>71</v>
      </c>
      <c r="P82" s="167"/>
    </row>
    <row r="83" spans="2:16" ht="24" customHeight="1">
      <c r="F83" s="167"/>
      <c r="K83" s="161" t="s">
        <v>14</v>
      </c>
      <c r="L83" s="475">
        <f>L81-L82</f>
        <v>0</v>
      </c>
      <c r="M83" s="475"/>
      <c r="N83" s="9" t="s">
        <v>71</v>
      </c>
      <c r="P83" s="167"/>
    </row>
    <row r="84" spans="2:16" ht="30" customHeight="1">
      <c r="B84" s="168" t="s">
        <v>85</v>
      </c>
      <c r="F84" s="167"/>
      <c r="G84" s="162" t="s">
        <v>87</v>
      </c>
      <c r="P84" s="167"/>
    </row>
    <row r="85" spans="2:16" ht="15" customHeight="1">
      <c r="F85" s="167"/>
      <c r="G85" s="455" t="s">
        <v>89</v>
      </c>
      <c r="H85" s="480"/>
      <c r="I85" s="480"/>
      <c r="J85" s="481"/>
      <c r="K85" s="184" t="s">
        <v>91</v>
      </c>
      <c r="L85" s="184" t="s">
        <v>92</v>
      </c>
      <c r="M85" s="163" t="str">
        <f>IF(M74="中間","収入未済額","増　　減")</f>
        <v>増　　減</v>
      </c>
      <c r="N85" s="505" t="s">
        <v>72</v>
      </c>
      <c r="O85" s="516"/>
      <c r="P85" s="167"/>
    </row>
    <row r="86" spans="2:16" ht="15" customHeight="1">
      <c r="F86" s="167"/>
      <c r="G86" s="187">
        <v>1</v>
      </c>
      <c r="H86" s="438" t="str">
        <f>予算!C7</f>
        <v>会費</v>
      </c>
      <c r="I86" s="438"/>
      <c r="J86" s="156"/>
      <c r="K86" s="413">
        <v>360000</v>
      </c>
      <c r="L86" s="186">
        <f>予算!E7</f>
        <v>360000</v>
      </c>
      <c r="M86" s="191">
        <f>IF($M$4="中間",K86-L86,L86-K86)</f>
        <v>0</v>
      </c>
      <c r="N86" s="439"/>
      <c r="O86" s="440"/>
      <c r="P86" s="167"/>
    </row>
    <row r="87" spans="2:16" ht="15" customHeight="1">
      <c r="F87" s="167"/>
      <c r="G87" s="196">
        <v>2</v>
      </c>
      <c r="H87" s="441" t="str">
        <f>予算!C8</f>
        <v>保険料</v>
      </c>
      <c r="I87" s="441"/>
      <c r="J87" s="157"/>
      <c r="K87" s="409">
        <v>0</v>
      </c>
      <c r="L87" s="155">
        <f>予算!E8</f>
        <v>0</v>
      </c>
      <c r="M87" s="55">
        <f>IF($M$4="中間",K87-L87,L87-K87)</f>
        <v>0</v>
      </c>
      <c r="N87" s="442"/>
      <c r="O87" s="443"/>
      <c r="P87" s="167"/>
    </row>
    <row r="88" spans="2:16" ht="15" customHeight="1">
      <c r="F88" s="167"/>
      <c r="G88" s="189">
        <v>3</v>
      </c>
      <c r="H88" s="444" t="str">
        <f>予算!C9</f>
        <v>雑収入</v>
      </c>
      <c r="I88" s="444"/>
      <c r="J88" s="195"/>
      <c r="K88" s="407">
        <v>1000</v>
      </c>
      <c r="L88" s="198">
        <f>予算!E9</f>
        <v>1000</v>
      </c>
      <c r="M88" s="265">
        <f>IF($M$4="中間",K88-L88,L88-K88)</f>
        <v>0</v>
      </c>
      <c r="N88" s="345" t="s">
        <v>93</v>
      </c>
      <c r="O88" s="346"/>
      <c r="P88" s="167"/>
    </row>
    <row r="89" spans="2:16" ht="15" customHeight="1">
      <c r="F89" s="167"/>
      <c r="G89" s="311"/>
      <c r="H89" s="445" t="s">
        <v>215</v>
      </c>
      <c r="I89" s="446"/>
      <c r="J89" s="252"/>
      <c r="K89" s="253">
        <f>SUM(K86:K88)</f>
        <v>361000</v>
      </c>
      <c r="L89" s="253">
        <f>SUM(L86:L88)</f>
        <v>361000</v>
      </c>
      <c r="M89" s="254">
        <f t="shared" ref="M89:M91" si="8">IF($M$4="中間",K89-L89,L89-K89)</f>
        <v>0</v>
      </c>
      <c r="N89" s="447"/>
      <c r="O89" s="448"/>
      <c r="P89" s="167"/>
    </row>
    <row r="90" spans="2:16" ht="15" customHeight="1">
      <c r="F90" s="167"/>
      <c r="G90" s="261">
        <v>4</v>
      </c>
      <c r="H90" s="449" t="str">
        <f>予算!C10</f>
        <v>会費（対象外）</v>
      </c>
      <c r="I90" s="450"/>
      <c r="J90" s="156"/>
      <c r="K90" s="414">
        <v>60000</v>
      </c>
      <c r="L90" s="262">
        <f>予算!E10</f>
        <v>60000</v>
      </c>
      <c r="M90" s="57">
        <f t="shared" si="8"/>
        <v>0</v>
      </c>
      <c r="N90" s="451"/>
      <c r="O90" s="452"/>
      <c r="P90" s="167"/>
    </row>
    <row r="91" spans="2:16" ht="15" customHeight="1">
      <c r="F91" s="167"/>
      <c r="G91" s="188">
        <v>5</v>
      </c>
      <c r="H91" s="449" t="str">
        <f>予算!C11</f>
        <v>繰越金（対象外）</v>
      </c>
      <c r="I91" s="450"/>
      <c r="J91" s="157"/>
      <c r="K91" s="409">
        <v>0</v>
      </c>
      <c r="L91" s="155">
        <f>予算!E11</f>
        <v>0</v>
      </c>
      <c r="M91" s="55">
        <f t="shared" si="8"/>
        <v>0</v>
      </c>
      <c r="N91" s="442" t="s">
        <v>94</v>
      </c>
      <c r="O91" s="443"/>
      <c r="P91" s="167"/>
    </row>
    <row r="92" spans="2:16" ht="15" customHeight="1">
      <c r="F92" s="167"/>
      <c r="G92" s="188">
        <v>6</v>
      </c>
      <c r="H92" s="449" t="str">
        <f>予算!C12</f>
        <v>保険料（対象外）</v>
      </c>
      <c r="I92" s="450"/>
      <c r="J92" s="195"/>
      <c r="K92" s="407">
        <v>17600</v>
      </c>
      <c r="L92" s="198">
        <f>予算!E12</f>
        <v>17600</v>
      </c>
      <c r="M92" s="265"/>
      <c r="N92" s="345"/>
      <c r="O92" s="346"/>
      <c r="P92" s="167"/>
    </row>
    <row r="93" spans="2:16" ht="15" customHeight="1">
      <c r="F93" s="167"/>
      <c r="G93" s="312">
        <v>7</v>
      </c>
      <c r="H93" s="508" t="str">
        <f>予算!C13</f>
        <v>雑収入（対象外）</v>
      </c>
      <c r="I93" s="509"/>
      <c r="J93" s="263"/>
      <c r="K93" s="415">
        <v>0</v>
      </c>
      <c r="L93" s="266">
        <f>予算!E13</f>
        <v>0</v>
      </c>
      <c r="M93" s="267">
        <f t="shared" ref="M93:M95" si="9">IF($M$4="中間",K93-L93,L93-K93)</f>
        <v>0</v>
      </c>
      <c r="N93" s="347"/>
      <c r="O93" s="348"/>
      <c r="P93" s="167"/>
    </row>
    <row r="94" spans="2:16" ht="15" customHeight="1">
      <c r="F94" s="167"/>
      <c r="G94" s="436" t="s">
        <v>216</v>
      </c>
      <c r="H94" s="437"/>
      <c r="I94" s="437"/>
      <c r="J94" s="252"/>
      <c r="K94" s="408">
        <v>77600</v>
      </c>
      <c r="L94" s="253">
        <f>SUM(L90:L93)</f>
        <v>77600</v>
      </c>
      <c r="M94" s="254">
        <f t="shared" si="9"/>
        <v>0</v>
      </c>
      <c r="N94" s="447"/>
      <c r="O94" s="448"/>
      <c r="P94" s="167"/>
    </row>
    <row r="95" spans="2:16" ht="15" customHeight="1" thickBot="1">
      <c r="B95" s="174" t="s">
        <v>75</v>
      </c>
      <c r="F95" s="167"/>
      <c r="G95" s="248">
        <v>8</v>
      </c>
      <c r="H95" s="458" t="str">
        <f>予算!C14</f>
        <v>補助金</v>
      </c>
      <c r="I95" s="459"/>
      <c r="J95" s="249"/>
      <c r="K95" s="416">
        <v>239000</v>
      </c>
      <c r="L95" s="250">
        <f>予算!E14</f>
        <v>239000</v>
      </c>
      <c r="M95" s="251">
        <f t="shared" si="9"/>
        <v>0</v>
      </c>
      <c r="N95" s="453"/>
      <c r="O95" s="454"/>
      <c r="P95" s="167"/>
    </row>
    <row r="96" spans="2:16" ht="15" customHeight="1" thickTop="1">
      <c r="B96" s="175" t="s">
        <v>84</v>
      </c>
      <c r="F96" s="167"/>
      <c r="G96" s="455" t="s">
        <v>90</v>
      </c>
      <c r="H96" s="480"/>
      <c r="I96" s="480"/>
      <c r="J96" s="481"/>
      <c r="K96" s="159">
        <f>K89+K94+K95</f>
        <v>677600</v>
      </c>
      <c r="L96" s="159">
        <f t="shared" ref="L96:M96" si="10">L89+L94+L95</f>
        <v>677600</v>
      </c>
      <c r="M96" s="192">
        <f t="shared" si="10"/>
        <v>0</v>
      </c>
      <c r="N96" s="486"/>
      <c r="O96" s="487"/>
      <c r="P96" s="167"/>
    </row>
    <row r="97" spans="2:16" ht="9.75" customHeight="1">
      <c r="F97" s="167"/>
      <c r="I97" s="149"/>
      <c r="K97" s="150"/>
      <c r="L97" s="150"/>
      <c r="M97" s="150"/>
      <c r="N97" s="182"/>
      <c r="O97" s="183"/>
      <c r="P97" s="167"/>
    </row>
    <row r="98" spans="2:16" ht="19.5" customHeight="1">
      <c r="B98" s="211" t="s">
        <v>309</v>
      </c>
      <c r="F98" s="167"/>
      <c r="G98" s="162" t="s">
        <v>88</v>
      </c>
      <c r="I98" s="149"/>
      <c r="K98" s="150"/>
      <c r="L98" s="150"/>
      <c r="M98" s="150"/>
      <c r="N98" s="182"/>
      <c r="O98" s="183"/>
      <c r="P98" s="167"/>
    </row>
    <row r="99" spans="2:16" ht="15" customHeight="1">
      <c r="F99" s="167"/>
      <c r="G99" s="455" t="s">
        <v>89</v>
      </c>
      <c r="H99" s="480"/>
      <c r="I99" s="480"/>
      <c r="J99" s="481"/>
      <c r="K99" s="184" t="s">
        <v>91</v>
      </c>
      <c r="L99" s="184" t="s">
        <v>92</v>
      </c>
      <c r="M99" s="163" t="str">
        <f>IF(M74="中間","残　　額","増　　減")</f>
        <v>増　　減</v>
      </c>
      <c r="N99" s="465" t="s">
        <v>72</v>
      </c>
      <c r="O99" s="482"/>
      <c r="P99" s="167"/>
    </row>
    <row r="100" spans="2:16" ht="15" customHeight="1">
      <c r="B100" s="211" t="s">
        <v>310</v>
      </c>
      <c r="F100" s="167"/>
      <c r="G100" s="513" t="s">
        <v>109</v>
      </c>
      <c r="H100" s="514"/>
      <c r="I100" s="514"/>
      <c r="J100" s="152"/>
      <c r="K100" s="158">
        <f>SUM(K101:K109)</f>
        <v>600000</v>
      </c>
      <c r="L100" s="158">
        <f>SUM(L101:L109)</f>
        <v>600000</v>
      </c>
      <c r="M100" s="193">
        <f t="shared" ref="M100:M120" si="11">K100-L100</f>
        <v>0</v>
      </c>
      <c r="N100" s="483"/>
      <c r="O100" s="484"/>
      <c r="P100" s="167"/>
    </row>
    <row r="101" spans="2:16" ht="15" customHeight="1">
      <c r="B101" s="211"/>
      <c r="F101" s="167"/>
      <c r="G101" s="151"/>
      <c r="H101" s="471" t="s">
        <v>231</v>
      </c>
      <c r="I101" s="472"/>
      <c r="J101" s="209"/>
      <c r="K101" s="409">
        <v>287310</v>
      </c>
      <c r="L101" s="155">
        <f>予算!D17</f>
        <v>287310</v>
      </c>
      <c r="M101" s="194">
        <f t="shared" si="11"/>
        <v>0</v>
      </c>
      <c r="N101" s="442"/>
      <c r="O101" s="485"/>
      <c r="P101" s="167"/>
    </row>
    <row r="102" spans="2:16" ht="15" customHeight="1">
      <c r="B102" s="175"/>
      <c r="F102" s="167"/>
      <c r="G102" s="151"/>
      <c r="H102" s="471" t="s">
        <v>232</v>
      </c>
      <c r="I102" s="472"/>
      <c r="J102" s="209"/>
      <c r="K102" s="409">
        <v>42000</v>
      </c>
      <c r="L102" s="155">
        <f>予算!D18</f>
        <v>42000</v>
      </c>
      <c r="M102" s="194">
        <f t="shared" si="11"/>
        <v>0</v>
      </c>
      <c r="N102" s="442"/>
      <c r="O102" s="485"/>
      <c r="P102" s="167"/>
    </row>
    <row r="103" spans="2:16" ht="15" customHeight="1">
      <c r="B103" s="177"/>
      <c r="F103" s="167"/>
      <c r="G103" s="151"/>
      <c r="H103" s="471" t="s">
        <v>233</v>
      </c>
      <c r="I103" s="472"/>
      <c r="J103" s="209"/>
      <c r="K103" s="409">
        <v>13000</v>
      </c>
      <c r="L103" s="155">
        <f>予算!D19</f>
        <v>13000</v>
      </c>
      <c r="M103" s="194">
        <f t="shared" si="11"/>
        <v>0</v>
      </c>
      <c r="N103" s="442"/>
      <c r="O103" s="485"/>
      <c r="P103" s="167"/>
    </row>
    <row r="104" spans="2:16" ht="15" customHeight="1">
      <c r="F104" s="167"/>
      <c r="G104" s="190"/>
      <c r="H104" s="471" t="s">
        <v>234</v>
      </c>
      <c r="I104" s="472"/>
      <c r="J104" s="209"/>
      <c r="K104" s="409">
        <v>30000</v>
      </c>
      <c r="L104" s="155">
        <f>予算!D20</f>
        <v>30000</v>
      </c>
      <c r="M104" s="194">
        <f t="shared" si="11"/>
        <v>0</v>
      </c>
      <c r="N104" s="442"/>
      <c r="O104" s="485"/>
      <c r="P104" s="167"/>
    </row>
    <row r="105" spans="2:16" ht="15" customHeight="1">
      <c r="F105" s="167"/>
      <c r="G105" s="151"/>
      <c r="H105" s="471" t="s">
        <v>235</v>
      </c>
      <c r="I105" s="472"/>
      <c r="J105" s="209"/>
      <c r="K105" s="409">
        <v>0</v>
      </c>
      <c r="L105" s="155">
        <f>予算!D21</f>
        <v>0</v>
      </c>
      <c r="M105" s="194">
        <f t="shared" si="11"/>
        <v>0</v>
      </c>
      <c r="N105" s="442"/>
      <c r="O105" s="485"/>
      <c r="P105" s="167"/>
    </row>
    <row r="106" spans="2:16" ht="15" customHeight="1">
      <c r="F106" s="167"/>
      <c r="G106" s="151"/>
      <c r="H106" s="471" t="s">
        <v>165</v>
      </c>
      <c r="I106" s="472"/>
      <c r="J106" s="209"/>
      <c r="K106" s="409">
        <v>83600</v>
      </c>
      <c r="L106" s="155">
        <f>予算!D22</f>
        <v>83600</v>
      </c>
      <c r="M106" s="194">
        <f t="shared" si="11"/>
        <v>0</v>
      </c>
      <c r="N106" s="442"/>
      <c r="O106" s="485"/>
      <c r="P106" s="167"/>
    </row>
    <row r="107" spans="2:16" ht="15" customHeight="1">
      <c r="F107" s="167"/>
      <c r="G107" s="151"/>
      <c r="H107" s="473" t="s">
        <v>102</v>
      </c>
      <c r="I107" s="474"/>
      <c r="J107" s="209"/>
      <c r="K107" s="409">
        <v>116810</v>
      </c>
      <c r="L107" s="155">
        <f>予算!D23</f>
        <v>116810</v>
      </c>
      <c r="M107" s="194">
        <f t="shared" si="11"/>
        <v>0</v>
      </c>
      <c r="N107" s="442"/>
      <c r="O107" s="485"/>
      <c r="P107" s="167"/>
    </row>
    <row r="108" spans="2:16" ht="15" customHeight="1">
      <c r="F108" s="167"/>
      <c r="G108" s="151"/>
      <c r="H108" s="471" t="s">
        <v>236</v>
      </c>
      <c r="I108" s="472"/>
      <c r="J108" s="209"/>
      <c r="K108" s="409">
        <v>0</v>
      </c>
      <c r="L108" s="155">
        <f>予算!D24</f>
        <v>0</v>
      </c>
      <c r="M108" s="194">
        <f t="shared" si="11"/>
        <v>0</v>
      </c>
      <c r="N108" s="442"/>
      <c r="O108" s="485"/>
      <c r="P108" s="167"/>
    </row>
    <row r="109" spans="2:16" ht="15" customHeight="1">
      <c r="F109" s="167"/>
      <c r="G109" s="190"/>
      <c r="H109" s="471" t="s">
        <v>152</v>
      </c>
      <c r="I109" s="472"/>
      <c r="J109" s="209"/>
      <c r="K109" s="410">
        <v>27280</v>
      </c>
      <c r="L109" s="400">
        <f>予算!D25</f>
        <v>27280</v>
      </c>
      <c r="M109" s="401">
        <f t="shared" si="11"/>
        <v>0</v>
      </c>
      <c r="N109" s="529"/>
      <c r="O109" s="530"/>
      <c r="P109" s="167"/>
    </row>
    <row r="110" spans="2:16" ht="15" customHeight="1">
      <c r="F110" s="167"/>
      <c r="G110" s="513" t="s">
        <v>110</v>
      </c>
      <c r="H110" s="514"/>
      <c r="I110" s="514"/>
      <c r="J110" s="515"/>
      <c r="K110" s="406">
        <f>SUM(K111:K120)</f>
        <v>77600</v>
      </c>
      <c r="L110" s="214">
        <f>SUM(L111:L120)</f>
        <v>77600</v>
      </c>
      <c r="M110" s="215"/>
      <c r="N110" s="402"/>
      <c r="O110" s="403"/>
      <c r="P110" s="167"/>
    </row>
    <row r="111" spans="2:16" ht="15" customHeight="1">
      <c r="F111" s="167"/>
      <c r="G111" s="190"/>
      <c r="H111" s="467" t="s">
        <v>231</v>
      </c>
      <c r="I111" s="468"/>
      <c r="J111" s="209"/>
      <c r="K111" s="409">
        <v>47885</v>
      </c>
      <c r="L111" s="155">
        <f>予算!D26</f>
        <v>47885</v>
      </c>
      <c r="M111" s="194">
        <f t="shared" si="11"/>
        <v>0</v>
      </c>
      <c r="N111" s="442"/>
      <c r="O111" s="485"/>
      <c r="P111" s="167"/>
    </row>
    <row r="112" spans="2:16" ht="15" customHeight="1">
      <c r="F112" s="167"/>
      <c r="G112" s="190"/>
      <c r="H112" s="467" t="s">
        <v>232</v>
      </c>
      <c r="I112" s="468"/>
      <c r="J112" s="353"/>
      <c r="K112" s="411">
        <v>0</v>
      </c>
      <c r="L112" s="213">
        <f>予算!D27</f>
        <v>0</v>
      </c>
      <c r="M112" s="218">
        <f t="shared" si="11"/>
        <v>0</v>
      </c>
      <c r="N112" s="442"/>
      <c r="O112" s="485"/>
      <c r="P112" s="167"/>
    </row>
    <row r="113" spans="6:16" ht="15" customHeight="1">
      <c r="F113" s="167"/>
      <c r="G113" s="190"/>
      <c r="H113" s="467" t="s">
        <v>233</v>
      </c>
      <c r="I113" s="468"/>
      <c r="J113" s="353"/>
      <c r="K113" s="411">
        <v>0</v>
      </c>
      <c r="L113" s="213">
        <f>予算!D28</f>
        <v>0</v>
      </c>
      <c r="M113" s="218">
        <f t="shared" si="11"/>
        <v>0</v>
      </c>
      <c r="N113" s="442"/>
      <c r="O113" s="485"/>
      <c r="P113" s="167"/>
    </row>
    <row r="114" spans="6:16" ht="15" customHeight="1">
      <c r="F114" s="167"/>
      <c r="G114" s="398"/>
      <c r="H114" s="467" t="s">
        <v>234</v>
      </c>
      <c r="I114" s="468"/>
      <c r="J114" s="353"/>
      <c r="K114" s="411">
        <v>0</v>
      </c>
      <c r="L114" s="213">
        <f>予算!D29</f>
        <v>0</v>
      </c>
      <c r="M114" s="218">
        <f t="shared" si="11"/>
        <v>0</v>
      </c>
      <c r="N114" s="442"/>
      <c r="O114" s="485"/>
      <c r="P114" s="167"/>
    </row>
    <row r="115" spans="6:16" ht="15" customHeight="1">
      <c r="F115" s="167"/>
      <c r="G115" s="398"/>
      <c r="H115" s="467" t="s">
        <v>235</v>
      </c>
      <c r="I115" s="468"/>
      <c r="J115" s="152"/>
      <c r="K115" s="411">
        <v>0</v>
      </c>
      <c r="L115" s="213">
        <f>予算!D30</f>
        <v>0</v>
      </c>
      <c r="M115" s="218">
        <f t="shared" ref="M115:M119" si="12">K115-L115</f>
        <v>0</v>
      </c>
      <c r="N115" s="442"/>
      <c r="O115" s="485"/>
      <c r="P115" s="167"/>
    </row>
    <row r="116" spans="6:16" ht="15" customHeight="1">
      <c r="F116" s="167"/>
      <c r="G116" s="398"/>
      <c r="H116" s="467" t="s">
        <v>165</v>
      </c>
      <c r="I116" s="468"/>
      <c r="J116" s="152"/>
      <c r="K116" s="411">
        <v>12115</v>
      </c>
      <c r="L116" s="213">
        <f>予算!D31</f>
        <v>12115</v>
      </c>
      <c r="M116" s="218">
        <f t="shared" si="12"/>
        <v>0</v>
      </c>
      <c r="N116" s="442"/>
      <c r="O116" s="485"/>
      <c r="P116" s="167"/>
    </row>
    <row r="117" spans="6:16" ht="15" customHeight="1">
      <c r="F117" s="167"/>
      <c r="G117" s="398"/>
      <c r="H117" s="469" t="s">
        <v>102</v>
      </c>
      <c r="I117" s="470"/>
      <c r="J117" s="152"/>
      <c r="K117" s="411">
        <v>0</v>
      </c>
      <c r="L117" s="213">
        <f>予算!D32</f>
        <v>0</v>
      </c>
      <c r="M117" s="218">
        <f t="shared" si="12"/>
        <v>0</v>
      </c>
      <c r="N117" s="442"/>
      <c r="O117" s="485"/>
      <c r="P117" s="167"/>
    </row>
    <row r="118" spans="6:16" ht="15" customHeight="1">
      <c r="F118" s="167"/>
      <c r="G118" s="398"/>
      <c r="H118" s="467" t="s">
        <v>236</v>
      </c>
      <c r="I118" s="468"/>
      <c r="J118" s="152"/>
      <c r="K118" s="411">
        <v>17600</v>
      </c>
      <c r="L118" s="213">
        <f>予算!D33</f>
        <v>17600</v>
      </c>
      <c r="M118" s="218">
        <f t="shared" si="12"/>
        <v>0</v>
      </c>
      <c r="N118" s="442"/>
      <c r="O118" s="485"/>
      <c r="P118" s="167"/>
    </row>
    <row r="119" spans="6:16" ht="15" customHeight="1">
      <c r="F119" s="167"/>
      <c r="G119" s="399"/>
      <c r="H119" s="467" t="s">
        <v>152</v>
      </c>
      <c r="I119" s="468"/>
      <c r="J119" s="152"/>
      <c r="K119" s="411">
        <v>0</v>
      </c>
      <c r="L119" s="213">
        <f>予算!D34</f>
        <v>0</v>
      </c>
      <c r="M119" s="218">
        <f t="shared" si="12"/>
        <v>0</v>
      </c>
      <c r="N119" s="442"/>
      <c r="O119" s="485"/>
      <c r="P119" s="167"/>
    </row>
    <row r="120" spans="6:16" ht="15" customHeight="1">
      <c r="F120" s="167"/>
      <c r="G120" s="355"/>
      <c r="H120" s="469" t="s">
        <v>300</v>
      </c>
      <c r="I120" s="470"/>
      <c r="J120" s="354"/>
      <c r="K120" s="412">
        <v>0</v>
      </c>
      <c r="L120" s="404">
        <f>予算!D35</f>
        <v>0</v>
      </c>
      <c r="M120" s="405">
        <f t="shared" si="11"/>
        <v>0</v>
      </c>
      <c r="N120" s="478"/>
      <c r="O120" s="479"/>
      <c r="P120" s="167"/>
    </row>
    <row r="121" spans="6:16" ht="15" customHeight="1">
      <c r="F121" s="167"/>
      <c r="G121" s="455" t="s">
        <v>90</v>
      </c>
      <c r="H121" s="480"/>
      <c r="I121" s="480"/>
      <c r="J121" s="481"/>
      <c r="K121" s="159">
        <f>K100+K110</f>
        <v>677600</v>
      </c>
      <c r="L121" s="159">
        <f t="shared" ref="L121:M121" si="13">L100+L110</f>
        <v>677600</v>
      </c>
      <c r="M121" s="192">
        <f t="shared" si="13"/>
        <v>0</v>
      </c>
      <c r="N121" s="486"/>
      <c r="O121" s="487"/>
      <c r="P121" s="167"/>
    </row>
    <row r="122" spans="6:16" ht="18.75" customHeight="1">
      <c r="F122" s="167"/>
      <c r="P122" s="167"/>
    </row>
    <row r="123" spans="6:16" ht="18.75" customHeight="1">
      <c r="F123" s="167"/>
      <c r="G123" s="148" t="s">
        <v>78</v>
      </c>
      <c r="P123" s="167"/>
    </row>
    <row r="124" spans="6:16" ht="18.75" customHeight="1">
      <c r="F124" s="167"/>
      <c r="G124" s="167"/>
      <c r="H124" s="167"/>
      <c r="I124" s="167"/>
      <c r="J124" s="167"/>
      <c r="K124" s="167"/>
      <c r="L124" s="167"/>
      <c r="M124" s="167"/>
      <c r="N124" s="167"/>
      <c r="O124" s="167"/>
      <c r="P124" s="167"/>
    </row>
    <row r="125" spans="6:16" ht="18.75" customHeight="1"/>
    <row r="126" spans="6:16" ht="18.75" customHeight="1"/>
    <row r="127" spans="6:16" ht="18.75" customHeight="1"/>
    <row r="128" spans="6:16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" customHeight="1"/>
    <row r="137" ht="18" customHeight="1"/>
  </sheetData>
  <mergeCells count="150">
    <mergeCell ref="H118:I118"/>
    <mergeCell ref="H120:I120"/>
    <mergeCell ref="G100:I100"/>
    <mergeCell ref="G110:J110"/>
    <mergeCell ref="N115:O115"/>
    <mergeCell ref="N116:O116"/>
    <mergeCell ref="N117:O117"/>
    <mergeCell ref="N118:O118"/>
    <mergeCell ref="H101:I101"/>
    <mergeCell ref="H102:I102"/>
    <mergeCell ref="H103:I103"/>
    <mergeCell ref="H104:I104"/>
    <mergeCell ref="H105:I105"/>
    <mergeCell ref="H107:I107"/>
    <mergeCell ref="H108:I108"/>
    <mergeCell ref="H109:I109"/>
    <mergeCell ref="H111:I111"/>
    <mergeCell ref="N105:O105"/>
    <mergeCell ref="N109:O109"/>
    <mergeCell ref="N56:O56"/>
    <mergeCell ref="L13:M13"/>
    <mergeCell ref="N19:O19"/>
    <mergeCell ref="H20:I20"/>
    <mergeCell ref="H21:I21"/>
    <mergeCell ref="N20:O20"/>
    <mergeCell ref="N21:O21"/>
    <mergeCell ref="G24:I24"/>
    <mergeCell ref="G79:O79"/>
    <mergeCell ref="N38:O38"/>
    <mergeCell ref="M57:N57"/>
    <mergeCell ref="H36:I36"/>
    <mergeCell ref="N41:O41"/>
    <mergeCell ref="N35:O35"/>
    <mergeCell ref="N31:O31"/>
    <mergeCell ref="N33:O33"/>
    <mergeCell ref="N34:O34"/>
    <mergeCell ref="H40:I40"/>
    <mergeCell ref="H41:I41"/>
    <mergeCell ref="G54:J54"/>
    <mergeCell ref="N45:O45"/>
    <mergeCell ref="N46:O46"/>
    <mergeCell ref="N47:O47"/>
    <mergeCell ref="O61:O62"/>
    <mergeCell ref="H95:I95"/>
    <mergeCell ref="G96:J96"/>
    <mergeCell ref="G85:J85"/>
    <mergeCell ref="H23:I23"/>
    <mergeCell ref="N24:O24"/>
    <mergeCell ref="N94:O94"/>
    <mergeCell ref="N102:O102"/>
    <mergeCell ref="N95:O95"/>
    <mergeCell ref="N96:O96"/>
    <mergeCell ref="N101:O101"/>
    <mergeCell ref="H53:I53"/>
    <mergeCell ref="G30:I30"/>
    <mergeCell ref="G42:J42"/>
    <mergeCell ref="H50:I50"/>
    <mergeCell ref="H93:I93"/>
    <mergeCell ref="N32:O32"/>
    <mergeCell ref="L82:M82"/>
    <mergeCell ref="L83:M83"/>
    <mergeCell ref="N85:O85"/>
    <mergeCell ref="H31:I31"/>
    <mergeCell ref="H32:I32"/>
    <mergeCell ref="H33:I33"/>
    <mergeCell ref="H34:I34"/>
    <mergeCell ref="N53:O53"/>
    <mergeCell ref="N30:O30"/>
    <mergeCell ref="N51:O51"/>
    <mergeCell ref="N52:O52"/>
    <mergeCell ref="C5:D5"/>
    <mergeCell ref="C6:D6"/>
    <mergeCell ref="C7:D7"/>
    <mergeCell ref="C8:D8"/>
    <mergeCell ref="N16:O16"/>
    <mergeCell ref="H16:I16"/>
    <mergeCell ref="H17:I17"/>
    <mergeCell ref="H19:I19"/>
    <mergeCell ref="N17:O17"/>
    <mergeCell ref="H4:L5"/>
    <mergeCell ref="M4:M5"/>
    <mergeCell ref="G9:O9"/>
    <mergeCell ref="G15:J15"/>
    <mergeCell ref="N15:O15"/>
    <mergeCell ref="L11:M11"/>
    <mergeCell ref="L12:M12"/>
    <mergeCell ref="H18:I18"/>
    <mergeCell ref="H22:I22"/>
    <mergeCell ref="H35:I35"/>
    <mergeCell ref="N43:O43"/>
    <mergeCell ref="N44:O44"/>
    <mergeCell ref="N120:O120"/>
    <mergeCell ref="G121:J121"/>
    <mergeCell ref="N99:O99"/>
    <mergeCell ref="N100:O100"/>
    <mergeCell ref="G99:J99"/>
    <mergeCell ref="H106:I106"/>
    <mergeCell ref="N108:O108"/>
    <mergeCell ref="N104:O104"/>
    <mergeCell ref="N107:O107"/>
    <mergeCell ref="N106:O106"/>
    <mergeCell ref="H119:I119"/>
    <mergeCell ref="H113:I113"/>
    <mergeCell ref="H114:I114"/>
    <mergeCell ref="N121:O121"/>
    <mergeCell ref="N103:O103"/>
    <mergeCell ref="H112:I112"/>
    <mergeCell ref="N113:O113"/>
    <mergeCell ref="N114:O114"/>
    <mergeCell ref="N119:O119"/>
    <mergeCell ref="N111:O111"/>
    <mergeCell ref="N112:O112"/>
    <mergeCell ref="H115:I115"/>
    <mergeCell ref="H116:I116"/>
    <mergeCell ref="H117:I117"/>
    <mergeCell ref="N25:O25"/>
    <mergeCell ref="G29:J29"/>
    <mergeCell ref="H25:I25"/>
    <mergeCell ref="G26:J26"/>
    <mergeCell ref="N26:O26"/>
    <mergeCell ref="N39:O39"/>
    <mergeCell ref="N29:O29"/>
    <mergeCell ref="N40:O40"/>
    <mergeCell ref="H91:I91"/>
    <mergeCell ref="N91:O91"/>
    <mergeCell ref="H51:I51"/>
    <mergeCell ref="H52:I52"/>
    <mergeCell ref="H39:I39"/>
    <mergeCell ref="H45:I45"/>
    <mergeCell ref="H46:I46"/>
    <mergeCell ref="H47:I47"/>
    <mergeCell ref="H48:I48"/>
    <mergeCell ref="H49:I49"/>
    <mergeCell ref="H37:I37"/>
    <mergeCell ref="H38:I38"/>
    <mergeCell ref="H43:I43"/>
    <mergeCell ref="H44:I44"/>
    <mergeCell ref="L81:M81"/>
    <mergeCell ref="N54:O54"/>
    <mergeCell ref="G94:I94"/>
    <mergeCell ref="H86:I86"/>
    <mergeCell ref="N86:O86"/>
    <mergeCell ref="H87:I87"/>
    <mergeCell ref="N87:O87"/>
    <mergeCell ref="H88:I88"/>
    <mergeCell ref="H89:I89"/>
    <mergeCell ref="N89:O89"/>
    <mergeCell ref="H90:I90"/>
    <mergeCell ref="N90:O90"/>
    <mergeCell ref="H92:I92"/>
  </mergeCells>
  <phoneticPr fontId="5"/>
  <dataValidations count="3">
    <dataValidation type="list" allowBlank="1" showInputMessage="1" showErrorMessage="1" sqref="M4:M5">
      <formula1>"中間,決算"</formula1>
    </dataValidation>
    <dataValidation imeMode="off" allowBlank="1" showInputMessage="1" showErrorMessage="1" sqref="C3:C4"/>
    <dataValidation imeMode="on" allowBlank="1" showInputMessage="1" showErrorMessage="1" sqref="N16:O25 C5:D8 N30:O53 N86:O95 O100:O119 N100:N120"/>
  </dataValidations>
  <pageMargins left="0.98425196850393704" right="0.59055118110236204" top="0.78740157480314998" bottom="0.78740157480314998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autoFill="0" autoLine="0" autoPict="0" macro="[0]!メニュー">
                <anchor moveWithCells="1" sizeWithCells="1">
                  <from>
                    <xdr:col>1</xdr:col>
                    <xdr:colOff>466725</xdr:colOff>
                    <xdr:row>29</xdr:row>
                    <xdr:rowOff>171450</xdr:rowOff>
                  </from>
                  <to>
                    <xdr:col>2</xdr:col>
                    <xdr:colOff>704850</xdr:colOff>
                    <xdr:row>32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autoFill="0" autoLine="0" autoPict="0" macro="[0]!報印刷">
                <anchor moveWithCells="1" sizeWithCells="1">
                  <from>
                    <xdr:col>1</xdr:col>
                    <xdr:colOff>476250</xdr:colOff>
                    <xdr:row>18</xdr:row>
                    <xdr:rowOff>133350</xdr:rowOff>
                  </from>
                  <to>
                    <xdr:col>2</xdr:col>
                    <xdr:colOff>704850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autoFill="0" autoLine="0" autoPict="0" macro="[0]!メニュー">
                <anchor moveWithCells="1" sizeWithCells="1">
                  <from>
                    <xdr:col>1</xdr:col>
                    <xdr:colOff>495300</xdr:colOff>
                    <xdr:row>111</xdr:row>
                    <xdr:rowOff>66675</xdr:rowOff>
                  </from>
                  <to>
                    <xdr:col>2</xdr:col>
                    <xdr:colOff>733425</xdr:colOff>
                    <xdr:row>112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autoFill="0" autoLine="0" autoPict="0" macro="[0]!予印刷">
                <anchor moveWithCells="1" sizeWithCells="1">
                  <from>
                    <xdr:col>1</xdr:col>
                    <xdr:colOff>247650</xdr:colOff>
                    <xdr:row>101</xdr:row>
                    <xdr:rowOff>19050</xdr:rowOff>
                  </from>
                  <to>
                    <xdr:col>2</xdr:col>
                    <xdr:colOff>485775</xdr:colOff>
                    <xdr:row>103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R58"/>
  <sheetViews>
    <sheetView showGridLines="0" topLeftCell="A5" zoomScale="120" zoomScaleNormal="120" workbookViewId="0">
      <selection activeCell="M21" sqref="M21"/>
    </sheetView>
  </sheetViews>
  <sheetFormatPr defaultRowHeight="13.5"/>
  <cols>
    <col min="1" max="1" width="1" style="277" customWidth="1"/>
    <col min="2" max="2" width="29.85546875" style="277" customWidth="1"/>
    <col min="3" max="3" width="8.7109375" style="277" customWidth="1"/>
    <col min="4" max="4" width="13.7109375" style="277" customWidth="1"/>
    <col min="5" max="5" width="9.85546875" style="277" customWidth="1"/>
    <col min="6" max="6" width="8.85546875" style="277" customWidth="1"/>
    <col min="7" max="7" width="3.85546875" style="277" customWidth="1"/>
    <col min="8" max="8" width="6.85546875" style="277" customWidth="1"/>
    <col min="9" max="9" width="5.7109375" style="277" customWidth="1"/>
    <col min="10" max="10" width="4.85546875" style="277" customWidth="1"/>
    <col min="11" max="11" width="0.28515625" style="277" customWidth="1"/>
    <col min="12" max="12" width="8.85546875" style="277" customWidth="1"/>
    <col min="13" max="13" width="9.140625" style="277" customWidth="1"/>
    <col min="14" max="15" width="9.140625" style="277"/>
    <col min="16" max="16" width="9.7109375" style="277" bestFit="1" customWidth="1"/>
    <col min="17" max="17" width="3.42578125" style="277" customWidth="1"/>
    <col min="18" max="16384" width="9.140625" style="277"/>
  </cols>
  <sheetData>
    <row r="1" spans="2:18" ht="4.5" customHeight="1"/>
    <row r="2" spans="2:18" ht="17.25" customHeight="1">
      <c r="B2" s="531" t="s">
        <v>246</v>
      </c>
      <c r="C2" s="532"/>
      <c r="D2" s="532"/>
      <c r="E2" s="278"/>
      <c r="F2" s="278"/>
      <c r="G2" s="278"/>
      <c r="H2" s="278"/>
    </row>
    <row r="3" spans="2:18" ht="3" customHeight="1">
      <c r="B3" s="279"/>
    </row>
    <row r="4" spans="2:18" ht="15" customHeight="1">
      <c r="B4" s="533" t="s">
        <v>247</v>
      </c>
      <c r="C4" s="534"/>
      <c r="D4" s="534"/>
      <c r="E4" s="534"/>
      <c r="F4" s="534"/>
      <c r="G4" s="534"/>
      <c r="H4" s="534"/>
      <c r="I4" s="534"/>
      <c r="J4" s="534"/>
    </row>
    <row r="5" spans="2:18" ht="3.75" customHeight="1">
      <c r="B5" s="279"/>
    </row>
    <row r="6" spans="2:18" ht="17.25" customHeight="1">
      <c r="B6" s="280" t="s">
        <v>248</v>
      </c>
      <c r="J6" s="281" t="s">
        <v>249</v>
      </c>
    </row>
    <row r="7" spans="2:18" ht="15" customHeight="1">
      <c r="B7" s="282" t="s">
        <v>250</v>
      </c>
      <c r="C7" s="535" t="s">
        <v>251</v>
      </c>
      <c r="D7" s="536"/>
      <c r="E7" s="535" t="s">
        <v>252</v>
      </c>
      <c r="F7" s="537"/>
      <c r="G7" s="537"/>
      <c r="H7" s="537"/>
      <c r="I7" s="538"/>
      <c r="J7" s="536"/>
    </row>
    <row r="8" spans="2:18" ht="15" customHeight="1">
      <c r="B8" s="539" t="s">
        <v>253</v>
      </c>
      <c r="C8" s="543">
        <f>報告!L31</f>
        <v>287310</v>
      </c>
      <c r="D8" s="544"/>
      <c r="E8" s="356" t="s">
        <v>303</v>
      </c>
      <c r="F8" s="357"/>
      <c r="G8" s="358" t="s">
        <v>302</v>
      </c>
      <c r="H8" s="359"/>
      <c r="I8" s="360"/>
      <c r="J8" s="361"/>
      <c r="R8" s="277">
        <f>IF(J8="",F8*H8*I8,F8*H8*I8*J8)</f>
        <v>0</v>
      </c>
    </row>
    <row r="9" spans="2:18" ht="15" hidden="1" customHeight="1">
      <c r="B9" s="540"/>
      <c r="C9" s="545"/>
      <c r="D9" s="546"/>
      <c r="E9" s="362"/>
      <c r="F9" s="363"/>
      <c r="G9" s="364"/>
      <c r="H9" s="365"/>
      <c r="I9" s="366"/>
      <c r="J9" s="367"/>
      <c r="R9" s="277">
        <f>IF(J9="",F9*H9*I9,F9*H9*I9*J9)</f>
        <v>0</v>
      </c>
    </row>
    <row r="10" spans="2:18" ht="15" hidden="1" customHeight="1">
      <c r="B10" s="541"/>
      <c r="C10" s="547"/>
      <c r="D10" s="546"/>
      <c r="E10" s="362"/>
      <c r="F10" s="363"/>
      <c r="G10" s="364"/>
      <c r="H10" s="368"/>
      <c r="I10" s="365"/>
      <c r="J10" s="369"/>
      <c r="R10" s="277">
        <f>F10*H10*I10*J10</f>
        <v>0</v>
      </c>
    </row>
    <row r="11" spans="2:18" ht="15" hidden="1" customHeight="1">
      <c r="B11" s="542"/>
      <c r="C11" s="548"/>
      <c r="D11" s="549"/>
      <c r="E11" s="370"/>
      <c r="F11" s="363"/>
      <c r="G11" s="371"/>
      <c r="H11" s="368"/>
      <c r="I11" s="366"/>
      <c r="J11" s="372"/>
      <c r="R11" s="277">
        <f>F11*H11*I11</f>
        <v>0</v>
      </c>
    </row>
    <row r="12" spans="2:18" ht="15" customHeight="1">
      <c r="B12" s="283" t="s">
        <v>161</v>
      </c>
      <c r="C12" s="550">
        <f>報告!L32</f>
        <v>42000</v>
      </c>
      <c r="D12" s="551"/>
      <c r="E12" s="552" t="s">
        <v>254</v>
      </c>
      <c r="F12" s="553"/>
      <c r="G12" s="553"/>
      <c r="H12" s="553"/>
      <c r="I12" s="553"/>
      <c r="J12" s="554"/>
    </row>
    <row r="13" spans="2:18" ht="15" customHeight="1">
      <c r="B13" s="284" t="s">
        <v>162</v>
      </c>
      <c r="C13" s="550">
        <f>報告!L33</f>
        <v>13000</v>
      </c>
      <c r="D13" s="551"/>
      <c r="E13" s="552" t="s">
        <v>255</v>
      </c>
      <c r="F13" s="553"/>
      <c r="G13" s="553"/>
      <c r="H13" s="553"/>
      <c r="I13" s="553"/>
      <c r="J13" s="554"/>
    </row>
    <row r="14" spans="2:18" ht="15" customHeight="1">
      <c r="B14" s="284" t="s">
        <v>163</v>
      </c>
      <c r="C14" s="550">
        <f>報告!L34</f>
        <v>30000</v>
      </c>
      <c r="D14" s="551"/>
      <c r="E14" s="552" t="s">
        <v>256</v>
      </c>
      <c r="F14" s="553"/>
      <c r="G14" s="553"/>
      <c r="H14" s="553"/>
      <c r="I14" s="553"/>
      <c r="J14" s="554"/>
    </row>
    <row r="15" spans="2:18" ht="15" hidden="1" customHeight="1">
      <c r="B15" s="284" t="s">
        <v>164</v>
      </c>
      <c r="C15" s="550"/>
      <c r="D15" s="551"/>
      <c r="E15" s="552"/>
      <c r="F15" s="553"/>
      <c r="G15" s="553"/>
      <c r="H15" s="553"/>
      <c r="I15" s="553"/>
      <c r="J15" s="554"/>
    </row>
    <row r="16" spans="2:18" ht="15" customHeight="1">
      <c r="B16" s="284" t="s">
        <v>235</v>
      </c>
      <c r="C16" s="550">
        <f>報告!L35</f>
        <v>0</v>
      </c>
      <c r="D16" s="551"/>
      <c r="E16" s="552"/>
      <c r="F16" s="553"/>
      <c r="G16" s="553"/>
      <c r="H16" s="553"/>
      <c r="I16" s="553"/>
      <c r="J16" s="554"/>
    </row>
    <row r="17" spans="2:18" ht="15" customHeight="1">
      <c r="B17" s="284" t="s">
        <v>165</v>
      </c>
      <c r="C17" s="550">
        <f>報告!L36</f>
        <v>83600</v>
      </c>
      <c r="D17" s="551"/>
      <c r="E17" s="552" t="s">
        <v>257</v>
      </c>
      <c r="F17" s="553"/>
      <c r="G17" s="553"/>
      <c r="H17" s="553"/>
      <c r="I17" s="553"/>
      <c r="J17" s="554"/>
    </row>
    <row r="18" spans="2:18" ht="15" customHeight="1">
      <c r="B18" s="284" t="s">
        <v>166</v>
      </c>
      <c r="C18" s="550">
        <f>報告!L37</f>
        <v>116810</v>
      </c>
      <c r="D18" s="551"/>
      <c r="E18" s="552" t="s">
        <v>258</v>
      </c>
      <c r="F18" s="553"/>
      <c r="G18" s="553"/>
      <c r="H18" s="553"/>
      <c r="I18" s="553"/>
      <c r="J18" s="554"/>
    </row>
    <row r="19" spans="2:18" ht="15" customHeight="1">
      <c r="B19" s="284" t="s">
        <v>167</v>
      </c>
      <c r="C19" s="550">
        <f>報告!L38</f>
        <v>0</v>
      </c>
      <c r="D19" s="551"/>
      <c r="E19" s="552" t="s">
        <v>259</v>
      </c>
      <c r="F19" s="553"/>
      <c r="G19" s="553"/>
      <c r="H19" s="553"/>
      <c r="I19" s="553"/>
      <c r="J19" s="554"/>
    </row>
    <row r="20" spans="2:18" ht="15" customHeight="1" thickBot="1">
      <c r="B20" s="285" t="s">
        <v>168</v>
      </c>
      <c r="C20" s="543">
        <f>報告!L39</f>
        <v>27280</v>
      </c>
      <c r="D20" s="555"/>
      <c r="E20" s="556" t="s">
        <v>260</v>
      </c>
      <c r="F20" s="557"/>
      <c r="G20" s="557"/>
      <c r="H20" s="557"/>
      <c r="I20" s="557"/>
      <c r="J20" s="558"/>
    </row>
    <row r="21" spans="2:18" ht="15" customHeight="1">
      <c r="B21" s="559" t="s">
        <v>253</v>
      </c>
      <c r="C21" s="563">
        <f>報告!L43</f>
        <v>47885</v>
      </c>
      <c r="D21" s="564"/>
      <c r="E21" s="373" t="s">
        <v>303</v>
      </c>
      <c r="F21" s="374"/>
      <c r="G21" s="375" t="s">
        <v>302</v>
      </c>
      <c r="H21" s="376"/>
      <c r="I21" s="377"/>
      <c r="J21" s="378"/>
      <c r="R21" s="277">
        <f>IF(J21="",F21*H21*I21,F21*H21*I21*J21)</f>
        <v>0</v>
      </c>
    </row>
    <row r="22" spans="2:18" ht="15" hidden="1" customHeight="1">
      <c r="B22" s="560"/>
      <c r="C22" s="545"/>
      <c r="D22" s="546"/>
      <c r="E22" s="362"/>
      <c r="F22" s="363"/>
      <c r="G22" s="364"/>
      <c r="H22" s="365"/>
      <c r="I22" s="366"/>
      <c r="J22" s="379"/>
      <c r="R22" s="277">
        <f>IF(J22="",F22*H22*I22,F22*H22*I22*J22)</f>
        <v>0</v>
      </c>
    </row>
    <row r="23" spans="2:18" ht="15" hidden="1" customHeight="1">
      <c r="B23" s="561"/>
      <c r="C23" s="547"/>
      <c r="D23" s="546"/>
      <c r="E23" s="362"/>
      <c r="F23" s="363"/>
      <c r="G23" s="364"/>
      <c r="H23" s="368"/>
      <c r="I23" s="365"/>
      <c r="J23" s="380"/>
      <c r="R23" s="277">
        <f>F23*H23*I23*J23</f>
        <v>0</v>
      </c>
    </row>
    <row r="24" spans="2:18" ht="15" hidden="1" customHeight="1">
      <c r="B24" s="562"/>
      <c r="C24" s="548"/>
      <c r="D24" s="549"/>
      <c r="E24" s="370"/>
      <c r="F24" s="381"/>
      <c r="G24" s="371"/>
      <c r="H24" s="382"/>
      <c r="I24" s="383"/>
      <c r="J24" s="384"/>
      <c r="R24" s="277">
        <f>F24*H24*I24</f>
        <v>0</v>
      </c>
    </row>
    <row r="25" spans="2:18" ht="15" customHeight="1">
      <c r="B25" s="286" t="s">
        <v>261</v>
      </c>
      <c r="C25" s="550">
        <f>報告!L44</f>
        <v>0</v>
      </c>
      <c r="D25" s="551"/>
      <c r="E25" s="552"/>
      <c r="F25" s="553"/>
      <c r="G25" s="553"/>
      <c r="H25" s="553"/>
      <c r="I25" s="553"/>
      <c r="J25" s="565"/>
    </row>
    <row r="26" spans="2:18" ht="15" customHeight="1">
      <c r="B26" s="286" t="s">
        <v>262</v>
      </c>
      <c r="C26" s="550">
        <f>報告!L45</f>
        <v>0</v>
      </c>
      <c r="D26" s="551"/>
      <c r="E26" s="552"/>
      <c r="F26" s="553"/>
      <c r="G26" s="553"/>
      <c r="H26" s="553"/>
      <c r="I26" s="553"/>
      <c r="J26" s="565"/>
    </row>
    <row r="27" spans="2:18" ht="15" customHeight="1">
      <c r="B27" s="286" t="s">
        <v>263</v>
      </c>
      <c r="C27" s="550">
        <f>報告!L46</f>
        <v>0</v>
      </c>
      <c r="D27" s="551"/>
      <c r="E27" s="552"/>
      <c r="F27" s="553"/>
      <c r="G27" s="553"/>
      <c r="H27" s="553"/>
      <c r="I27" s="553"/>
      <c r="J27" s="565"/>
    </row>
    <row r="28" spans="2:18" ht="15" hidden="1" customHeight="1">
      <c r="B28" s="286" t="s">
        <v>264</v>
      </c>
      <c r="C28" s="550"/>
      <c r="D28" s="551"/>
      <c r="E28" s="552"/>
      <c r="F28" s="553"/>
      <c r="G28" s="553"/>
      <c r="H28" s="553"/>
      <c r="I28" s="553"/>
      <c r="J28" s="565"/>
    </row>
    <row r="29" spans="2:18" ht="15" customHeight="1">
      <c r="B29" s="286" t="s">
        <v>265</v>
      </c>
      <c r="C29" s="550">
        <f>報告!L47</f>
        <v>0</v>
      </c>
      <c r="D29" s="551"/>
      <c r="E29" s="552"/>
      <c r="F29" s="553"/>
      <c r="G29" s="553"/>
      <c r="H29" s="553"/>
      <c r="I29" s="553"/>
      <c r="J29" s="565"/>
    </row>
    <row r="30" spans="2:18" ht="15" customHeight="1">
      <c r="B30" s="286" t="s">
        <v>266</v>
      </c>
      <c r="C30" s="550">
        <f>報告!L48</f>
        <v>12115</v>
      </c>
      <c r="D30" s="551"/>
      <c r="E30" s="552" t="s">
        <v>267</v>
      </c>
      <c r="F30" s="553"/>
      <c r="G30" s="553"/>
      <c r="H30" s="553"/>
      <c r="I30" s="553"/>
      <c r="J30" s="565"/>
    </row>
    <row r="31" spans="2:18" ht="15" customHeight="1">
      <c r="B31" s="286" t="s">
        <v>268</v>
      </c>
      <c r="C31" s="550">
        <f>報告!L49</f>
        <v>0</v>
      </c>
      <c r="D31" s="551"/>
      <c r="E31" s="552"/>
      <c r="F31" s="553"/>
      <c r="G31" s="553"/>
      <c r="H31" s="553"/>
      <c r="I31" s="553"/>
      <c r="J31" s="565"/>
    </row>
    <row r="32" spans="2:18" ht="15" customHeight="1">
      <c r="B32" s="286" t="s">
        <v>269</v>
      </c>
      <c r="C32" s="550">
        <f>報告!L50</f>
        <v>17600</v>
      </c>
      <c r="D32" s="551"/>
      <c r="E32" s="552" t="s">
        <v>270</v>
      </c>
      <c r="F32" s="553"/>
      <c r="G32" s="553"/>
      <c r="H32" s="553"/>
      <c r="I32" s="553"/>
      <c r="J32" s="565"/>
    </row>
    <row r="33" spans="2:17" ht="15" customHeight="1">
      <c r="B33" s="308" t="s">
        <v>271</v>
      </c>
      <c r="C33" s="543">
        <f>報告!L51</f>
        <v>0</v>
      </c>
      <c r="D33" s="555"/>
      <c r="E33" s="571"/>
      <c r="F33" s="572"/>
      <c r="G33" s="572"/>
      <c r="H33" s="572"/>
      <c r="I33" s="572"/>
      <c r="J33" s="573"/>
    </row>
    <row r="34" spans="2:17" ht="15" customHeight="1" thickBot="1">
      <c r="B34" s="287" t="s">
        <v>301</v>
      </c>
      <c r="C34" s="566">
        <f>報告!L52</f>
        <v>0</v>
      </c>
      <c r="D34" s="567"/>
      <c r="E34" s="568"/>
      <c r="F34" s="569"/>
      <c r="G34" s="569"/>
      <c r="H34" s="569"/>
      <c r="I34" s="569"/>
      <c r="J34" s="584"/>
    </row>
    <row r="35" spans="2:17" ht="15" customHeight="1">
      <c r="B35" s="288" t="s">
        <v>160</v>
      </c>
      <c r="C35" s="574">
        <f>SUM(C7:D34)</f>
        <v>677600</v>
      </c>
      <c r="D35" s="575"/>
      <c r="E35" s="576"/>
      <c r="F35" s="577"/>
      <c r="G35" s="577"/>
      <c r="H35" s="577"/>
      <c r="I35" s="577"/>
      <c r="J35" s="578"/>
    </row>
    <row r="36" spans="2:17" ht="15" customHeight="1">
      <c r="B36" s="289" t="s">
        <v>272</v>
      </c>
      <c r="C36" s="579">
        <f>SUM(C8:D20)</f>
        <v>600000</v>
      </c>
      <c r="D36" s="580"/>
      <c r="E36" s="581"/>
      <c r="F36" s="582"/>
      <c r="G36" s="582"/>
      <c r="H36" s="582"/>
      <c r="I36" s="582"/>
      <c r="J36" s="583"/>
    </row>
    <row r="37" spans="2:17" ht="6" customHeight="1">
      <c r="B37" s="279"/>
    </row>
    <row r="38" spans="2:17" ht="17.100000000000001" customHeight="1">
      <c r="B38" s="280" t="s">
        <v>273</v>
      </c>
      <c r="J38" s="281" t="s">
        <v>249</v>
      </c>
    </row>
    <row r="39" spans="2:17" ht="15" customHeight="1">
      <c r="B39" s="282" t="s">
        <v>250</v>
      </c>
      <c r="C39" s="535" t="s">
        <v>251</v>
      </c>
      <c r="D39" s="536"/>
      <c r="E39" s="535" t="s">
        <v>252</v>
      </c>
      <c r="F39" s="537"/>
      <c r="G39" s="537"/>
      <c r="H39" s="537"/>
      <c r="I39" s="538"/>
      <c r="J39" s="536"/>
    </row>
    <row r="40" spans="2:17" ht="15" customHeight="1">
      <c r="B40" s="284" t="s">
        <v>274</v>
      </c>
      <c r="C40" s="550">
        <f>報告!L16</f>
        <v>360000</v>
      </c>
      <c r="D40" s="551"/>
      <c r="E40" s="385">
        <v>3000</v>
      </c>
      <c r="F40" s="386" t="s">
        <v>275</v>
      </c>
      <c r="G40" s="387">
        <v>6</v>
      </c>
      <c r="H40" s="386" t="s">
        <v>276</v>
      </c>
      <c r="I40" s="387">
        <v>20</v>
      </c>
      <c r="J40" s="388" t="s">
        <v>277</v>
      </c>
    </row>
    <row r="41" spans="2:17" ht="15" customHeight="1">
      <c r="B41" s="285" t="s">
        <v>278</v>
      </c>
      <c r="C41" s="543">
        <f>報告!L17</f>
        <v>0</v>
      </c>
      <c r="D41" s="555"/>
      <c r="E41" s="389"/>
      <c r="F41" s="390" t="s">
        <v>279</v>
      </c>
      <c r="G41" s="391"/>
      <c r="H41" s="585" t="s">
        <v>280</v>
      </c>
      <c r="I41" s="586"/>
      <c r="J41" s="587"/>
    </row>
    <row r="42" spans="2:17" ht="15" customHeight="1" thickBot="1">
      <c r="B42" s="310" t="s">
        <v>281</v>
      </c>
      <c r="C42" s="566">
        <f>報告!L18</f>
        <v>1000</v>
      </c>
      <c r="D42" s="567"/>
      <c r="E42" s="568" t="s">
        <v>282</v>
      </c>
      <c r="F42" s="569"/>
      <c r="G42" s="569"/>
      <c r="H42" s="569"/>
      <c r="I42" s="569"/>
      <c r="J42" s="570"/>
    </row>
    <row r="43" spans="2:17" ht="15" customHeight="1">
      <c r="B43" s="291" t="s">
        <v>283</v>
      </c>
      <c r="C43" s="588">
        <f>報告!L20</f>
        <v>60000</v>
      </c>
      <c r="D43" s="589"/>
      <c r="E43" s="392">
        <v>3000</v>
      </c>
      <c r="F43" s="393" t="s">
        <v>275</v>
      </c>
      <c r="G43" s="394">
        <v>1</v>
      </c>
      <c r="H43" s="394" t="s">
        <v>276</v>
      </c>
      <c r="I43" s="394">
        <v>20</v>
      </c>
      <c r="J43" s="395" t="s">
        <v>277</v>
      </c>
    </row>
    <row r="44" spans="2:17" ht="15" customHeight="1">
      <c r="B44" s="309" t="s">
        <v>278</v>
      </c>
      <c r="C44" s="543">
        <f>報告!L22</f>
        <v>17600</v>
      </c>
      <c r="D44" s="555"/>
      <c r="E44" s="396">
        <v>800</v>
      </c>
      <c r="F44" s="397" t="s">
        <v>279</v>
      </c>
      <c r="G44" s="397">
        <v>22</v>
      </c>
      <c r="H44" s="590" t="s">
        <v>280</v>
      </c>
      <c r="I44" s="591"/>
      <c r="J44" s="592"/>
      <c r="N44" s="593" t="s">
        <v>169</v>
      </c>
      <c r="O44" s="594"/>
      <c r="P44" s="292">
        <f>D55</f>
        <v>361000</v>
      </c>
      <c r="Q44" s="293" t="s">
        <v>159</v>
      </c>
    </row>
    <row r="45" spans="2:17" ht="15" customHeight="1">
      <c r="B45" s="294" t="s">
        <v>284</v>
      </c>
      <c r="C45" s="550">
        <f>報告!L21</f>
        <v>0</v>
      </c>
      <c r="D45" s="551"/>
      <c r="E45" s="595"/>
      <c r="F45" s="596"/>
      <c r="G45" s="596"/>
      <c r="H45" s="596"/>
      <c r="I45" s="596"/>
      <c r="J45" s="597"/>
      <c r="N45" s="598" t="s">
        <v>170</v>
      </c>
      <c r="O45" s="599"/>
      <c r="P45" s="295">
        <f>B55</f>
        <v>600000</v>
      </c>
      <c r="Q45" s="293" t="s">
        <v>159</v>
      </c>
    </row>
    <row r="46" spans="2:17" ht="15" customHeight="1" thickBot="1">
      <c r="B46" s="290" t="s">
        <v>285</v>
      </c>
      <c r="C46" s="566">
        <f>報告!L23</f>
        <v>0</v>
      </c>
      <c r="D46" s="567"/>
      <c r="E46" s="568" t="s">
        <v>286</v>
      </c>
      <c r="F46" s="569"/>
      <c r="G46" s="569"/>
      <c r="H46" s="569"/>
      <c r="I46" s="569"/>
      <c r="J46" s="584"/>
      <c r="N46" s="601" t="s">
        <v>171</v>
      </c>
      <c r="O46" s="599"/>
      <c r="P46" s="296">
        <f>P45-P44</f>
        <v>239000</v>
      </c>
      <c r="Q46" s="297" t="s">
        <v>159</v>
      </c>
    </row>
    <row r="47" spans="2:17" ht="15" customHeight="1">
      <c r="B47" s="288" t="s">
        <v>160</v>
      </c>
      <c r="C47" s="602">
        <f>SUM(C40:D46)</f>
        <v>438600</v>
      </c>
      <c r="D47" s="603"/>
      <c r="E47" s="576"/>
      <c r="F47" s="577"/>
      <c r="G47" s="577"/>
      <c r="H47" s="577"/>
      <c r="I47" s="577"/>
      <c r="J47" s="578"/>
      <c r="N47" s="601" t="s">
        <v>172</v>
      </c>
      <c r="O47" s="599"/>
      <c r="P47" s="298">
        <f>予算!O14</f>
        <v>288000</v>
      </c>
      <c r="Q47" s="293" t="s">
        <v>159</v>
      </c>
    </row>
    <row r="48" spans="2:17" ht="15" customHeight="1">
      <c r="B48" s="289" t="s">
        <v>272</v>
      </c>
      <c r="C48" s="604">
        <f>C40+C41+C42</f>
        <v>361000</v>
      </c>
      <c r="D48" s="605"/>
      <c r="E48" s="581"/>
      <c r="F48" s="582"/>
      <c r="G48" s="582"/>
      <c r="H48" s="582"/>
      <c r="I48" s="582"/>
      <c r="J48" s="583"/>
      <c r="N48" s="598" t="s">
        <v>173</v>
      </c>
      <c r="O48" s="606"/>
      <c r="P48" s="298">
        <f>ROUNDDOWN(P45/2,0)</f>
        <v>300000</v>
      </c>
      <c r="Q48" s="293" t="s">
        <v>159</v>
      </c>
    </row>
    <row r="49" spans="2:17" ht="17.100000000000001" customHeight="1">
      <c r="B49" s="607" t="s">
        <v>287</v>
      </c>
      <c r="C49" s="608"/>
      <c r="D49" s="608"/>
      <c r="E49" s="608"/>
      <c r="F49" s="608"/>
      <c r="G49" s="608"/>
      <c r="H49" s="608"/>
      <c r="I49" s="608"/>
      <c r="J49" s="608"/>
      <c r="N49" s="601" t="s">
        <v>174</v>
      </c>
      <c r="O49" s="599"/>
      <c r="P49" s="299">
        <f>IF(P47="対象外",0,ROUNDDOWN(MAX(0,MIN(P46:P48)),-3))</f>
        <v>239000</v>
      </c>
      <c r="Q49" s="300" t="s">
        <v>159</v>
      </c>
    </row>
    <row r="50" spans="2:17" ht="17.100000000000001" customHeight="1">
      <c r="B50" s="301" t="s">
        <v>288</v>
      </c>
      <c r="C50" s="279"/>
      <c r="D50" s="278"/>
      <c r="E50" s="278"/>
      <c r="F50" s="278"/>
      <c r="G50" s="278"/>
      <c r="H50" s="278"/>
      <c r="I50" s="278"/>
      <c r="J50" s="278"/>
      <c r="N50" s="600" t="s">
        <v>289</v>
      </c>
      <c r="O50" s="600"/>
      <c r="P50" s="302">
        <f>C47</f>
        <v>438600</v>
      </c>
      <c r="Q50" s="303" t="s">
        <v>159</v>
      </c>
    </row>
    <row r="51" spans="2:17" ht="17.100000000000001" customHeight="1">
      <c r="B51" s="531" t="s">
        <v>290</v>
      </c>
      <c r="C51" s="532"/>
      <c r="D51" s="532"/>
      <c r="E51" s="532"/>
      <c r="F51" s="532"/>
      <c r="G51" s="532"/>
      <c r="H51" s="532"/>
      <c r="I51" s="532"/>
      <c r="J51" s="278"/>
      <c r="N51" s="600" t="s">
        <v>291</v>
      </c>
      <c r="O51" s="600"/>
      <c r="P51" s="304">
        <f>P49</f>
        <v>239000</v>
      </c>
      <c r="Q51" s="303" t="s">
        <v>159</v>
      </c>
    </row>
    <row r="52" spans="2:17" ht="17.100000000000001" customHeight="1">
      <c r="B52" s="531"/>
      <c r="C52" s="532"/>
      <c r="D52" s="532"/>
      <c r="E52" s="532"/>
      <c r="F52" s="532"/>
      <c r="G52" s="532"/>
      <c r="H52" s="532"/>
      <c r="I52" s="532"/>
      <c r="J52" s="532"/>
      <c r="N52" s="600" t="s">
        <v>292</v>
      </c>
      <c r="O52" s="600"/>
      <c r="P52" s="302">
        <f>P50+P51</f>
        <v>677600</v>
      </c>
      <c r="Q52" s="303" t="s">
        <v>159</v>
      </c>
    </row>
    <row r="53" spans="2:17" ht="3.75" customHeight="1">
      <c r="B53" s="279"/>
      <c r="N53" s="305"/>
      <c r="O53" s="305"/>
    </row>
    <row r="54" spans="2:17" ht="17.100000000000001" customHeight="1">
      <c r="B54" s="614" t="s">
        <v>293</v>
      </c>
      <c r="C54" s="615"/>
      <c r="D54" s="615"/>
      <c r="E54" s="615"/>
      <c r="F54" s="615"/>
      <c r="G54" s="615"/>
      <c r="H54" s="615"/>
      <c r="I54" s="615"/>
      <c r="J54" s="615"/>
      <c r="N54" s="616" t="s">
        <v>294</v>
      </c>
      <c r="O54" s="616"/>
      <c r="P54" s="306">
        <f>C35</f>
        <v>677600</v>
      </c>
      <c r="Q54" s="307" t="s">
        <v>159</v>
      </c>
    </row>
    <row r="55" spans="2:17" ht="20.100000000000001" customHeight="1">
      <c r="B55" s="617">
        <f>C36</f>
        <v>600000</v>
      </c>
      <c r="C55" s="619" t="s">
        <v>295</v>
      </c>
      <c r="D55" s="621">
        <f>C48</f>
        <v>361000</v>
      </c>
      <c r="E55" s="622"/>
      <c r="F55" s="619" t="s">
        <v>296</v>
      </c>
      <c r="G55" s="617">
        <f>B55-D55</f>
        <v>239000</v>
      </c>
      <c r="H55" s="625"/>
      <c r="I55" s="625"/>
      <c r="J55" s="626"/>
      <c r="N55" s="609" t="s">
        <v>297</v>
      </c>
      <c r="O55" s="610"/>
      <c r="P55" s="306">
        <f>C47+P49-C35-C45-C46</f>
        <v>0</v>
      </c>
      <c r="Q55" s="307" t="s">
        <v>159</v>
      </c>
    </row>
    <row r="56" spans="2:17" ht="20.100000000000001" customHeight="1">
      <c r="B56" s="618"/>
      <c r="C56" s="620"/>
      <c r="D56" s="623"/>
      <c r="E56" s="624"/>
      <c r="F56" s="620"/>
      <c r="G56" s="627"/>
      <c r="H56" s="628"/>
      <c r="I56" s="628"/>
      <c r="J56" s="629"/>
      <c r="N56" s="611" t="s">
        <v>298</v>
      </c>
      <c r="O56" s="612"/>
      <c r="P56" s="612"/>
      <c r="Q56" s="612"/>
    </row>
    <row r="57" spans="2:17" ht="3.75" customHeight="1">
      <c r="N57" s="613"/>
      <c r="O57" s="613"/>
      <c r="P57" s="613"/>
      <c r="Q57" s="613"/>
    </row>
    <row r="58" spans="2:17" ht="25.5" customHeight="1">
      <c r="B58" s="279"/>
      <c r="N58" s="613"/>
      <c r="O58" s="613"/>
      <c r="P58" s="613"/>
      <c r="Q58" s="613"/>
    </row>
  </sheetData>
  <sheetProtection sheet="1" objects="1" scenarios="1"/>
  <mergeCells count="89">
    <mergeCell ref="N55:O55"/>
    <mergeCell ref="N56:Q58"/>
    <mergeCell ref="B51:I51"/>
    <mergeCell ref="N51:O51"/>
    <mergeCell ref="B52:J52"/>
    <mergeCell ref="N52:O52"/>
    <mergeCell ref="B54:J54"/>
    <mergeCell ref="N54:O54"/>
    <mergeCell ref="B55:B56"/>
    <mergeCell ref="C55:C56"/>
    <mergeCell ref="D55:E56"/>
    <mergeCell ref="F55:F56"/>
    <mergeCell ref="G55:J56"/>
    <mergeCell ref="N50:O50"/>
    <mergeCell ref="C46:D46"/>
    <mergeCell ref="E46:J46"/>
    <mergeCell ref="N46:O46"/>
    <mergeCell ref="C47:D47"/>
    <mergeCell ref="E47:J47"/>
    <mergeCell ref="N47:O47"/>
    <mergeCell ref="C48:D48"/>
    <mergeCell ref="E48:J48"/>
    <mergeCell ref="N48:O48"/>
    <mergeCell ref="B49:J49"/>
    <mergeCell ref="N49:O49"/>
    <mergeCell ref="C43:D43"/>
    <mergeCell ref="C44:D44"/>
    <mergeCell ref="H44:J44"/>
    <mergeCell ref="N44:O44"/>
    <mergeCell ref="C45:D45"/>
    <mergeCell ref="E45:J45"/>
    <mergeCell ref="N45:O45"/>
    <mergeCell ref="C42:D42"/>
    <mergeCell ref="E42:J42"/>
    <mergeCell ref="C33:D33"/>
    <mergeCell ref="E33:J33"/>
    <mergeCell ref="C35:D35"/>
    <mergeCell ref="E35:J35"/>
    <mergeCell ref="C36:D36"/>
    <mergeCell ref="E36:J36"/>
    <mergeCell ref="C34:D34"/>
    <mergeCell ref="E34:J34"/>
    <mergeCell ref="C39:D39"/>
    <mergeCell ref="E39:J39"/>
    <mergeCell ref="C40:D40"/>
    <mergeCell ref="C41:D41"/>
    <mergeCell ref="H41:J41"/>
    <mergeCell ref="C30:D30"/>
    <mergeCell ref="E30:J30"/>
    <mergeCell ref="C31:D31"/>
    <mergeCell ref="E31:J31"/>
    <mergeCell ref="C32:D32"/>
    <mergeCell ref="E32:J32"/>
    <mergeCell ref="C27:D27"/>
    <mergeCell ref="E27:J27"/>
    <mergeCell ref="C28:D28"/>
    <mergeCell ref="E28:J28"/>
    <mergeCell ref="C29:D29"/>
    <mergeCell ref="E29:J29"/>
    <mergeCell ref="B21:B24"/>
    <mergeCell ref="C21:D24"/>
    <mergeCell ref="C25:D25"/>
    <mergeCell ref="E25:J25"/>
    <mergeCell ref="C26:D26"/>
    <mergeCell ref="E26:J26"/>
    <mergeCell ref="C18:D18"/>
    <mergeCell ref="E18:J18"/>
    <mergeCell ref="C19:D19"/>
    <mergeCell ref="E19:J19"/>
    <mergeCell ref="C20:D20"/>
    <mergeCell ref="E20:J20"/>
    <mergeCell ref="C15:D15"/>
    <mergeCell ref="E15:J15"/>
    <mergeCell ref="C16:D16"/>
    <mergeCell ref="E16:J16"/>
    <mergeCell ref="C17:D17"/>
    <mergeCell ref="E17:J17"/>
    <mergeCell ref="C12:D12"/>
    <mergeCell ref="E12:J12"/>
    <mergeCell ref="C13:D13"/>
    <mergeCell ref="E13:J13"/>
    <mergeCell ref="C14:D14"/>
    <mergeCell ref="E14:J14"/>
    <mergeCell ref="B2:D2"/>
    <mergeCell ref="B4:J4"/>
    <mergeCell ref="C7:D7"/>
    <mergeCell ref="E7:J7"/>
    <mergeCell ref="B8:B11"/>
    <mergeCell ref="C8:D11"/>
  </mergeCells>
  <phoneticPr fontId="5"/>
  <pageMargins left="0.70866141732283472" right="0.31496062992125984" top="0.55118110236220474" bottom="0.35433070866141736" header="0.31496062992125984" footer="0.31496062992125984"/>
  <pageSetup paperSize="9" scale="11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D98"/>
  <sheetViews>
    <sheetView workbookViewId="0">
      <selection activeCell="C1" sqref="C1"/>
    </sheetView>
  </sheetViews>
  <sheetFormatPr defaultRowHeight="13.5"/>
  <cols>
    <col min="1" max="16384" width="9.140625" style="224"/>
  </cols>
  <sheetData>
    <row r="1" spans="2:4">
      <c r="C1" s="225">
        <f>予算!M4</f>
        <v>6</v>
      </c>
    </row>
    <row r="3" spans="2:4">
      <c r="B3" s="224">
        <v>1111</v>
      </c>
      <c r="C3" s="226">
        <f>ROUNDDOWN((D3/12*$C$1),-3)</f>
        <v>336000</v>
      </c>
      <c r="D3" s="224">
        <v>673000</v>
      </c>
    </row>
    <row r="4" spans="2:4">
      <c r="B4" s="224">
        <v>1112</v>
      </c>
      <c r="C4" s="226">
        <f t="shared" ref="C4:C67" si="0">ROUNDDOWN((D4/12*$C$1),-3)</f>
        <v>275000</v>
      </c>
      <c r="D4" s="224">
        <v>550000</v>
      </c>
    </row>
    <row r="5" spans="2:4">
      <c r="B5" s="224">
        <v>1113</v>
      </c>
      <c r="C5" s="226">
        <f t="shared" si="0"/>
        <v>213000</v>
      </c>
      <c r="D5" s="224">
        <v>427000</v>
      </c>
    </row>
    <row r="6" spans="2:4">
      <c r="B6" s="224">
        <v>1114</v>
      </c>
      <c r="C6" s="226">
        <f t="shared" si="0"/>
        <v>152000</v>
      </c>
      <c r="D6" s="224">
        <v>305000</v>
      </c>
    </row>
    <row r="7" spans="2:4">
      <c r="B7" s="224">
        <v>1121</v>
      </c>
      <c r="C7" s="226">
        <f t="shared" si="0"/>
        <v>345000</v>
      </c>
      <c r="D7" s="224">
        <v>691000</v>
      </c>
    </row>
    <row r="8" spans="2:4">
      <c r="B8" s="224">
        <v>1122</v>
      </c>
      <c r="C8" s="226">
        <f t="shared" si="0"/>
        <v>284000</v>
      </c>
      <c r="D8" s="224">
        <v>569000</v>
      </c>
    </row>
    <row r="9" spans="2:4">
      <c r="B9" s="224">
        <v>1123</v>
      </c>
      <c r="C9" s="226">
        <f t="shared" si="0"/>
        <v>223000</v>
      </c>
      <c r="D9" s="224">
        <v>446000</v>
      </c>
    </row>
    <row r="10" spans="2:4">
      <c r="B10" s="224">
        <v>1124</v>
      </c>
      <c r="C10" s="226">
        <f t="shared" si="0"/>
        <v>161000</v>
      </c>
      <c r="D10" s="224">
        <v>323000</v>
      </c>
    </row>
    <row r="11" spans="2:4">
      <c r="B11" s="224">
        <v>2111</v>
      </c>
      <c r="C11" s="226">
        <f t="shared" si="0"/>
        <v>288000</v>
      </c>
      <c r="D11" s="224">
        <v>576000</v>
      </c>
    </row>
    <row r="12" spans="2:4">
      <c r="B12" s="224">
        <v>2112</v>
      </c>
      <c r="C12" s="226">
        <f t="shared" si="0"/>
        <v>237000</v>
      </c>
      <c r="D12" s="224">
        <v>475000</v>
      </c>
    </row>
    <row r="13" spans="2:4">
      <c r="B13" s="224">
        <v>2113</v>
      </c>
      <c r="C13" s="226">
        <f t="shared" si="0"/>
        <v>186000</v>
      </c>
      <c r="D13" s="224">
        <v>373000</v>
      </c>
    </row>
    <row r="14" spans="2:4">
      <c r="B14" s="224">
        <v>2114</v>
      </c>
      <c r="C14" s="226">
        <f t="shared" si="0"/>
        <v>136000</v>
      </c>
      <c r="D14" s="224">
        <v>272000</v>
      </c>
    </row>
    <row r="15" spans="2:4">
      <c r="B15" s="224">
        <v>2121</v>
      </c>
      <c r="C15" s="226">
        <f t="shared" si="0"/>
        <v>298000</v>
      </c>
      <c r="D15" s="224">
        <v>596000</v>
      </c>
    </row>
    <row r="16" spans="2:4">
      <c r="B16" s="224">
        <v>2122</v>
      </c>
      <c r="C16" s="226">
        <f t="shared" si="0"/>
        <v>247000</v>
      </c>
      <c r="D16" s="224">
        <v>494000</v>
      </c>
    </row>
    <row r="17" spans="2:4">
      <c r="B17" s="224">
        <v>2123</v>
      </c>
      <c r="C17" s="226">
        <f t="shared" si="0"/>
        <v>196000</v>
      </c>
      <c r="D17" s="224">
        <v>393000</v>
      </c>
    </row>
    <row r="18" spans="2:4">
      <c r="B18" s="224">
        <v>2124</v>
      </c>
      <c r="C18" s="226">
        <f t="shared" si="0"/>
        <v>145000</v>
      </c>
      <c r="D18" s="224">
        <v>291000</v>
      </c>
    </row>
    <row r="19" spans="2:4">
      <c r="B19" s="224">
        <v>3111</v>
      </c>
      <c r="C19" s="226">
        <f t="shared" si="0"/>
        <v>211000</v>
      </c>
      <c r="D19" s="224">
        <v>423000</v>
      </c>
    </row>
    <row r="20" spans="2:4">
      <c r="B20" s="224">
        <v>3112</v>
      </c>
      <c r="C20" s="226">
        <f t="shared" si="0"/>
        <v>178000</v>
      </c>
      <c r="D20" s="224">
        <v>356000</v>
      </c>
    </row>
    <row r="21" spans="2:4">
      <c r="B21" s="224">
        <v>3113</v>
      </c>
      <c r="C21" s="226">
        <f t="shared" si="0"/>
        <v>145000</v>
      </c>
      <c r="D21" s="224">
        <v>290000</v>
      </c>
    </row>
    <row r="22" spans="2:4">
      <c r="B22" s="224">
        <v>3114</v>
      </c>
      <c r="C22" s="226">
        <f t="shared" si="0"/>
        <v>112000</v>
      </c>
      <c r="D22" s="224">
        <v>224000</v>
      </c>
    </row>
    <row r="23" spans="2:4">
      <c r="B23" s="224">
        <v>3121</v>
      </c>
      <c r="C23" s="226">
        <f t="shared" si="0"/>
        <v>221000</v>
      </c>
      <c r="D23" s="224">
        <v>443000</v>
      </c>
    </row>
    <row r="24" spans="2:4">
      <c r="B24" s="224">
        <v>3122</v>
      </c>
      <c r="C24" s="226">
        <f t="shared" si="0"/>
        <v>188000</v>
      </c>
      <c r="D24" s="224">
        <v>377000</v>
      </c>
    </row>
    <row r="25" spans="2:4">
      <c r="B25" s="224">
        <v>3123</v>
      </c>
      <c r="C25" s="226">
        <f t="shared" si="0"/>
        <v>155000</v>
      </c>
      <c r="D25" s="224">
        <v>311000</v>
      </c>
    </row>
    <row r="26" spans="2:4">
      <c r="B26" s="224">
        <v>3124</v>
      </c>
      <c r="C26" s="226">
        <f t="shared" si="0"/>
        <v>122000</v>
      </c>
      <c r="D26" s="224">
        <v>245000</v>
      </c>
    </row>
    <row r="27" spans="2:4">
      <c r="B27" s="224">
        <v>4111</v>
      </c>
      <c r="C27" s="226" t="s">
        <v>176</v>
      </c>
      <c r="D27" s="224" t="s">
        <v>176</v>
      </c>
    </row>
    <row r="28" spans="2:4">
      <c r="B28" s="224">
        <v>4112</v>
      </c>
      <c r="C28" s="226" t="s">
        <v>177</v>
      </c>
      <c r="D28" s="224" t="s">
        <v>177</v>
      </c>
    </row>
    <row r="29" spans="2:4">
      <c r="B29" s="224">
        <v>4113</v>
      </c>
      <c r="C29" s="226" t="s">
        <v>177</v>
      </c>
      <c r="D29" s="224" t="s">
        <v>177</v>
      </c>
    </row>
    <row r="30" spans="2:4">
      <c r="B30" s="224">
        <v>4114</v>
      </c>
      <c r="C30" s="226" t="s">
        <v>177</v>
      </c>
      <c r="D30" s="224" t="s">
        <v>177</v>
      </c>
    </row>
    <row r="31" spans="2:4">
      <c r="B31" s="224">
        <v>4121</v>
      </c>
      <c r="C31" s="226" t="s">
        <v>177</v>
      </c>
      <c r="D31" s="224" t="s">
        <v>177</v>
      </c>
    </row>
    <row r="32" spans="2:4">
      <c r="B32" s="224">
        <v>4122</v>
      </c>
      <c r="C32" s="226" t="s">
        <v>177</v>
      </c>
      <c r="D32" s="224" t="s">
        <v>177</v>
      </c>
    </row>
    <row r="33" spans="2:4">
      <c r="B33" s="224">
        <v>4123</v>
      </c>
      <c r="C33" s="226" t="s">
        <v>177</v>
      </c>
      <c r="D33" s="224" t="s">
        <v>177</v>
      </c>
    </row>
    <row r="34" spans="2:4">
      <c r="B34" s="224">
        <v>4124</v>
      </c>
      <c r="C34" s="226" t="s">
        <v>177</v>
      </c>
      <c r="D34" s="224" t="s">
        <v>177</v>
      </c>
    </row>
    <row r="35" spans="2:4">
      <c r="B35" s="224">
        <v>1211</v>
      </c>
      <c r="C35" s="226">
        <f t="shared" si="0"/>
        <v>288000</v>
      </c>
      <c r="D35" s="224">
        <v>576000</v>
      </c>
    </row>
    <row r="36" spans="2:4">
      <c r="B36" s="224">
        <v>1212</v>
      </c>
      <c r="C36" s="226">
        <f t="shared" si="0"/>
        <v>237000</v>
      </c>
      <c r="D36" s="224">
        <v>475000</v>
      </c>
    </row>
    <row r="37" spans="2:4">
      <c r="B37" s="224">
        <v>1213</v>
      </c>
      <c r="C37" s="226">
        <f t="shared" si="0"/>
        <v>186000</v>
      </c>
      <c r="D37" s="224">
        <v>373000</v>
      </c>
    </row>
    <row r="38" spans="2:4">
      <c r="B38" s="224">
        <v>1214</v>
      </c>
      <c r="C38" s="226">
        <f t="shared" si="0"/>
        <v>136000</v>
      </c>
      <c r="D38" s="224">
        <v>272000</v>
      </c>
    </row>
    <row r="39" spans="2:4">
      <c r="B39" s="224">
        <v>1221</v>
      </c>
      <c r="C39" s="226">
        <f t="shared" si="0"/>
        <v>298000</v>
      </c>
      <c r="D39" s="224">
        <v>596000</v>
      </c>
    </row>
    <row r="40" spans="2:4">
      <c r="B40" s="224">
        <v>1222</v>
      </c>
      <c r="C40" s="226">
        <f t="shared" si="0"/>
        <v>247000</v>
      </c>
      <c r="D40" s="224">
        <v>494000</v>
      </c>
    </row>
    <row r="41" spans="2:4">
      <c r="B41" s="224">
        <v>1223</v>
      </c>
      <c r="C41" s="226">
        <f t="shared" si="0"/>
        <v>196000</v>
      </c>
      <c r="D41" s="224">
        <v>393000</v>
      </c>
    </row>
    <row r="42" spans="2:4">
      <c r="B42" s="224">
        <v>1224</v>
      </c>
      <c r="C42" s="226">
        <f t="shared" si="0"/>
        <v>145000</v>
      </c>
      <c r="D42" s="224">
        <v>291000</v>
      </c>
    </row>
    <row r="43" spans="2:4">
      <c r="B43" s="224">
        <v>2211</v>
      </c>
      <c r="C43" s="226">
        <f t="shared" si="0"/>
        <v>288000</v>
      </c>
      <c r="D43" s="224">
        <v>576000</v>
      </c>
    </row>
    <row r="44" spans="2:4">
      <c r="B44" s="224">
        <v>2212</v>
      </c>
      <c r="C44" s="226">
        <f t="shared" si="0"/>
        <v>237000</v>
      </c>
      <c r="D44" s="224">
        <v>475000</v>
      </c>
    </row>
    <row r="45" spans="2:4">
      <c r="B45" s="224">
        <v>2213</v>
      </c>
      <c r="C45" s="226">
        <f t="shared" si="0"/>
        <v>186000</v>
      </c>
      <c r="D45" s="224">
        <v>373000</v>
      </c>
    </row>
    <row r="46" spans="2:4">
      <c r="B46" s="224">
        <v>2214</v>
      </c>
      <c r="C46" s="226">
        <f t="shared" si="0"/>
        <v>136000</v>
      </c>
      <c r="D46" s="224">
        <v>272000</v>
      </c>
    </row>
    <row r="47" spans="2:4">
      <c r="B47" s="224">
        <v>2221</v>
      </c>
      <c r="C47" s="226">
        <f t="shared" si="0"/>
        <v>298000</v>
      </c>
      <c r="D47" s="224">
        <v>596000</v>
      </c>
    </row>
    <row r="48" spans="2:4">
      <c r="B48" s="224">
        <v>2222</v>
      </c>
      <c r="C48" s="226">
        <f t="shared" si="0"/>
        <v>247000</v>
      </c>
      <c r="D48" s="224">
        <v>494000</v>
      </c>
    </row>
    <row r="49" spans="2:4">
      <c r="B49" s="224">
        <v>2223</v>
      </c>
      <c r="C49" s="226">
        <f t="shared" si="0"/>
        <v>196000</v>
      </c>
      <c r="D49" s="224">
        <v>393000</v>
      </c>
    </row>
    <row r="50" spans="2:4">
      <c r="B50" s="224">
        <v>2224</v>
      </c>
      <c r="C50" s="226">
        <f t="shared" si="0"/>
        <v>145000</v>
      </c>
      <c r="D50" s="224">
        <v>291000</v>
      </c>
    </row>
    <row r="51" spans="2:4">
      <c r="B51" s="224">
        <v>3211</v>
      </c>
      <c r="C51" s="226">
        <f t="shared" si="0"/>
        <v>211000</v>
      </c>
      <c r="D51" s="224">
        <v>423000</v>
      </c>
    </row>
    <row r="52" spans="2:4">
      <c r="B52" s="224">
        <v>3212</v>
      </c>
      <c r="C52" s="226">
        <f t="shared" si="0"/>
        <v>178000</v>
      </c>
      <c r="D52" s="224">
        <v>356000</v>
      </c>
    </row>
    <row r="53" spans="2:4">
      <c r="B53" s="224">
        <v>3213</v>
      </c>
      <c r="C53" s="226">
        <f t="shared" si="0"/>
        <v>145000</v>
      </c>
      <c r="D53" s="224">
        <v>290000</v>
      </c>
    </row>
    <row r="54" spans="2:4">
      <c r="B54" s="224">
        <v>3214</v>
      </c>
      <c r="C54" s="226">
        <f t="shared" si="0"/>
        <v>112000</v>
      </c>
      <c r="D54" s="224">
        <v>224000</v>
      </c>
    </row>
    <row r="55" spans="2:4">
      <c r="B55" s="224">
        <v>3221</v>
      </c>
      <c r="C55" s="226">
        <f t="shared" si="0"/>
        <v>221000</v>
      </c>
      <c r="D55" s="224">
        <v>443000</v>
      </c>
    </row>
    <row r="56" spans="2:4">
      <c r="B56" s="224">
        <v>3222</v>
      </c>
      <c r="C56" s="226">
        <f t="shared" si="0"/>
        <v>188000</v>
      </c>
      <c r="D56" s="224">
        <v>377000</v>
      </c>
    </row>
    <row r="57" spans="2:4">
      <c r="B57" s="224">
        <v>3223</v>
      </c>
      <c r="C57" s="226">
        <f t="shared" si="0"/>
        <v>155000</v>
      </c>
      <c r="D57" s="224">
        <v>311000</v>
      </c>
    </row>
    <row r="58" spans="2:4">
      <c r="B58" s="224">
        <v>3224</v>
      </c>
      <c r="C58" s="226">
        <f t="shared" si="0"/>
        <v>122000</v>
      </c>
      <c r="D58" s="224">
        <v>245000</v>
      </c>
    </row>
    <row r="59" spans="2:4">
      <c r="B59" s="224">
        <v>4211</v>
      </c>
      <c r="C59" s="226" t="s">
        <v>176</v>
      </c>
      <c r="D59" s="224" t="s">
        <v>176</v>
      </c>
    </row>
    <row r="60" spans="2:4">
      <c r="B60" s="224">
        <v>4212</v>
      </c>
      <c r="C60" s="226" t="s">
        <v>177</v>
      </c>
      <c r="D60" s="224" t="s">
        <v>177</v>
      </c>
    </row>
    <row r="61" spans="2:4">
      <c r="B61" s="224">
        <v>4213</v>
      </c>
      <c r="C61" s="226" t="s">
        <v>177</v>
      </c>
      <c r="D61" s="224" t="s">
        <v>177</v>
      </c>
    </row>
    <row r="62" spans="2:4">
      <c r="B62" s="224">
        <v>4214</v>
      </c>
      <c r="C62" s="226" t="s">
        <v>177</v>
      </c>
      <c r="D62" s="224" t="s">
        <v>177</v>
      </c>
    </row>
    <row r="63" spans="2:4">
      <c r="B63" s="224">
        <v>4221</v>
      </c>
      <c r="C63" s="226" t="s">
        <v>177</v>
      </c>
      <c r="D63" s="224" t="s">
        <v>177</v>
      </c>
    </row>
    <row r="64" spans="2:4">
      <c r="B64" s="224">
        <v>4222</v>
      </c>
      <c r="C64" s="226" t="s">
        <v>177</v>
      </c>
      <c r="D64" s="224" t="s">
        <v>177</v>
      </c>
    </row>
    <row r="65" spans="2:4">
      <c r="B65" s="224">
        <v>4223</v>
      </c>
      <c r="C65" s="226" t="s">
        <v>177</v>
      </c>
      <c r="D65" s="224" t="s">
        <v>177</v>
      </c>
    </row>
    <row r="66" spans="2:4">
      <c r="B66" s="224">
        <v>4224</v>
      </c>
      <c r="C66" s="226" t="s">
        <v>177</v>
      </c>
      <c r="D66" s="224" t="s">
        <v>177</v>
      </c>
    </row>
    <row r="67" spans="2:4">
      <c r="B67" s="224">
        <v>1311</v>
      </c>
      <c r="C67" s="226">
        <f t="shared" si="0"/>
        <v>211000</v>
      </c>
      <c r="D67" s="224">
        <v>423000</v>
      </c>
    </row>
    <row r="68" spans="2:4">
      <c r="B68" s="224">
        <v>1312</v>
      </c>
      <c r="C68" s="226">
        <f t="shared" ref="C68:C90" si="1">ROUNDDOWN((D68/12*$C$1),-3)</f>
        <v>178000</v>
      </c>
      <c r="D68" s="224">
        <v>356000</v>
      </c>
    </row>
    <row r="69" spans="2:4">
      <c r="B69" s="224">
        <v>1313</v>
      </c>
      <c r="C69" s="226">
        <f t="shared" si="1"/>
        <v>145000</v>
      </c>
      <c r="D69" s="224">
        <v>290000</v>
      </c>
    </row>
    <row r="70" spans="2:4">
      <c r="B70" s="224">
        <v>1314</v>
      </c>
      <c r="C70" s="226">
        <f t="shared" si="1"/>
        <v>112000</v>
      </c>
      <c r="D70" s="224">
        <v>224000</v>
      </c>
    </row>
    <row r="71" spans="2:4">
      <c r="B71" s="224">
        <v>1321</v>
      </c>
      <c r="C71" s="226">
        <f t="shared" si="1"/>
        <v>221000</v>
      </c>
      <c r="D71" s="224">
        <v>443000</v>
      </c>
    </row>
    <row r="72" spans="2:4">
      <c r="B72" s="224">
        <v>1322</v>
      </c>
      <c r="C72" s="226">
        <f t="shared" si="1"/>
        <v>188000</v>
      </c>
      <c r="D72" s="224">
        <v>377000</v>
      </c>
    </row>
    <row r="73" spans="2:4">
      <c r="B73" s="224">
        <v>1323</v>
      </c>
      <c r="C73" s="226">
        <f t="shared" si="1"/>
        <v>155000</v>
      </c>
      <c r="D73" s="224">
        <v>311000</v>
      </c>
    </row>
    <row r="74" spans="2:4">
      <c r="B74" s="224">
        <v>1324</v>
      </c>
      <c r="C74" s="226">
        <f t="shared" si="1"/>
        <v>122000</v>
      </c>
      <c r="D74" s="224">
        <v>245000</v>
      </c>
    </row>
    <row r="75" spans="2:4">
      <c r="B75" s="224">
        <v>2311</v>
      </c>
      <c r="C75" s="226">
        <f t="shared" si="1"/>
        <v>211000</v>
      </c>
      <c r="D75" s="224">
        <v>423000</v>
      </c>
    </row>
    <row r="76" spans="2:4">
      <c r="B76" s="224">
        <v>2312</v>
      </c>
      <c r="C76" s="226">
        <f t="shared" si="1"/>
        <v>178000</v>
      </c>
      <c r="D76" s="224">
        <v>356000</v>
      </c>
    </row>
    <row r="77" spans="2:4">
      <c r="B77" s="224">
        <v>2313</v>
      </c>
      <c r="C77" s="226">
        <f t="shared" si="1"/>
        <v>145000</v>
      </c>
      <c r="D77" s="224">
        <v>290000</v>
      </c>
    </row>
    <row r="78" spans="2:4">
      <c r="B78" s="224">
        <v>2314</v>
      </c>
      <c r="C78" s="226">
        <f t="shared" si="1"/>
        <v>112000</v>
      </c>
      <c r="D78" s="224">
        <v>224000</v>
      </c>
    </row>
    <row r="79" spans="2:4">
      <c r="B79" s="224">
        <v>2321</v>
      </c>
      <c r="C79" s="226">
        <f t="shared" si="1"/>
        <v>221000</v>
      </c>
      <c r="D79" s="224">
        <v>443000</v>
      </c>
    </row>
    <row r="80" spans="2:4">
      <c r="B80" s="224">
        <v>2322</v>
      </c>
      <c r="C80" s="226">
        <f t="shared" si="1"/>
        <v>188000</v>
      </c>
      <c r="D80" s="224">
        <v>377000</v>
      </c>
    </row>
    <row r="81" spans="2:4">
      <c r="B81" s="224">
        <v>2323</v>
      </c>
      <c r="C81" s="226">
        <f t="shared" si="1"/>
        <v>155000</v>
      </c>
      <c r="D81" s="224">
        <v>311000</v>
      </c>
    </row>
    <row r="82" spans="2:4">
      <c r="B82" s="224">
        <v>2324</v>
      </c>
      <c r="C82" s="226">
        <f t="shared" si="1"/>
        <v>122000</v>
      </c>
      <c r="D82" s="224">
        <v>245000</v>
      </c>
    </row>
    <row r="83" spans="2:4">
      <c r="B83" s="224">
        <v>3311</v>
      </c>
      <c r="C83" s="226">
        <f t="shared" si="1"/>
        <v>211000</v>
      </c>
      <c r="D83" s="224">
        <v>423000</v>
      </c>
    </row>
    <row r="84" spans="2:4">
      <c r="B84" s="224">
        <v>3312</v>
      </c>
      <c r="C84" s="226">
        <f t="shared" si="1"/>
        <v>178000</v>
      </c>
      <c r="D84" s="224">
        <v>356000</v>
      </c>
    </row>
    <row r="85" spans="2:4">
      <c r="B85" s="224">
        <v>3313</v>
      </c>
      <c r="C85" s="226">
        <f t="shared" si="1"/>
        <v>145000</v>
      </c>
      <c r="D85" s="224">
        <v>290000</v>
      </c>
    </row>
    <row r="86" spans="2:4">
      <c r="B86" s="224">
        <v>3314</v>
      </c>
      <c r="C86" s="226">
        <f t="shared" si="1"/>
        <v>112000</v>
      </c>
      <c r="D86" s="224">
        <v>224000</v>
      </c>
    </row>
    <row r="87" spans="2:4">
      <c r="B87" s="224">
        <v>3321</v>
      </c>
      <c r="C87" s="226">
        <f t="shared" si="1"/>
        <v>221000</v>
      </c>
      <c r="D87" s="224">
        <v>443000</v>
      </c>
    </row>
    <row r="88" spans="2:4">
      <c r="B88" s="224">
        <v>3322</v>
      </c>
      <c r="C88" s="226">
        <f t="shared" si="1"/>
        <v>188000</v>
      </c>
      <c r="D88" s="224">
        <v>377000</v>
      </c>
    </row>
    <row r="89" spans="2:4">
      <c r="B89" s="224">
        <v>3323</v>
      </c>
      <c r="C89" s="226">
        <f t="shared" si="1"/>
        <v>155000</v>
      </c>
      <c r="D89" s="224">
        <v>311000</v>
      </c>
    </row>
    <row r="90" spans="2:4">
      <c r="B90" s="224">
        <v>3324</v>
      </c>
      <c r="C90" s="226">
        <f t="shared" si="1"/>
        <v>122000</v>
      </c>
      <c r="D90" s="224">
        <v>245000</v>
      </c>
    </row>
    <row r="91" spans="2:4">
      <c r="B91" s="224">
        <v>4311</v>
      </c>
      <c r="C91" s="224" t="s">
        <v>176</v>
      </c>
      <c r="D91" s="224" t="s">
        <v>176</v>
      </c>
    </row>
    <row r="92" spans="2:4">
      <c r="B92" s="224">
        <v>4312</v>
      </c>
      <c r="C92" s="224" t="s">
        <v>177</v>
      </c>
      <c r="D92" s="224" t="s">
        <v>177</v>
      </c>
    </row>
    <row r="93" spans="2:4">
      <c r="B93" s="224">
        <v>4313</v>
      </c>
      <c r="C93" s="224" t="s">
        <v>177</v>
      </c>
      <c r="D93" s="224" t="s">
        <v>177</v>
      </c>
    </row>
    <row r="94" spans="2:4">
      <c r="B94" s="224">
        <v>4314</v>
      </c>
      <c r="C94" s="224" t="s">
        <v>177</v>
      </c>
      <c r="D94" s="224" t="s">
        <v>177</v>
      </c>
    </row>
    <row r="95" spans="2:4">
      <c r="B95" s="224">
        <v>4321</v>
      </c>
      <c r="C95" s="224" t="s">
        <v>177</v>
      </c>
      <c r="D95" s="224" t="s">
        <v>177</v>
      </c>
    </row>
    <row r="96" spans="2:4">
      <c r="B96" s="224">
        <v>4322</v>
      </c>
      <c r="C96" s="224" t="s">
        <v>177</v>
      </c>
      <c r="D96" s="224" t="s">
        <v>177</v>
      </c>
    </row>
    <row r="97" spans="2:4">
      <c r="B97" s="224">
        <v>4323</v>
      </c>
      <c r="C97" s="224" t="s">
        <v>177</v>
      </c>
      <c r="D97" s="224" t="s">
        <v>177</v>
      </c>
    </row>
    <row r="98" spans="2:4">
      <c r="B98" s="224">
        <v>4324</v>
      </c>
      <c r="C98" s="224" t="s">
        <v>177</v>
      </c>
      <c r="D98" s="224" t="s">
        <v>177</v>
      </c>
    </row>
  </sheetData>
  <phoneticPr fontId="5"/>
  <pageMargins left="0.7" right="0.7" top="0.75" bottom="0.75" header="0.3" footer="0.3"/>
  <pageSetup paperSize="9"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L122"/>
  <sheetViews>
    <sheetView workbookViewId="0">
      <selection activeCell="B3" sqref="B3"/>
    </sheetView>
  </sheetViews>
  <sheetFormatPr defaultRowHeight="15.75"/>
  <cols>
    <col min="1" max="1" width="6.42578125" style="227" customWidth="1"/>
    <col min="2" max="2" width="29.28515625" style="227" customWidth="1"/>
    <col min="3" max="4" width="14.42578125" style="227" customWidth="1"/>
    <col min="5" max="5" width="6.42578125" style="228" hidden="1" customWidth="1"/>
    <col min="6" max="9" width="14.42578125" style="227" customWidth="1"/>
    <col min="10" max="10" width="6.42578125" style="228" hidden="1" customWidth="1"/>
    <col min="11" max="12" width="14.42578125" style="227" customWidth="1"/>
    <col min="13" max="16384" width="9.140625" style="227"/>
  </cols>
  <sheetData>
    <row r="1" spans="1:12" ht="20.100000000000001" customHeight="1">
      <c r="A1" s="227" t="s">
        <v>178</v>
      </c>
      <c r="L1" s="229" t="s">
        <v>179</v>
      </c>
    </row>
    <row r="2" spans="1:12" ht="20.100000000000001" customHeight="1">
      <c r="A2" s="227" t="s">
        <v>180</v>
      </c>
    </row>
    <row r="3" spans="1:12" ht="20.100000000000001" customHeight="1">
      <c r="A3" s="227" t="s">
        <v>318</v>
      </c>
    </row>
    <row r="4" spans="1:12" ht="20.100000000000001" customHeight="1">
      <c r="C4" s="227" t="s">
        <v>181</v>
      </c>
      <c r="L4" s="230" t="s">
        <v>182</v>
      </c>
    </row>
    <row r="5" spans="1:12" ht="20.100000000000001" customHeight="1">
      <c r="A5" s="231" t="s">
        <v>183</v>
      </c>
      <c r="B5" s="231" t="s">
        <v>184</v>
      </c>
      <c r="C5" s="630" t="s">
        <v>185</v>
      </c>
      <c r="D5" s="630"/>
      <c r="E5" s="232" t="s">
        <v>186</v>
      </c>
      <c r="F5" s="630" t="s">
        <v>187</v>
      </c>
      <c r="G5" s="630"/>
      <c r="H5" s="630" t="s">
        <v>188</v>
      </c>
      <c r="I5" s="630"/>
      <c r="J5" s="232" t="s">
        <v>186</v>
      </c>
      <c r="K5" s="630" t="s">
        <v>189</v>
      </c>
      <c r="L5" s="630"/>
    </row>
    <row r="6" spans="1:12" ht="20.100000000000001" customHeight="1">
      <c r="A6" s="631">
        <v>1</v>
      </c>
      <c r="B6" s="632" t="s">
        <v>190</v>
      </c>
      <c r="C6" s="229" t="s">
        <v>175</v>
      </c>
      <c r="D6" s="233">
        <f>単価データ!C3</f>
        <v>336000</v>
      </c>
      <c r="E6" s="234"/>
      <c r="F6" s="229" t="s">
        <v>175</v>
      </c>
      <c r="G6" s="233">
        <f>単価データ!C4</f>
        <v>275000</v>
      </c>
      <c r="H6" s="229" t="s">
        <v>175</v>
      </c>
      <c r="I6" s="233">
        <f>単価データ!C5</f>
        <v>213000</v>
      </c>
      <c r="J6" s="234"/>
      <c r="K6" s="229" t="s">
        <v>175</v>
      </c>
      <c r="L6" s="233">
        <f>単価データ!C6</f>
        <v>152000</v>
      </c>
    </row>
    <row r="7" spans="1:12" ht="20.100000000000001" customHeight="1">
      <c r="A7" s="631"/>
      <c r="B7" s="632"/>
      <c r="C7" s="229" t="s">
        <v>317</v>
      </c>
      <c r="D7" s="233">
        <f>単価データ!C7</f>
        <v>345000</v>
      </c>
      <c r="E7" s="234"/>
      <c r="F7" s="229" t="s">
        <v>317</v>
      </c>
      <c r="G7" s="233">
        <f>単価データ!C8</f>
        <v>284000</v>
      </c>
      <c r="H7" s="229" t="s">
        <v>317</v>
      </c>
      <c r="I7" s="233">
        <f>単価データ!C9</f>
        <v>223000</v>
      </c>
      <c r="J7" s="234"/>
      <c r="K7" s="229" t="s">
        <v>317</v>
      </c>
      <c r="L7" s="233">
        <f>単価データ!C10</f>
        <v>161000</v>
      </c>
    </row>
    <row r="8" spans="1:12" ht="20.100000000000001" customHeight="1">
      <c r="A8" s="631">
        <v>2</v>
      </c>
      <c r="B8" s="632" t="s">
        <v>193</v>
      </c>
      <c r="C8" s="235" t="s">
        <v>175</v>
      </c>
      <c r="D8" s="236">
        <f>単価データ!C11</f>
        <v>288000</v>
      </c>
      <c r="E8" s="234">
        <v>96</v>
      </c>
      <c r="F8" s="235" t="s">
        <v>175</v>
      </c>
      <c r="G8" s="236">
        <f>単価データ!C12</f>
        <v>237000</v>
      </c>
      <c r="H8" s="235" t="s">
        <v>175</v>
      </c>
      <c r="I8" s="236">
        <f>単価データ!C13</f>
        <v>186000</v>
      </c>
      <c r="J8" s="234">
        <v>32</v>
      </c>
      <c r="K8" s="229" t="s">
        <v>175</v>
      </c>
      <c r="L8" s="233">
        <f>単価データ!C14</f>
        <v>136000</v>
      </c>
    </row>
    <row r="9" spans="1:12" ht="20.100000000000001" customHeight="1">
      <c r="A9" s="631"/>
      <c r="B9" s="632"/>
      <c r="C9" s="235" t="s">
        <v>317</v>
      </c>
      <c r="D9" s="236">
        <f>単価データ!C15</f>
        <v>298000</v>
      </c>
      <c r="E9" s="234">
        <v>24</v>
      </c>
      <c r="F9" s="235" t="s">
        <v>317</v>
      </c>
      <c r="G9" s="236">
        <f>単価データ!C16</f>
        <v>247000</v>
      </c>
      <c r="H9" s="235" t="s">
        <v>317</v>
      </c>
      <c r="I9" s="236">
        <f>単価データ!C17</f>
        <v>196000</v>
      </c>
      <c r="J9" s="234">
        <v>8</v>
      </c>
      <c r="K9" s="229" t="s">
        <v>317</v>
      </c>
      <c r="L9" s="233">
        <f>単価データ!C18</f>
        <v>145000</v>
      </c>
    </row>
    <row r="10" spans="1:12" ht="20.100000000000001" customHeight="1">
      <c r="A10" s="631">
        <v>3</v>
      </c>
      <c r="B10" s="632" t="s">
        <v>194</v>
      </c>
      <c r="C10" s="235" t="s">
        <v>175</v>
      </c>
      <c r="D10" s="236">
        <f>単価データ!C19</f>
        <v>211000</v>
      </c>
      <c r="E10" s="234">
        <v>24</v>
      </c>
      <c r="F10" s="235" t="s">
        <v>175</v>
      </c>
      <c r="G10" s="236">
        <f>単価データ!C20</f>
        <v>178000</v>
      </c>
      <c r="H10" s="235" t="s">
        <v>175</v>
      </c>
      <c r="I10" s="236">
        <f>単価データ!C21</f>
        <v>145000</v>
      </c>
      <c r="J10" s="234">
        <v>8</v>
      </c>
      <c r="K10" s="229" t="s">
        <v>175</v>
      </c>
      <c r="L10" s="233">
        <f>単価データ!C22</f>
        <v>112000</v>
      </c>
    </row>
    <row r="11" spans="1:12" ht="20.100000000000001" customHeight="1">
      <c r="A11" s="631"/>
      <c r="B11" s="632"/>
      <c r="C11" s="235" t="s">
        <v>317</v>
      </c>
      <c r="D11" s="236">
        <f>単価データ!C23</f>
        <v>221000</v>
      </c>
      <c r="E11" s="234">
        <v>6</v>
      </c>
      <c r="F11" s="235" t="s">
        <v>317</v>
      </c>
      <c r="G11" s="236">
        <f>単価データ!C24</f>
        <v>188000</v>
      </c>
      <c r="H11" s="235" t="s">
        <v>317</v>
      </c>
      <c r="I11" s="236">
        <f>単価データ!C25</f>
        <v>155000</v>
      </c>
      <c r="J11" s="234">
        <v>2</v>
      </c>
      <c r="K11" s="229" t="s">
        <v>317</v>
      </c>
      <c r="L11" s="233">
        <f>単価データ!C26</f>
        <v>122000</v>
      </c>
    </row>
    <row r="12" spans="1:12" ht="24.95" customHeight="1">
      <c r="E12" s="228">
        <f>SUM(E8:E11)</f>
        <v>150</v>
      </c>
      <c r="J12" s="228">
        <f>SUM(J8:J11)</f>
        <v>50</v>
      </c>
    </row>
    <row r="13" spans="1:12" ht="24.95" customHeight="1">
      <c r="A13" s="227" t="s">
        <v>195</v>
      </c>
    </row>
    <row r="14" spans="1:12" ht="24.95" customHeight="1">
      <c r="C14" s="227" t="s">
        <v>181</v>
      </c>
      <c r="L14" s="230" t="s">
        <v>182</v>
      </c>
    </row>
    <row r="15" spans="1:12" ht="24.95" customHeight="1">
      <c r="A15" s="237"/>
      <c r="B15" s="237"/>
      <c r="C15" s="633" t="s">
        <v>185</v>
      </c>
      <c r="D15" s="633"/>
      <c r="E15" s="238" t="s">
        <v>186</v>
      </c>
      <c r="F15" s="633" t="s">
        <v>187</v>
      </c>
      <c r="G15" s="633"/>
      <c r="H15" s="633" t="s">
        <v>188</v>
      </c>
      <c r="I15" s="633"/>
      <c r="J15" s="238" t="s">
        <v>186</v>
      </c>
      <c r="K15" s="633" t="s">
        <v>189</v>
      </c>
      <c r="L15" s="633"/>
    </row>
    <row r="16" spans="1:12" ht="24.95" customHeight="1">
      <c r="A16" s="634">
        <v>1</v>
      </c>
      <c r="B16" s="635" t="s">
        <v>190</v>
      </c>
      <c r="C16" s="229" t="s">
        <v>191</v>
      </c>
      <c r="D16" s="239">
        <v>673000</v>
      </c>
      <c r="E16" s="240"/>
      <c r="F16" s="229" t="s">
        <v>191</v>
      </c>
      <c r="G16" s="239">
        <v>550000</v>
      </c>
      <c r="H16" s="229" t="s">
        <v>191</v>
      </c>
      <c r="I16" s="239">
        <v>427000</v>
      </c>
      <c r="J16" s="240"/>
      <c r="K16" s="229" t="s">
        <v>191</v>
      </c>
      <c r="L16" s="239">
        <v>305000</v>
      </c>
    </row>
    <row r="17" spans="1:12" ht="24.95" customHeight="1">
      <c r="A17" s="634"/>
      <c r="B17" s="635"/>
      <c r="C17" s="229" t="s">
        <v>192</v>
      </c>
      <c r="D17" s="239">
        <v>691000</v>
      </c>
      <c r="E17" s="240"/>
      <c r="F17" s="229" t="s">
        <v>192</v>
      </c>
      <c r="G17" s="239">
        <v>569000</v>
      </c>
      <c r="H17" s="229" t="s">
        <v>192</v>
      </c>
      <c r="I17" s="239">
        <v>446000</v>
      </c>
      <c r="J17" s="240"/>
      <c r="K17" s="229" t="s">
        <v>192</v>
      </c>
      <c r="L17" s="239">
        <v>323000</v>
      </c>
    </row>
    <row r="18" spans="1:12" ht="24.95" customHeight="1">
      <c r="A18" s="634">
        <v>2</v>
      </c>
      <c r="B18" s="635" t="s">
        <v>193</v>
      </c>
      <c r="C18" s="229" t="s">
        <v>191</v>
      </c>
      <c r="D18" s="239">
        <v>576000</v>
      </c>
      <c r="E18" s="240"/>
      <c r="F18" s="229" t="s">
        <v>191</v>
      </c>
      <c r="G18" s="239">
        <v>475000</v>
      </c>
      <c r="H18" s="229" t="s">
        <v>191</v>
      </c>
      <c r="I18" s="239">
        <v>373000</v>
      </c>
      <c r="J18" s="240"/>
      <c r="K18" s="229" t="s">
        <v>191</v>
      </c>
      <c r="L18" s="239">
        <v>272000</v>
      </c>
    </row>
    <row r="19" spans="1:12" ht="24.95" customHeight="1">
      <c r="A19" s="634"/>
      <c r="B19" s="635"/>
      <c r="C19" s="229" t="s">
        <v>192</v>
      </c>
      <c r="D19" s="239">
        <v>596000</v>
      </c>
      <c r="E19" s="240"/>
      <c r="F19" s="229" t="s">
        <v>192</v>
      </c>
      <c r="G19" s="239">
        <v>494000</v>
      </c>
      <c r="H19" s="229" t="s">
        <v>192</v>
      </c>
      <c r="I19" s="239">
        <v>393000</v>
      </c>
      <c r="J19" s="240"/>
      <c r="K19" s="229" t="s">
        <v>192</v>
      </c>
      <c r="L19" s="239">
        <v>291000</v>
      </c>
    </row>
    <row r="20" spans="1:12" ht="24.95" customHeight="1">
      <c r="A20" s="634">
        <v>3</v>
      </c>
      <c r="B20" s="635" t="s">
        <v>194</v>
      </c>
      <c r="C20" s="229" t="s">
        <v>191</v>
      </c>
      <c r="D20" s="239">
        <v>423000</v>
      </c>
      <c r="E20" s="240"/>
      <c r="F20" s="229" t="s">
        <v>191</v>
      </c>
      <c r="G20" s="239">
        <v>356000</v>
      </c>
      <c r="H20" s="229" t="s">
        <v>191</v>
      </c>
      <c r="I20" s="239">
        <v>290000</v>
      </c>
      <c r="J20" s="240"/>
      <c r="K20" s="229" t="s">
        <v>191</v>
      </c>
      <c r="L20" s="239">
        <v>224000</v>
      </c>
    </row>
    <row r="21" spans="1:12" ht="24.95" customHeight="1">
      <c r="A21" s="634"/>
      <c r="B21" s="635"/>
      <c r="C21" s="229" t="s">
        <v>192</v>
      </c>
      <c r="D21" s="239">
        <v>443000</v>
      </c>
      <c r="E21" s="240"/>
      <c r="F21" s="229" t="s">
        <v>192</v>
      </c>
      <c r="G21" s="239">
        <v>377000</v>
      </c>
      <c r="H21" s="229" t="s">
        <v>192</v>
      </c>
      <c r="I21" s="239">
        <v>311000</v>
      </c>
      <c r="J21" s="240"/>
      <c r="K21" s="229" t="s">
        <v>192</v>
      </c>
      <c r="L21" s="239">
        <v>245000</v>
      </c>
    </row>
    <row r="22" spans="1:12" ht="20.100000000000001" customHeight="1"/>
    <row r="23" spans="1:12" ht="20.100000000000001" customHeight="1"/>
    <row r="24" spans="1:12" ht="20.100000000000001" customHeight="1"/>
    <row r="25" spans="1:12" ht="20.100000000000001" customHeight="1"/>
    <row r="26" spans="1:12" ht="20.100000000000001" customHeight="1"/>
    <row r="27" spans="1:12" ht="20.100000000000001" customHeight="1"/>
    <row r="28" spans="1:12" ht="20.100000000000001" customHeight="1"/>
    <row r="29" spans="1:12" ht="20.100000000000001" customHeight="1"/>
    <row r="30" spans="1:12" ht="20.100000000000001" customHeight="1"/>
    <row r="31" spans="1:12" ht="20.100000000000001" customHeight="1"/>
    <row r="32" spans="1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  <row r="42" ht="20.100000000000001" customHeight="1"/>
    <row r="43" ht="20.100000000000001" customHeight="1"/>
    <row r="44" ht="20.100000000000001" customHeight="1"/>
    <row r="45" ht="20.100000000000001" customHeight="1"/>
    <row r="46" ht="20.100000000000001" customHeight="1"/>
    <row r="47" ht="20.100000000000001" customHeight="1"/>
    <row r="48" ht="20.100000000000001" customHeight="1"/>
    <row r="49" ht="20.100000000000001" customHeight="1"/>
    <row r="50" ht="20.100000000000001" customHeight="1"/>
    <row r="51" ht="20.100000000000001" customHeight="1"/>
    <row r="52" ht="20.100000000000001" customHeight="1"/>
    <row r="53" ht="20.100000000000001" customHeight="1"/>
    <row r="54" ht="20.100000000000001" customHeight="1"/>
    <row r="55" ht="20.100000000000001" customHeight="1"/>
    <row r="56" ht="20.100000000000001" customHeight="1"/>
    <row r="57" ht="20.100000000000001" customHeight="1"/>
    <row r="58" ht="20.100000000000001" customHeight="1"/>
    <row r="59" ht="20.100000000000001" customHeight="1"/>
    <row r="60" ht="20.100000000000001" customHeight="1"/>
    <row r="61" ht="20.100000000000001" customHeight="1"/>
    <row r="62" ht="20.100000000000001" customHeight="1"/>
    <row r="63" ht="20.100000000000001" customHeight="1"/>
    <row r="64" ht="20.100000000000001" customHeight="1"/>
    <row r="65" ht="20.100000000000001" customHeight="1"/>
    <row r="66" ht="20.100000000000001" customHeight="1"/>
    <row r="67" ht="20.100000000000001" customHeight="1"/>
    <row r="68" ht="20.100000000000001" customHeight="1"/>
    <row r="69" ht="20.100000000000001" customHeight="1"/>
    <row r="70" ht="20.100000000000001" customHeight="1"/>
    <row r="71" ht="20.100000000000001" customHeight="1"/>
    <row r="72" ht="20.100000000000001" customHeight="1"/>
    <row r="73" ht="20.100000000000001" customHeight="1"/>
    <row r="74" ht="20.100000000000001" customHeight="1"/>
    <row r="75" ht="20.100000000000001" customHeight="1"/>
    <row r="76" ht="20.100000000000001" customHeight="1"/>
    <row r="77" ht="20.100000000000001" customHeight="1"/>
    <row r="78" ht="20.100000000000001" customHeight="1"/>
    <row r="79" ht="20.100000000000001" customHeight="1"/>
    <row r="80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  <row r="88" ht="20.100000000000001" customHeight="1"/>
    <row r="89" ht="20.100000000000001" customHeight="1"/>
    <row r="90" ht="20.100000000000001" customHeight="1"/>
    <row r="91" ht="20.100000000000001" customHeight="1"/>
    <row r="92" ht="20.100000000000001" customHeight="1"/>
    <row r="93" ht="20.100000000000001" customHeight="1"/>
    <row r="94" ht="20.100000000000001" customHeight="1"/>
    <row r="95" ht="20.100000000000001" customHeight="1"/>
    <row r="96" ht="20.100000000000001" customHeight="1"/>
    <row r="97" ht="20.100000000000001" customHeight="1"/>
    <row r="98" ht="20.100000000000001" customHeight="1"/>
    <row r="99" ht="20.100000000000001" customHeight="1"/>
    <row r="100" ht="20.100000000000001" customHeight="1"/>
    <row r="101" ht="20.100000000000001" customHeight="1"/>
    <row r="102" ht="20.100000000000001" customHeight="1"/>
    <row r="103" ht="20.100000000000001" customHeight="1"/>
    <row r="104" ht="20.100000000000001" customHeight="1"/>
    <row r="105" ht="20.100000000000001" customHeight="1"/>
    <row r="106" ht="20.100000000000001" customHeight="1"/>
    <row r="107" ht="20.100000000000001" customHeight="1"/>
    <row r="108" ht="20.100000000000001" customHeight="1"/>
    <row r="109" ht="20.100000000000001" customHeight="1"/>
    <row r="110" ht="20.100000000000001" customHeight="1"/>
    <row r="111" ht="20.100000000000001" customHeight="1"/>
    <row r="112" ht="20.100000000000001" customHeight="1"/>
    <row r="113" ht="20.100000000000001" customHeight="1"/>
    <row r="114" ht="20.100000000000001" customHeight="1"/>
    <row r="115" ht="20.100000000000001" customHeight="1"/>
    <row r="116" ht="20.100000000000001" customHeight="1"/>
    <row r="117" ht="20.100000000000001" customHeight="1"/>
    <row r="118" ht="20.100000000000001" customHeight="1"/>
    <row r="119" ht="20.100000000000001" customHeight="1"/>
    <row r="120" ht="20.100000000000001" customHeight="1"/>
    <row r="121" ht="20.100000000000001" customHeight="1"/>
    <row r="122" ht="20.100000000000001" customHeight="1"/>
  </sheetData>
  <mergeCells count="20">
    <mergeCell ref="A20:A21"/>
    <mergeCell ref="B20:B21"/>
    <mergeCell ref="H15:I15"/>
    <mergeCell ref="K15:L15"/>
    <mergeCell ref="A16:A17"/>
    <mergeCell ref="B16:B17"/>
    <mergeCell ref="A18:A19"/>
    <mergeCell ref="B18:B19"/>
    <mergeCell ref="F15:G15"/>
    <mergeCell ref="A8:A9"/>
    <mergeCell ref="B8:B9"/>
    <mergeCell ref="A10:A11"/>
    <mergeCell ref="B10:B11"/>
    <mergeCell ref="C15:D15"/>
    <mergeCell ref="C5:D5"/>
    <mergeCell ref="F5:G5"/>
    <mergeCell ref="H5:I5"/>
    <mergeCell ref="K5:L5"/>
    <mergeCell ref="A6:A7"/>
    <mergeCell ref="B6:B7"/>
  </mergeCells>
  <phoneticPr fontId="5"/>
  <pageMargins left="0.7" right="0.7" top="0.75" bottom="0.75" header="0.3" footer="0.3"/>
  <pageSetup paperSize="9" scale="9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Menu</vt:lpstr>
      <vt:lpstr>予算</vt:lpstr>
      <vt:lpstr>簿</vt:lpstr>
      <vt:lpstr>印刷</vt:lpstr>
      <vt:lpstr>項目</vt:lpstr>
      <vt:lpstr>報告</vt:lpstr>
      <vt:lpstr>第１１号様式</vt:lpstr>
      <vt:lpstr>単価データ</vt:lpstr>
      <vt:lpstr>補助金単価</vt:lpstr>
      <vt:lpstr>簿!Criteria</vt:lpstr>
      <vt:lpstr>簿!Extract</vt:lpstr>
      <vt:lpstr>Menu!Print_Area</vt:lpstr>
      <vt:lpstr>印刷!Print_Area</vt:lpstr>
      <vt:lpstr>項目!Print_Area</vt:lpstr>
      <vt:lpstr>第１１号様式!Print_Area</vt:lpstr>
      <vt:lpstr>報告!Print_Area</vt:lpstr>
      <vt:lpstr>予算!Print_Area</vt:lpstr>
      <vt:lpstr>め</vt:lpstr>
      <vt:lpstr>印頭</vt:lpstr>
      <vt:lpstr>項頭</vt:lpstr>
      <vt:lpstr>簿頭</vt:lpstr>
      <vt:lpstr>報告</vt:lpstr>
      <vt:lpstr>報頭</vt:lpstr>
      <vt:lpstr>予案</vt:lpstr>
      <vt:lpstr>予算</vt:lpstr>
      <vt:lpstr>予頭</vt:lpstr>
    </vt:vector>
  </TitlesOfParts>
  <Company>無所属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原田眞男</dc:creator>
  <cp:lastModifiedBy>Windows ユーザー</cp:lastModifiedBy>
  <cp:lastPrinted>2026-07-15T06:28:16Z</cp:lastPrinted>
  <dcterms:created xsi:type="dcterms:W3CDTF">2003-03-04T04:11:53Z</dcterms:created>
  <dcterms:modified xsi:type="dcterms:W3CDTF">2026-09-08T05:21:48Z</dcterms:modified>
</cp:coreProperties>
</file>